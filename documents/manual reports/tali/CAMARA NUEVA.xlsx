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USUARIO\Desktop\AACONTROL\"/>
    </mc:Choice>
  </mc:AlternateContent>
  <xr:revisionPtr revIDLastSave="0" documentId="13_ncr:1_{F5B25FE4-E134-429C-B3D9-9C951A29BE29}" xr6:coauthVersionLast="46" xr6:coauthVersionMax="46" xr10:uidLastSave="{00000000-0000-0000-0000-000000000000}"/>
  <bookViews>
    <workbookView xWindow="1170" yWindow="1095" windowWidth="12510" windowHeight="9825" xr2:uid="{00000000-000D-0000-FFFF-FFFF00000000}"/>
  </bookViews>
  <sheets>
    <sheet name="FORMATO NUEVO" sheetId="1" r:id="rId1"/>
    <sheet name="FORMATO NUEVO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8" i="2" l="1"/>
  <c r="I77" i="2"/>
  <c r="I76" i="2"/>
  <c r="D76" i="2"/>
  <c r="I75" i="2"/>
  <c r="D75" i="2"/>
  <c r="I74" i="2"/>
  <c r="D74" i="2"/>
  <c r="N73" i="2"/>
  <c r="I73" i="2"/>
  <c r="I72" i="2"/>
  <c r="R71" i="2"/>
  <c r="D71" i="2" s="1"/>
  <c r="N71" i="2"/>
  <c r="L71" i="2"/>
  <c r="I71" i="2"/>
  <c r="R70" i="2"/>
  <c r="D70" i="2" s="1"/>
  <c r="I70" i="2"/>
  <c r="R69" i="2"/>
  <c r="I69" i="2"/>
  <c r="D69" i="2"/>
  <c r="R68" i="2"/>
  <c r="I68" i="2"/>
  <c r="D68" i="2"/>
  <c r="B10" i="2" s="1"/>
  <c r="R67" i="2"/>
  <c r="I67" i="2"/>
  <c r="R66" i="2"/>
  <c r="D66" i="2" s="1"/>
  <c r="I66" i="2"/>
  <c r="R65" i="2"/>
  <c r="I65" i="2"/>
  <c r="R64" i="2"/>
  <c r="I64" i="2"/>
  <c r="D64" i="2"/>
  <c r="I63" i="2"/>
  <c r="Q59" i="2"/>
  <c r="C59" i="2" s="1"/>
  <c r="AB57" i="2"/>
  <c r="W57" i="2"/>
  <c r="X57" i="2" s="1"/>
  <c r="N57" i="2"/>
  <c r="J57" i="2"/>
  <c r="I57" i="2"/>
  <c r="AB56" i="2"/>
  <c r="X56" i="2"/>
  <c r="W56" i="2"/>
  <c r="N56" i="2"/>
  <c r="J56" i="2"/>
  <c r="I56" i="2"/>
  <c r="AB55" i="2"/>
  <c r="W55" i="2"/>
  <c r="V55" i="2"/>
  <c r="X55" i="2" s="1"/>
  <c r="N55" i="2"/>
  <c r="I55" i="2"/>
  <c r="J55" i="2" s="1"/>
  <c r="H55" i="2"/>
  <c r="AB54" i="2"/>
  <c r="X54" i="2"/>
  <c r="W54" i="2"/>
  <c r="N54" i="2"/>
  <c r="I54" i="2"/>
  <c r="H54" i="2"/>
  <c r="J54" i="2" s="1"/>
  <c r="AB53" i="2"/>
  <c r="X53" i="2"/>
  <c r="W53" i="2"/>
  <c r="V53" i="2"/>
  <c r="N53" i="2"/>
  <c r="J53" i="2"/>
  <c r="I53" i="2"/>
  <c r="AB52" i="2"/>
  <c r="W52" i="2"/>
  <c r="X52" i="2" s="1"/>
  <c r="N52" i="2"/>
  <c r="I52" i="2"/>
  <c r="J52" i="2" s="1"/>
  <c r="AB51" i="2"/>
  <c r="W51" i="2"/>
  <c r="X51" i="2" s="1"/>
  <c r="N51" i="2"/>
  <c r="J51" i="2"/>
  <c r="I51" i="2"/>
  <c r="H51" i="2"/>
  <c r="AB50" i="2"/>
  <c r="W50" i="2"/>
  <c r="V50" i="2"/>
  <c r="X50" i="2" s="1"/>
  <c r="N50" i="2"/>
  <c r="J50" i="2"/>
  <c r="I50" i="2"/>
  <c r="H50" i="2"/>
  <c r="AB49" i="2"/>
  <c r="W49" i="2"/>
  <c r="V49" i="2"/>
  <c r="X49" i="2" s="1"/>
  <c r="N49" i="2"/>
  <c r="J49" i="2"/>
  <c r="I49" i="2"/>
  <c r="AB48" i="2"/>
  <c r="X48" i="2"/>
  <c r="W48" i="2"/>
  <c r="N48" i="2"/>
  <c r="J48" i="2"/>
  <c r="I48" i="2"/>
  <c r="AB47" i="2"/>
  <c r="X47" i="2"/>
  <c r="W47" i="2"/>
  <c r="N47" i="2"/>
  <c r="I47" i="2"/>
  <c r="H47" i="2"/>
  <c r="J47" i="2" s="1"/>
  <c r="AB46" i="2"/>
  <c r="X46" i="2"/>
  <c r="W46" i="2"/>
  <c r="V46" i="2"/>
  <c r="N46" i="2"/>
  <c r="I46" i="2"/>
  <c r="H46" i="2"/>
  <c r="J46" i="2" s="1"/>
  <c r="AB45" i="2"/>
  <c r="X45" i="2"/>
  <c r="W45" i="2"/>
  <c r="V45" i="2"/>
  <c r="N45" i="2"/>
  <c r="J45" i="2"/>
  <c r="I45" i="2"/>
  <c r="AB44" i="2"/>
  <c r="W44" i="2"/>
  <c r="X44" i="2" s="1"/>
  <c r="N44" i="2"/>
  <c r="I44" i="2"/>
  <c r="J44" i="2" s="1"/>
  <c r="AB43" i="2"/>
  <c r="W43" i="2"/>
  <c r="X43" i="2" s="1"/>
  <c r="N43" i="2"/>
  <c r="J43" i="2"/>
  <c r="I43" i="2"/>
  <c r="H43" i="2"/>
  <c r="AB42" i="2"/>
  <c r="W42" i="2"/>
  <c r="V42" i="2"/>
  <c r="X42" i="2" s="1"/>
  <c r="N42" i="2"/>
  <c r="J42" i="2"/>
  <c r="I42" i="2"/>
  <c r="H42" i="2"/>
  <c r="AB41" i="2"/>
  <c r="W41" i="2"/>
  <c r="V41" i="2"/>
  <c r="X41" i="2" s="1"/>
  <c r="N41" i="2"/>
  <c r="J41" i="2"/>
  <c r="I41" i="2"/>
  <c r="AB40" i="2"/>
  <c r="X40" i="2"/>
  <c r="W40" i="2"/>
  <c r="N40" i="2"/>
  <c r="J40" i="2"/>
  <c r="I40" i="2"/>
  <c r="AB39" i="2"/>
  <c r="X39" i="2"/>
  <c r="W39" i="2"/>
  <c r="N39" i="2"/>
  <c r="I39" i="2"/>
  <c r="H39" i="2"/>
  <c r="J39" i="2" s="1"/>
  <c r="AB38" i="2"/>
  <c r="X38" i="2"/>
  <c r="W38" i="2"/>
  <c r="V38" i="2"/>
  <c r="N38" i="2"/>
  <c r="I38" i="2"/>
  <c r="H38" i="2"/>
  <c r="J38" i="2" s="1"/>
  <c r="AB37" i="2"/>
  <c r="X37" i="2"/>
  <c r="W37" i="2"/>
  <c r="V37" i="2"/>
  <c r="N37" i="2"/>
  <c r="J37" i="2"/>
  <c r="I37" i="2"/>
  <c r="AB36" i="2"/>
  <c r="W36" i="2"/>
  <c r="X36" i="2" s="1"/>
  <c r="N36" i="2"/>
  <c r="I36" i="2"/>
  <c r="J36" i="2" s="1"/>
  <c r="AB35" i="2"/>
  <c r="W35" i="2"/>
  <c r="X35" i="2" s="1"/>
  <c r="N35" i="2"/>
  <c r="J35" i="2"/>
  <c r="I35" i="2"/>
  <c r="H35" i="2"/>
  <c r="AB34" i="2"/>
  <c r="W34" i="2"/>
  <c r="V34" i="2"/>
  <c r="X34" i="2" s="1"/>
  <c r="N34" i="2"/>
  <c r="J34" i="2"/>
  <c r="I34" i="2"/>
  <c r="H34" i="2"/>
  <c r="AB33" i="2"/>
  <c r="W33" i="2"/>
  <c r="V33" i="2"/>
  <c r="X33" i="2" s="1"/>
  <c r="N33" i="2"/>
  <c r="J33" i="2"/>
  <c r="I33" i="2"/>
  <c r="AB32" i="2"/>
  <c r="X32" i="2"/>
  <c r="W32" i="2"/>
  <c r="N32" i="2"/>
  <c r="J32" i="2"/>
  <c r="I32" i="2"/>
  <c r="AB31" i="2"/>
  <c r="X31" i="2"/>
  <c r="W31" i="2"/>
  <c r="N31" i="2"/>
  <c r="I31" i="2"/>
  <c r="H31" i="2"/>
  <c r="J31" i="2" s="1"/>
  <c r="AB30" i="2"/>
  <c r="X30" i="2"/>
  <c r="W30" i="2"/>
  <c r="V30" i="2"/>
  <c r="N30" i="2"/>
  <c r="I30" i="2"/>
  <c r="H30" i="2"/>
  <c r="J30" i="2" s="1"/>
  <c r="AB29" i="2"/>
  <c r="X29" i="2"/>
  <c r="W29" i="2"/>
  <c r="V29" i="2"/>
  <c r="N29" i="2"/>
  <c r="I29" i="2"/>
  <c r="H29" i="2"/>
  <c r="J29" i="2" s="1"/>
  <c r="AB28" i="2"/>
  <c r="X28" i="2"/>
  <c r="W28" i="2"/>
  <c r="V28" i="2"/>
  <c r="N28" i="2"/>
  <c r="I28" i="2"/>
  <c r="H28" i="2"/>
  <c r="J28" i="2" s="1"/>
  <c r="AB27" i="2"/>
  <c r="X27" i="2"/>
  <c r="W27" i="2"/>
  <c r="V27" i="2"/>
  <c r="N27" i="2"/>
  <c r="I27" i="2"/>
  <c r="J27" i="2" s="1"/>
  <c r="AB26" i="2"/>
  <c r="W26" i="2"/>
  <c r="X26" i="2" s="1"/>
  <c r="N26" i="2"/>
  <c r="I26" i="2"/>
  <c r="J26" i="2" s="1"/>
  <c r="AB25" i="2"/>
  <c r="W25" i="2"/>
  <c r="X25" i="2" s="1"/>
  <c r="N25" i="2"/>
  <c r="J25" i="2"/>
  <c r="I25" i="2"/>
  <c r="H25" i="2"/>
  <c r="AB24" i="2"/>
  <c r="W24" i="2"/>
  <c r="V24" i="2"/>
  <c r="X24" i="2" s="1"/>
  <c r="N24" i="2"/>
  <c r="J24" i="2"/>
  <c r="I24" i="2"/>
  <c r="H24" i="2"/>
  <c r="AB23" i="2"/>
  <c r="W23" i="2"/>
  <c r="V23" i="2"/>
  <c r="X23" i="2" s="1"/>
  <c r="N23" i="2"/>
  <c r="J23" i="2"/>
  <c r="I23" i="2"/>
  <c r="H23" i="2"/>
  <c r="AB22" i="2"/>
  <c r="W22" i="2"/>
  <c r="V22" i="2"/>
  <c r="X22" i="2" s="1"/>
  <c r="N22" i="2"/>
  <c r="J22" i="2"/>
  <c r="I22" i="2"/>
  <c r="H22" i="2"/>
  <c r="AB21" i="2"/>
  <c r="W21" i="2"/>
  <c r="V21" i="2"/>
  <c r="X21" i="2" s="1"/>
  <c r="N21" i="2"/>
  <c r="J21" i="2"/>
  <c r="I21" i="2"/>
  <c r="AB20" i="2"/>
  <c r="X20" i="2"/>
  <c r="W20" i="2"/>
  <c r="N20" i="2"/>
  <c r="J20" i="2"/>
  <c r="I20" i="2"/>
  <c r="AB19" i="2"/>
  <c r="X19" i="2"/>
  <c r="W19" i="2"/>
  <c r="N19" i="2"/>
  <c r="I19" i="2"/>
  <c r="H19" i="2"/>
  <c r="J19" i="2" s="1"/>
  <c r="AB18" i="2"/>
  <c r="W18" i="2"/>
  <c r="X18" i="2" s="1"/>
  <c r="V18" i="2"/>
  <c r="N18" i="2"/>
  <c r="I18" i="2"/>
  <c r="H18" i="2"/>
  <c r="J18" i="2" s="1"/>
  <c r="AB17" i="2"/>
  <c r="W17" i="2"/>
  <c r="X17" i="2" s="1"/>
  <c r="V17" i="2"/>
  <c r="N17" i="2"/>
  <c r="I17" i="2"/>
  <c r="H17" i="2"/>
  <c r="J17" i="2" s="1"/>
  <c r="AB16" i="2"/>
  <c r="W16" i="2"/>
  <c r="X16" i="2" s="1"/>
  <c r="V16" i="2"/>
  <c r="N16" i="2"/>
  <c r="I16" i="2"/>
  <c r="H16" i="2"/>
  <c r="J16" i="2" s="1"/>
  <c r="AB15" i="2"/>
  <c r="W15" i="2"/>
  <c r="X15" i="2" s="1"/>
  <c r="V15" i="2"/>
  <c r="N15" i="2"/>
  <c r="I15" i="2"/>
  <c r="J15" i="2" s="1"/>
  <c r="AB14" i="2"/>
  <c r="W14" i="2"/>
  <c r="X14" i="2" s="1"/>
  <c r="N14" i="2"/>
  <c r="I14" i="2"/>
  <c r="J14" i="2" s="1"/>
  <c r="AB13" i="2"/>
  <c r="W13" i="2"/>
  <c r="X13" i="2" s="1"/>
  <c r="N13" i="2"/>
  <c r="I13" i="2"/>
  <c r="J13" i="2" s="1"/>
  <c r="H13" i="2"/>
  <c r="AB12" i="2"/>
  <c r="W12" i="2"/>
  <c r="V12" i="2"/>
  <c r="X12" i="2" s="1"/>
  <c r="N12" i="2"/>
  <c r="L73" i="2" s="1"/>
  <c r="I12" i="2"/>
  <c r="J12" i="2" s="1"/>
  <c r="D65" i="2" s="1"/>
  <c r="H12" i="2"/>
  <c r="Y6" i="2"/>
  <c r="V2" i="2"/>
  <c r="I78" i="1"/>
  <c r="I77" i="1"/>
  <c r="I76" i="1"/>
  <c r="D76" i="1"/>
  <c r="I75" i="1"/>
  <c r="D75" i="1"/>
  <c r="I74" i="1"/>
  <c r="D74" i="1"/>
  <c r="N73" i="1"/>
  <c r="I73" i="1"/>
  <c r="I72" i="1"/>
  <c r="R71" i="1"/>
  <c r="D71" i="1" s="1"/>
  <c r="N71" i="1"/>
  <c r="L71" i="1"/>
  <c r="I71" i="1"/>
  <c r="R70" i="1"/>
  <c r="D70" i="1" s="1"/>
  <c r="I70" i="1"/>
  <c r="R69" i="1"/>
  <c r="D69" i="1" s="1"/>
  <c r="I69" i="1"/>
  <c r="R68" i="1"/>
  <c r="D68" i="1" s="1"/>
  <c r="B10" i="1" s="1"/>
  <c r="I68" i="1"/>
  <c r="R67" i="1"/>
  <c r="I67" i="1"/>
  <c r="R66" i="1"/>
  <c r="D66" i="1" s="1"/>
  <c r="I66" i="1"/>
  <c r="R65" i="1"/>
  <c r="D65" i="1" s="1"/>
  <c r="I65" i="1"/>
  <c r="R64" i="1"/>
  <c r="D64" i="1" s="1"/>
  <c r="I64" i="1"/>
  <c r="I63" i="1"/>
  <c r="Q59" i="1"/>
  <c r="C59" i="1" s="1"/>
  <c r="AB57" i="1"/>
  <c r="W57" i="1"/>
  <c r="X57" i="1" s="1"/>
  <c r="N57" i="1"/>
  <c r="I57" i="1"/>
  <c r="J57" i="1" s="1"/>
  <c r="AB56" i="1"/>
  <c r="W56" i="1"/>
  <c r="X56" i="1" s="1"/>
  <c r="N56" i="1"/>
  <c r="I56" i="1"/>
  <c r="J56" i="1" s="1"/>
  <c r="AB55" i="1"/>
  <c r="W55" i="1"/>
  <c r="V55" i="1"/>
  <c r="N55" i="1"/>
  <c r="I55" i="1"/>
  <c r="H55" i="1"/>
  <c r="AB54" i="1"/>
  <c r="W54" i="1"/>
  <c r="X54" i="1" s="1"/>
  <c r="N54" i="1"/>
  <c r="I54" i="1"/>
  <c r="H54" i="1"/>
  <c r="AB53" i="1"/>
  <c r="W53" i="1"/>
  <c r="V53" i="1"/>
  <c r="X53" i="1" s="1"/>
  <c r="N53" i="1"/>
  <c r="I53" i="1"/>
  <c r="J53" i="1" s="1"/>
  <c r="AB52" i="1"/>
  <c r="W52" i="1"/>
  <c r="X52" i="1" s="1"/>
  <c r="N52" i="1"/>
  <c r="I52" i="1"/>
  <c r="J52" i="1" s="1"/>
  <c r="AB51" i="1"/>
  <c r="W51" i="1"/>
  <c r="X51" i="1" s="1"/>
  <c r="N51" i="1"/>
  <c r="I51" i="1"/>
  <c r="J51" i="1" s="1"/>
  <c r="H51" i="1"/>
  <c r="AB50" i="1"/>
  <c r="W50" i="1"/>
  <c r="V50" i="1"/>
  <c r="X50" i="1" s="1"/>
  <c r="N50" i="1"/>
  <c r="I50" i="1"/>
  <c r="H50" i="1"/>
  <c r="AB49" i="1"/>
  <c r="W49" i="1"/>
  <c r="V49" i="1"/>
  <c r="X49" i="1" s="1"/>
  <c r="N49" i="1"/>
  <c r="I49" i="1"/>
  <c r="J49" i="1" s="1"/>
  <c r="AB48" i="1"/>
  <c r="W48" i="1"/>
  <c r="X48" i="1" s="1"/>
  <c r="N48" i="1"/>
  <c r="I48" i="1"/>
  <c r="J48" i="1" s="1"/>
  <c r="AB47" i="1"/>
  <c r="W47" i="1"/>
  <c r="X47" i="1" s="1"/>
  <c r="N47" i="1"/>
  <c r="I47" i="1"/>
  <c r="H47" i="1"/>
  <c r="AB46" i="1"/>
  <c r="W46" i="1"/>
  <c r="X46" i="1" s="1"/>
  <c r="V46" i="1"/>
  <c r="N46" i="1"/>
  <c r="I46" i="1"/>
  <c r="H46" i="1"/>
  <c r="AB45" i="1"/>
  <c r="W45" i="1"/>
  <c r="V45" i="1"/>
  <c r="X45" i="1" s="1"/>
  <c r="N45" i="1"/>
  <c r="I45" i="1"/>
  <c r="J45" i="1" s="1"/>
  <c r="AB44" i="1"/>
  <c r="W44" i="1"/>
  <c r="X44" i="1" s="1"/>
  <c r="N44" i="1"/>
  <c r="I44" i="1"/>
  <c r="J44" i="1" s="1"/>
  <c r="AB43" i="1"/>
  <c r="W43" i="1"/>
  <c r="X43" i="1" s="1"/>
  <c r="N43" i="1"/>
  <c r="I43" i="1"/>
  <c r="H43" i="1"/>
  <c r="AB42" i="1"/>
  <c r="W42" i="1"/>
  <c r="V42" i="1"/>
  <c r="X42" i="1" s="1"/>
  <c r="N42" i="1"/>
  <c r="I42" i="1"/>
  <c r="H42" i="1"/>
  <c r="AB41" i="1"/>
  <c r="W41" i="1"/>
  <c r="V41" i="1"/>
  <c r="N41" i="1"/>
  <c r="I41" i="1"/>
  <c r="J41" i="1" s="1"/>
  <c r="AB40" i="1"/>
  <c r="W40" i="1"/>
  <c r="X40" i="1" s="1"/>
  <c r="N40" i="1"/>
  <c r="I40" i="1"/>
  <c r="J40" i="1" s="1"/>
  <c r="AB39" i="1"/>
  <c r="W39" i="1"/>
  <c r="X39" i="1" s="1"/>
  <c r="N39" i="1"/>
  <c r="I39" i="1"/>
  <c r="H39" i="1"/>
  <c r="AB38" i="1"/>
  <c r="W38" i="1"/>
  <c r="V38" i="1"/>
  <c r="X38" i="1" s="1"/>
  <c r="N38" i="1"/>
  <c r="I38" i="1"/>
  <c r="H38" i="1"/>
  <c r="AB37" i="1"/>
  <c r="W37" i="1"/>
  <c r="V37" i="1"/>
  <c r="X37" i="1" s="1"/>
  <c r="N37" i="1"/>
  <c r="I37" i="1"/>
  <c r="J37" i="1" s="1"/>
  <c r="AB36" i="1"/>
  <c r="W36" i="1"/>
  <c r="X36" i="1" s="1"/>
  <c r="N36" i="1"/>
  <c r="I36" i="1"/>
  <c r="J36" i="1" s="1"/>
  <c r="AB35" i="1"/>
  <c r="W35" i="1"/>
  <c r="X35" i="1" s="1"/>
  <c r="N35" i="1"/>
  <c r="I35" i="1"/>
  <c r="H35" i="1"/>
  <c r="AB34" i="1"/>
  <c r="W34" i="1"/>
  <c r="V34" i="1"/>
  <c r="N34" i="1"/>
  <c r="I34" i="1"/>
  <c r="H34" i="1"/>
  <c r="AB33" i="1"/>
  <c r="W33" i="1"/>
  <c r="V33" i="1"/>
  <c r="N33" i="1"/>
  <c r="I33" i="1"/>
  <c r="J33" i="1" s="1"/>
  <c r="AB32" i="1"/>
  <c r="W32" i="1"/>
  <c r="X32" i="1" s="1"/>
  <c r="N32" i="1"/>
  <c r="I32" i="1"/>
  <c r="J32" i="1" s="1"/>
  <c r="AB31" i="1"/>
  <c r="X31" i="1"/>
  <c r="W31" i="1"/>
  <c r="N31" i="1"/>
  <c r="I31" i="1"/>
  <c r="H31" i="1"/>
  <c r="AB30" i="1"/>
  <c r="W30" i="1"/>
  <c r="X30" i="1" s="1"/>
  <c r="V30" i="1"/>
  <c r="N30" i="1"/>
  <c r="I30" i="1"/>
  <c r="H30" i="1"/>
  <c r="J30" i="1" s="1"/>
  <c r="AB29" i="1"/>
  <c r="W29" i="1"/>
  <c r="V29" i="1"/>
  <c r="N29" i="1"/>
  <c r="I29" i="1"/>
  <c r="H29" i="1"/>
  <c r="J29" i="1" s="1"/>
  <c r="AB28" i="1"/>
  <c r="W28" i="1"/>
  <c r="V28" i="1"/>
  <c r="N28" i="1"/>
  <c r="I28" i="1"/>
  <c r="J28" i="1" s="1"/>
  <c r="H28" i="1"/>
  <c r="AB27" i="1"/>
  <c r="W27" i="1"/>
  <c r="V27" i="1"/>
  <c r="N27" i="1"/>
  <c r="J27" i="1"/>
  <c r="I27" i="1"/>
  <c r="AB26" i="1"/>
  <c r="W26" i="1"/>
  <c r="X26" i="1" s="1"/>
  <c r="N26" i="1"/>
  <c r="I26" i="1"/>
  <c r="J26" i="1" s="1"/>
  <c r="AB25" i="1"/>
  <c r="W25" i="1"/>
  <c r="X25" i="1" s="1"/>
  <c r="N25" i="1"/>
  <c r="I25" i="1"/>
  <c r="H25" i="1"/>
  <c r="AB24" i="1"/>
  <c r="W24" i="1"/>
  <c r="V24" i="1"/>
  <c r="N24" i="1"/>
  <c r="I24" i="1"/>
  <c r="H24" i="1"/>
  <c r="AB23" i="1"/>
  <c r="W23" i="1"/>
  <c r="V23" i="1"/>
  <c r="N23" i="1"/>
  <c r="I23" i="1"/>
  <c r="H23" i="1"/>
  <c r="AB22" i="1"/>
  <c r="W22" i="1"/>
  <c r="V22" i="1"/>
  <c r="N22" i="1"/>
  <c r="I22" i="1"/>
  <c r="H22" i="1"/>
  <c r="AB21" i="1"/>
  <c r="W21" i="1"/>
  <c r="V21" i="1"/>
  <c r="X21" i="1" s="1"/>
  <c r="N21" i="1"/>
  <c r="I21" i="1"/>
  <c r="J21" i="1" s="1"/>
  <c r="AB20" i="1"/>
  <c r="W20" i="1"/>
  <c r="X20" i="1" s="1"/>
  <c r="N20" i="1"/>
  <c r="I20" i="1"/>
  <c r="J20" i="1" s="1"/>
  <c r="AB19" i="1"/>
  <c r="W19" i="1"/>
  <c r="X19" i="1" s="1"/>
  <c r="N19" i="1"/>
  <c r="I19" i="1"/>
  <c r="H19" i="1"/>
  <c r="AB18" i="1"/>
  <c r="W18" i="1"/>
  <c r="V18" i="1"/>
  <c r="X18" i="1" s="1"/>
  <c r="N18" i="1"/>
  <c r="I18" i="1"/>
  <c r="J18" i="1" s="1"/>
  <c r="H18" i="1"/>
  <c r="AB17" i="1"/>
  <c r="W17" i="1"/>
  <c r="V17" i="1"/>
  <c r="X17" i="1" s="1"/>
  <c r="N17" i="1"/>
  <c r="I17" i="1"/>
  <c r="H17" i="1"/>
  <c r="AB16" i="1"/>
  <c r="W16" i="1"/>
  <c r="V16" i="1"/>
  <c r="X16" i="1" s="1"/>
  <c r="N16" i="1"/>
  <c r="I16" i="1"/>
  <c r="H16" i="1"/>
  <c r="AB15" i="1"/>
  <c r="W15" i="1"/>
  <c r="V15" i="1"/>
  <c r="X15" i="1" s="1"/>
  <c r="N15" i="1"/>
  <c r="I15" i="1"/>
  <c r="J15" i="1" s="1"/>
  <c r="AB14" i="1"/>
  <c r="W14" i="1"/>
  <c r="X14" i="1" s="1"/>
  <c r="N14" i="1"/>
  <c r="I14" i="1"/>
  <c r="J14" i="1" s="1"/>
  <c r="AB13" i="1"/>
  <c r="W13" i="1"/>
  <c r="X13" i="1" s="1"/>
  <c r="N13" i="1"/>
  <c r="I13" i="1"/>
  <c r="H13" i="1"/>
  <c r="AB12" i="1"/>
  <c r="W12" i="1"/>
  <c r="V12" i="1"/>
  <c r="N12" i="1"/>
  <c r="I12" i="1"/>
  <c r="H12" i="1"/>
  <c r="Y6" i="1"/>
  <c r="V2" i="1"/>
  <c r="I79" i="2" l="1"/>
  <c r="Q67" i="2"/>
  <c r="N72" i="2"/>
  <c r="N74" i="2" s="1"/>
  <c r="I58" i="2"/>
  <c r="W58" i="2"/>
  <c r="N60" i="2" s="1"/>
  <c r="R59" i="2"/>
  <c r="Q66" i="2"/>
  <c r="R72" i="2"/>
  <c r="D67" i="2"/>
  <c r="D72" i="2" s="1"/>
  <c r="Q61" i="2"/>
  <c r="S61" i="2" s="1"/>
  <c r="J31" i="1"/>
  <c r="J50" i="1"/>
  <c r="J39" i="1"/>
  <c r="X12" i="1"/>
  <c r="W58" i="1" s="1"/>
  <c r="N60" i="1" s="1"/>
  <c r="J23" i="1"/>
  <c r="X24" i="1"/>
  <c r="X27" i="1"/>
  <c r="X34" i="1"/>
  <c r="J17" i="1"/>
  <c r="J13" i="1"/>
  <c r="X33" i="1"/>
  <c r="J35" i="1"/>
  <c r="J43" i="1"/>
  <c r="J46" i="1"/>
  <c r="J19" i="1"/>
  <c r="J25" i="1"/>
  <c r="J22" i="1"/>
  <c r="X23" i="1"/>
  <c r="J42" i="1"/>
  <c r="J54" i="1"/>
  <c r="X55" i="1"/>
  <c r="X22" i="1"/>
  <c r="J24" i="1"/>
  <c r="X29" i="1"/>
  <c r="J38" i="1"/>
  <c r="J16" i="1"/>
  <c r="J12" i="1"/>
  <c r="X28" i="1"/>
  <c r="J34" i="1"/>
  <c r="X41" i="1"/>
  <c r="J47" i="1"/>
  <c r="N72" i="1"/>
  <c r="N74" i="1" s="1"/>
  <c r="J55" i="1"/>
  <c r="L73" i="1"/>
  <c r="I79" i="1"/>
  <c r="R72" i="1"/>
  <c r="Q61" i="1" s="1"/>
  <c r="S61" i="1" s="1"/>
  <c r="R59" i="1"/>
  <c r="S59" i="1" s="1"/>
  <c r="D67" i="1"/>
  <c r="I58" i="1"/>
  <c r="K60" i="1" s="1"/>
  <c r="E64" i="2" l="1"/>
  <c r="C70" i="2"/>
  <c r="C66" i="2"/>
  <c r="C68" i="2"/>
  <c r="C69" i="2"/>
  <c r="C71" i="2"/>
  <c r="C65" i="2"/>
  <c r="C61" i="2"/>
  <c r="C64" i="2"/>
  <c r="D59" i="2"/>
  <c r="R61" i="2"/>
  <c r="S59" i="2"/>
  <c r="C67" i="2"/>
  <c r="S64" i="2"/>
  <c r="Q68" i="2"/>
  <c r="Q64" i="2"/>
  <c r="Q72" i="2" s="1"/>
  <c r="Q71" i="2"/>
  <c r="K60" i="2"/>
  <c r="L74" i="2" s="1"/>
  <c r="L75" i="2" s="1"/>
  <c r="M76" i="2" s="1"/>
  <c r="Q70" i="2"/>
  <c r="Q69" i="2"/>
  <c r="Q65" i="2"/>
  <c r="L74" i="1"/>
  <c r="L75" i="1" s="1"/>
  <c r="M76" i="1" s="1"/>
  <c r="S64" i="1"/>
  <c r="Q68" i="1"/>
  <c r="Q71" i="1"/>
  <c r="Q70" i="1"/>
  <c r="Q66" i="1"/>
  <c r="Q69" i="1"/>
  <c r="Q65" i="1"/>
  <c r="Q67" i="1"/>
  <c r="Q64" i="1"/>
  <c r="Q72" i="1" s="1"/>
  <c r="D72" i="1"/>
  <c r="D59" i="1"/>
  <c r="R61" i="1"/>
  <c r="C72" i="2" l="1"/>
  <c r="D61" i="2"/>
  <c r="E61" i="2" s="1"/>
  <c r="E59" i="2"/>
  <c r="C68" i="1"/>
  <c r="E64" i="1"/>
  <c r="C64" i="1"/>
  <c r="C72" i="1" s="1"/>
  <c r="C71" i="1"/>
  <c r="C61" i="1"/>
  <c r="E61" i="1" s="1"/>
  <c r="C65" i="1"/>
  <c r="C70" i="1"/>
  <c r="C69" i="1"/>
  <c r="C66" i="1"/>
  <c r="D61" i="1"/>
  <c r="E59" i="1"/>
  <c r="C67" i="1"/>
  <c r="J74" i="2" l="1"/>
  <c r="J70" i="2"/>
  <c r="J66" i="2"/>
  <c r="J75" i="2"/>
  <c r="J68" i="2"/>
  <c r="J69" i="2"/>
  <c r="J65" i="2"/>
  <c r="J63" i="2"/>
  <c r="J79" i="2" s="1"/>
  <c r="J73" i="2"/>
  <c r="J77" i="2"/>
  <c r="J72" i="2"/>
  <c r="J67" i="2"/>
  <c r="J64" i="2"/>
  <c r="J76" i="2"/>
  <c r="J78" i="2"/>
  <c r="J71" i="2"/>
  <c r="J74" i="1"/>
  <c r="J70" i="1"/>
  <c r="J66" i="1"/>
  <c r="J75" i="1"/>
  <c r="J68" i="1"/>
  <c r="J73" i="1"/>
  <c r="J76" i="1"/>
  <c r="J67" i="1"/>
  <c r="J77" i="1"/>
  <c r="J64" i="1"/>
  <c r="J69" i="1"/>
  <c r="J71" i="1"/>
  <c r="J63" i="1"/>
  <c r="J79" i="1" s="1"/>
  <c r="J65" i="1"/>
  <c r="J78" i="1"/>
  <c r="J72" i="1"/>
</calcChain>
</file>

<file path=xl/sharedStrings.xml><?xml version="1.0" encoding="utf-8"?>
<sst xmlns="http://schemas.openxmlformats.org/spreadsheetml/2006/main" count="426" uniqueCount="81">
  <si>
    <t xml:space="preserve"> </t>
  </si>
  <si>
    <t>PROVEEDOR</t>
  </si>
  <si>
    <t>TOTAL</t>
  </si>
  <si>
    <t>DIAGRAMA DE  SECADORA</t>
  </si>
  <si>
    <t>RECEPCION E INGRESO DE MADERA VERDE</t>
  </si>
  <si>
    <r>
      <rPr>
        <b/>
        <u/>
        <sz val="16"/>
        <color theme="1"/>
        <rFont val="Calibri"/>
        <family val="2"/>
        <scheme val="minor"/>
      </rPr>
      <t>MANTE</t>
    </r>
    <r>
      <rPr>
        <b/>
        <u/>
        <sz val="14"/>
        <color rgb="FF33CC33"/>
        <rFont val="Calibri"/>
        <family val="2"/>
        <scheme val="minor"/>
      </rPr>
      <t>LLOD S.A</t>
    </r>
  </si>
  <si>
    <t>PUERTA</t>
  </si>
  <si>
    <t xml:space="preserve"> 6  5  4  3  2  1 </t>
  </si>
  <si>
    <t>ANEXO</t>
  </si>
  <si>
    <t>PRINCIPAL</t>
  </si>
  <si>
    <t>▓ ▓ ▓ ▓ ▓ ▓</t>
  </si>
  <si>
    <t>CONTROL LOTES DE SECADO</t>
  </si>
  <si>
    <t>RAMAS</t>
  </si>
  <si>
    <t xml:space="preserve"> →</t>
  </si>
  <si>
    <t>FECHA ARMADO</t>
  </si>
  <si>
    <t>SIGNIFICADO</t>
  </si>
  <si>
    <t>ESPESOR</t>
  </si>
  <si>
    <t>DIA</t>
  </si>
  <si>
    <t>MADERA NORMAL</t>
  </si>
  <si>
    <t>CAMARA</t>
  </si>
  <si>
    <t>INICIO</t>
  </si>
  <si>
    <t>G=GRUESA</t>
  </si>
  <si>
    <t>G</t>
  </si>
  <si>
    <t>F</t>
  </si>
  <si>
    <t>V</t>
  </si>
  <si>
    <t>CORT</t>
  </si>
  <si>
    <t>F=FINA</t>
  </si>
  <si>
    <t>#CASTILLOS</t>
  </si>
  <si>
    <t>L=LIVIANA</t>
  </si>
  <si>
    <t>SECADORA#</t>
  </si>
  <si>
    <t>NORMAL</t>
  </si>
  <si>
    <t>SALIDA</t>
  </si>
  <si>
    <t>V=VARIOS</t>
  </si>
  <si>
    <t>ESPESORES NUEVOS</t>
  </si>
  <si>
    <t>N=NORMAL</t>
  </si>
  <si>
    <t>P=PESADA</t>
  </si>
  <si>
    <t>ID▓</t>
  </si>
  <si>
    <t>CASTILLO</t>
  </si>
  <si>
    <t>LARGO</t>
  </si>
  <si>
    <t>DETALLE DE COCHE</t>
  </si>
  <si>
    <t>BFT</t>
  </si>
  <si>
    <t>OBSERVACIONES</t>
  </si>
  <si>
    <t>No.</t>
  </si>
  <si>
    <t>PL</t>
  </si>
  <si>
    <t>T</t>
  </si>
  <si>
    <t>"</t>
  </si>
  <si>
    <t>ANCHO</t>
  </si>
  <si>
    <t>40"↔</t>
  </si>
  <si>
    <t>L/N/P</t>
  </si>
  <si>
    <t>OBS</t>
  </si>
  <si>
    <t>EXPECIFIC</t>
  </si>
  <si>
    <t>N</t>
  </si>
  <si>
    <t>ID.REG.IV.2020</t>
  </si>
  <si>
    <t>BFT  PLANTA</t>
  </si>
  <si>
    <t>BFT  BOSQUE</t>
  </si>
  <si>
    <t>SUMAN</t>
  </si>
  <si>
    <t>%</t>
  </si>
  <si>
    <t>TOTAL CAMARA</t>
  </si>
  <si>
    <t>COMPROBACION  Y RESUMEN</t>
  </si>
  <si>
    <t>FECHA</t>
  </si>
  <si>
    <t>PROV</t>
  </si>
  <si>
    <t>OBSERVACIONES:</t>
  </si>
  <si>
    <t xml:space="preserve">COMPROBACION </t>
  </si>
  <si>
    <t xml:space="preserve"> PORCENTAJES  POR ESPESORES   %</t>
  </si>
  <si>
    <t>R</t>
  </si>
  <si>
    <t>E</t>
  </si>
  <si>
    <t>S</t>
  </si>
  <si>
    <t>U</t>
  </si>
  <si>
    <t>M</t>
  </si>
  <si>
    <t>L</t>
  </si>
  <si>
    <t>P</t>
  </si>
  <si>
    <t>FECHA INICIO</t>
  </si>
  <si>
    <t>ID CAM</t>
  </si>
  <si>
    <t>TOTAL BFT IN ▓</t>
  </si>
  <si>
    <t>#CAMARA→</t>
  </si>
  <si>
    <t>T.BOSQUE</t>
  </si>
  <si>
    <t>ENTREGA CONFORME</t>
  </si>
  <si>
    <t>RECIBE CONFORME</t>
  </si>
  <si>
    <t>RESPONSABLE DE RECEPCION</t>
  </si>
  <si>
    <t>RESPONSABLE  DE SECADO</t>
  </si>
  <si>
    <t>IDENTIFICADOR CAM.REG.2021-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</si>
</sst>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F800]dddd\,\ mmmm\ dd\,\ yyyy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4"/>
      <color rgb="FF33CC33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5"/>
      <color rgb="FFFF0000"/>
      <name val="Aharoni"/>
    </font>
    <font>
      <b/>
      <sz val="12"/>
      <name val="Aharoni"/>
    </font>
    <font>
      <b/>
      <sz val="50"/>
      <color theme="1"/>
      <name val="Calibri"/>
      <family val="2"/>
      <scheme val="minor"/>
    </font>
    <font>
      <b/>
      <sz val="8"/>
      <name val="Arial"/>
      <family val="2"/>
    </font>
    <font>
      <b/>
      <sz val="12"/>
      <name val="Arial"/>
      <family val="2"/>
    </font>
    <font>
      <b/>
      <sz val="15"/>
      <name val="Aharoni"/>
    </font>
    <font>
      <b/>
      <sz val="5"/>
      <name val="Arial"/>
      <family val="2"/>
    </font>
    <font>
      <b/>
      <sz val="6"/>
      <name val="Arial"/>
      <family val="2"/>
    </font>
    <font>
      <b/>
      <sz val="10"/>
      <color theme="1"/>
      <name val="Calibri"/>
      <family val="2"/>
      <scheme val="minor"/>
    </font>
    <font>
      <b/>
      <sz val="7"/>
      <name val="Arial"/>
      <family val="2"/>
    </font>
    <font>
      <b/>
      <sz val="14"/>
      <color theme="1"/>
      <name val="Calibri"/>
      <family val="2"/>
      <scheme val="minor"/>
    </font>
    <font>
      <sz val="5"/>
      <name val="Arial"/>
      <family val="2"/>
    </font>
    <font>
      <b/>
      <sz val="8"/>
      <color theme="1"/>
      <name val="Arial"/>
      <family val="2"/>
    </font>
    <font>
      <b/>
      <sz val="18"/>
      <color theme="1"/>
      <name val="Calibri"/>
      <family val="2"/>
      <scheme val="minor"/>
    </font>
    <font>
      <sz val="7"/>
      <name val="Calibri"/>
      <family val="2"/>
      <scheme val="minor"/>
    </font>
    <font>
      <b/>
      <sz val="30"/>
      <name val="Arial"/>
      <family val="2"/>
    </font>
    <font>
      <b/>
      <sz val="4"/>
      <name val="Arial"/>
      <family val="2"/>
    </font>
    <font>
      <b/>
      <sz val="4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5"/>
      <name val="Calibri Light"/>
      <family val="2"/>
      <scheme val="major"/>
    </font>
    <font>
      <sz val="5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Arial"/>
      <family val="2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5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color rgb="FFFF0000"/>
      <name val="Arial"/>
      <family val="2"/>
    </font>
    <font>
      <sz val="5"/>
      <name val="Calibri"/>
      <family val="2"/>
      <scheme val="minor"/>
    </font>
    <font>
      <sz val="7"/>
      <color theme="1"/>
      <name val="Arial"/>
      <family val="2"/>
    </font>
    <font>
      <sz val="7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5"/>
      <name val="Calibri"/>
      <family val="2"/>
      <scheme val="minor"/>
    </font>
    <font>
      <sz val="7"/>
      <name val="Arial"/>
      <family val="2"/>
    </font>
    <font>
      <sz val="6"/>
      <name val="Arial"/>
      <family val="2"/>
    </font>
    <font>
      <sz val="7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  <family val="2"/>
    </font>
    <font>
      <sz val="11"/>
      <color rgb="FF00B05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Up">
        <bgColor rgb="FF00B0F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Dashed">
        <color rgb="FFFF0000"/>
      </right>
      <top style="medium">
        <color indexed="64"/>
      </top>
      <bottom/>
      <diagonal/>
    </border>
    <border>
      <left style="mediumDashed">
        <color rgb="FFFF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Dashed">
        <color rgb="FFFF0000"/>
      </right>
      <top/>
      <bottom/>
      <diagonal/>
    </border>
    <border>
      <left style="mediumDashed">
        <color rgb="FFFF000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Dashed">
        <color rgb="FFFF0000"/>
      </right>
      <top/>
      <bottom style="medium">
        <color indexed="64"/>
      </bottom>
      <diagonal/>
    </border>
    <border>
      <left style="mediumDashed">
        <color rgb="FFFF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9" fillId="0" borderId="0"/>
    <xf numFmtId="164" fontId="9" fillId="0" borderId="0"/>
  </cellStyleXfs>
  <cellXfs count="361">
    <xf numFmtId="0" fontId="0" fillId="0" borderId="0" xfId="0"/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15" fillId="0" borderId="16" xfId="2" applyNumberFormat="1" applyFont="1" applyBorder="1" applyAlignment="1" applyProtection="1">
      <alignment vertical="center"/>
      <protection locked="0"/>
    </xf>
    <xf numFmtId="0" fontId="15" fillId="0" borderId="26" xfId="2" applyNumberFormat="1" applyFont="1" applyBorder="1" applyAlignment="1" applyProtection="1">
      <alignment vertical="center"/>
      <protection locked="0"/>
    </xf>
    <xf numFmtId="0" fontId="20" fillId="0" borderId="29" xfId="2" applyNumberFormat="1" applyFont="1" applyBorder="1" applyAlignment="1" applyProtection="1">
      <alignment horizontal="center" vertical="center"/>
      <protection locked="0"/>
    </xf>
    <xf numFmtId="0" fontId="22" fillId="8" borderId="15" xfId="2" applyNumberFormat="1" applyFont="1" applyFill="1" applyBorder="1" applyAlignment="1" applyProtection="1">
      <alignment vertical="center"/>
      <protection locked="0"/>
    </xf>
    <xf numFmtId="0" fontId="22" fillId="8" borderId="28" xfId="2" applyNumberFormat="1" applyFont="1" applyFill="1" applyBorder="1" applyAlignment="1" applyProtection="1">
      <alignment horizontal="left" vertical="center"/>
      <protection locked="0"/>
    </xf>
    <xf numFmtId="0" fontId="2" fillId="2" borderId="41" xfId="0" applyFont="1" applyFill="1" applyBorder="1" applyAlignment="1" applyProtection="1">
      <alignment horizontal="center" vertical="center"/>
      <protection locked="0"/>
    </xf>
    <xf numFmtId="0" fontId="26" fillId="10" borderId="42" xfId="2" applyNumberFormat="1" applyFont="1" applyFill="1" applyBorder="1" applyAlignment="1" applyProtection="1">
      <alignment horizontal="center" vertical="center" wrapText="1"/>
      <protection locked="0"/>
    </xf>
    <xf numFmtId="0" fontId="22" fillId="8" borderId="15" xfId="2" applyNumberFormat="1" applyFont="1" applyFill="1" applyBorder="1" applyAlignment="1" applyProtection="1">
      <alignment horizontal="left" vertical="center"/>
      <protection locked="0"/>
    </xf>
    <xf numFmtId="0" fontId="26" fillId="0" borderId="44" xfId="2" applyNumberFormat="1" applyFont="1" applyBorder="1" applyAlignment="1" applyProtection="1">
      <alignment horizontal="center" vertical="center" wrapText="1"/>
      <protection locked="0"/>
    </xf>
    <xf numFmtId="0" fontId="30" fillId="0" borderId="13" xfId="2" applyNumberFormat="1" applyFont="1" applyBorder="1" applyAlignment="1" applyProtection="1">
      <alignment vertical="center"/>
      <protection locked="0"/>
    </xf>
    <xf numFmtId="0" fontId="26" fillId="11" borderId="46" xfId="2" applyNumberFormat="1" applyFont="1" applyFill="1" applyBorder="1" applyAlignment="1" applyProtection="1">
      <alignment horizontal="center" vertical="center" wrapText="1"/>
      <protection locked="0"/>
    </xf>
    <xf numFmtId="0" fontId="31" fillId="0" borderId="28" xfId="2" applyNumberFormat="1" applyFont="1" applyBorder="1" applyAlignment="1" applyProtection="1">
      <alignment horizontal="center" vertical="center"/>
      <protection locked="0"/>
    </xf>
    <xf numFmtId="0" fontId="21" fillId="0" borderId="28" xfId="2" applyNumberFormat="1" applyFont="1" applyBorder="1" applyAlignment="1" applyProtection="1">
      <alignment horizontal="center" vertical="center"/>
      <protection locked="0"/>
    </xf>
    <xf numFmtId="0" fontId="24" fillId="0" borderId="25" xfId="2" applyNumberFormat="1" applyFont="1" applyBorder="1" applyAlignment="1" applyProtection="1">
      <alignment vertical="center"/>
      <protection locked="0"/>
    </xf>
    <xf numFmtId="0" fontId="32" fillId="0" borderId="25" xfId="0" applyFont="1" applyBorder="1" applyProtection="1">
      <protection locked="0"/>
    </xf>
    <xf numFmtId="0" fontId="10" fillId="0" borderId="25" xfId="2" applyNumberFormat="1" applyFont="1" applyBorder="1" applyAlignment="1" applyProtection="1">
      <alignment horizontal="center" vertical="center"/>
      <protection locked="0"/>
    </xf>
    <xf numFmtId="0" fontId="21" fillId="0" borderId="25" xfId="2" applyNumberFormat="1" applyFont="1" applyBorder="1" applyAlignment="1" applyProtection="1">
      <alignment horizontal="center" vertical="center"/>
      <protection locked="0"/>
    </xf>
    <xf numFmtId="0" fontId="6" fillId="0" borderId="25" xfId="0" applyFont="1" applyBorder="1" applyProtection="1">
      <protection locked="0"/>
    </xf>
    <xf numFmtId="0" fontId="33" fillId="0" borderId="25" xfId="2" applyNumberFormat="1" applyFont="1" applyBorder="1" applyAlignment="1" applyProtection="1">
      <alignment horizontal="center" vertical="center"/>
      <protection locked="0"/>
    </xf>
    <xf numFmtId="0" fontId="33" fillId="0" borderId="1" xfId="2" applyNumberFormat="1" applyFont="1" applyBorder="1" applyAlignment="1" applyProtection="1">
      <alignment horizontal="center" vertical="center"/>
      <protection locked="0"/>
    </xf>
    <xf numFmtId="12" fontId="33" fillId="0" borderId="1" xfId="2" applyNumberFormat="1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35" fillId="0" borderId="25" xfId="2" applyNumberFormat="1" applyFont="1" applyBorder="1" applyAlignment="1" applyProtection="1">
      <alignment horizontal="center" vertical="center"/>
      <protection locked="0"/>
    </xf>
    <xf numFmtId="0" fontId="36" fillId="0" borderId="25" xfId="0" applyFont="1" applyBorder="1" applyProtection="1">
      <protection locked="0"/>
    </xf>
    <xf numFmtId="0" fontId="35" fillId="0" borderId="1" xfId="2" applyNumberFormat="1" applyFont="1" applyBorder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37" fillId="0" borderId="0" xfId="0" applyFont="1" applyBorder="1" applyProtection="1">
      <protection locked="0"/>
    </xf>
    <xf numFmtId="12" fontId="33" fillId="0" borderId="25" xfId="2" applyNumberFormat="1" applyFont="1" applyBorder="1" applyAlignment="1" applyProtection="1">
      <alignment horizontal="center" vertical="center"/>
      <protection locked="0"/>
    </xf>
    <xf numFmtId="0" fontId="38" fillId="6" borderId="15" xfId="0" applyFont="1" applyFill="1" applyBorder="1" applyProtection="1">
      <protection locked="0"/>
    </xf>
    <xf numFmtId="0" fontId="32" fillId="6" borderId="15" xfId="0" applyFont="1" applyFill="1" applyBorder="1" applyAlignment="1" applyProtection="1">
      <alignment horizontal="center" vertical="center"/>
      <protection locked="0"/>
    </xf>
    <xf numFmtId="0" fontId="39" fillId="0" borderId="0" xfId="2" applyNumberFormat="1" applyFont="1" applyAlignment="1" applyProtection="1">
      <alignment horizontal="center" vertical="center"/>
      <protection locked="0"/>
    </xf>
    <xf numFmtId="0" fontId="42" fillId="0" borderId="0" xfId="2" applyNumberFormat="1" applyFont="1" applyAlignment="1" applyProtection="1">
      <alignment vertical="center"/>
      <protection locked="0"/>
    </xf>
    <xf numFmtId="0" fontId="43" fillId="4" borderId="15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8" fillId="12" borderId="25" xfId="0" applyFont="1" applyFill="1" applyBorder="1" applyAlignment="1" applyProtection="1">
      <alignment horizontal="center" vertical="center"/>
      <protection locked="0"/>
    </xf>
    <xf numFmtId="2" fontId="5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 applyProtection="1">
      <alignment horizontal="center" vertical="center"/>
      <protection locked="0"/>
    </xf>
    <xf numFmtId="0" fontId="47" fillId="12" borderId="15" xfId="0" applyFont="1" applyFill="1" applyBorder="1" applyAlignment="1" applyProtection="1">
      <alignment horizontal="center" vertical="center"/>
      <protection locked="0"/>
    </xf>
    <xf numFmtId="0" fontId="14" fillId="0" borderId="25" xfId="0" applyFont="1" applyBorder="1" applyAlignment="1" applyProtection="1">
      <alignment horizontal="center" vertical="center"/>
      <protection locked="0"/>
    </xf>
    <xf numFmtId="10" fontId="48" fillId="0" borderId="1" xfId="0" applyNumberFormat="1" applyFont="1" applyBorder="1" applyAlignment="1" applyProtection="1">
      <alignment horizontal="center" vertical="center"/>
      <protection locked="0"/>
    </xf>
    <xf numFmtId="0" fontId="8" fillId="3" borderId="2" xfId="0" applyFont="1" applyFill="1" applyBorder="1" applyAlignment="1" applyProtection="1">
      <alignment horizontal="center" vertical="center"/>
      <protection locked="0"/>
    </xf>
    <xf numFmtId="0" fontId="8" fillId="3" borderId="41" xfId="0" applyFont="1" applyFill="1" applyBorder="1" applyAlignment="1" applyProtection="1">
      <alignment horizontal="center" vertical="center"/>
      <protection locked="0"/>
    </xf>
    <xf numFmtId="0" fontId="8" fillId="3" borderId="3" xfId="0" applyFont="1" applyFill="1" applyBorder="1" applyAlignment="1" applyProtection="1">
      <alignment horizontal="center" vertical="center"/>
      <protection locked="0"/>
    </xf>
    <xf numFmtId="0" fontId="49" fillId="0" borderId="41" xfId="3" applyNumberFormat="1" applyFont="1" applyBorder="1" applyAlignment="1" applyProtection="1">
      <alignment horizontal="center" vertical="center"/>
      <protection locked="0"/>
    </xf>
    <xf numFmtId="0" fontId="50" fillId="0" borderId="0" xfId="2" applyNumberFormat="1" applyFont="1" applyAlignment="1" applyProtection="1">
      <alignment vertical="center"/>
      <protection locked="0"/>
    </xf>
    <xf numFmtId="14" fontId="47" fillId="0" borderId="52" xfId="0" applyNumberFormat="1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9" fontId="47" fillId="0" borderId="53" xfId="0" applyNumberFormat="1" applyFont="1" applyBorder="1" applyAlignment="1" applyProtection="1">
      <alignment horizontal="center" vertical="center"/>
      <protection locked="0"/>
    </xf>
    <xf numFmtId="0" fontId="54" fillId="0" borderId="0" xfId="2" applyNumberFormat="1" applyFont="1" applyAlignment="1" applyProtection="1">
      <alignment horizontal="right" vertical="center"/>
      <protection locked="0"/>
    </xf>
    <xf numFmtId="12" fontId="18" fillId="6" borderId="54" xfId="2" applyNumberFormat="1" applyFont="1" applyFill="1" applyBorder="1" applyAlignment="1" applyProtection="1">
      <alignment horizontal="center" vertical="center"/>
      <protection locked="0"/>
    </xf>
    <xf numFmtId="9" fontId="3" fillId="0" borderId="25" xfId="0" applyNumberFormat="1" applyFont="1" applyBorder="1" applyAlignment="1" applyProtection="1">
      <alignment vertical="center"/>
      <protection locked="0"/>
    </xf>
    <xf numFmtId="2" fontId="55" fillId="0" borderId="25" xfId="2" applyNumberFormat="1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vertical="center"/>
      <protection locked="0"/>
    </xf>
    <xf numFmtId="9" fontId="47" fillId="0" borderId="56" xfId="0" applyNumberFormat="1" applyFont="1" applyBorder="1" applyAlignment="1" applyProtection="1">
      <alignment horizontal="center" vertical="center"/>
      <protection locked="0"/>
    </xf>
    <xf numFmtId="0" fontId="10" fillId="0" borderId="54" xfId="2" applyNumberFormat="1" applyFont="1" applyBorder="1" applyAlignment="1" applyProtection="1">
      <alignment horizontal="center" vertical="center"/>
      <protection locked="0"/>
    </xf>
    <xf numFmtId="9" fontId="3" fillId="8" borderId="25" xfId="0" applyNumberFormat="1" applyFont="1" applyFill="1" applyBorder="1" applyAlignment="1" applyProtection="1">
      <alignment vertical="center"/>
      <protection locked="0"/>
    </xf>
    <xf numFmtId="2" fontId="55" fillId="8" borderId="25" xfId="2" applyNumberFormat="1" applyFont="1" applyFill="1" applyBorder="1" applyAlignment="1" applyProtection="1">
      <alignment horizontal="center" vertical="center"/>
      <protection locked="0"/>
    </xf>
    <xf numFmtId="0" fontId="10" fillId="8" borderId="54" xfId="2" applyNumberFormat="1" applyFont="1" applyFill="1" applyBorder="1" applyAlignment="1" applyProtection="1">
      <alignment horizontal="center" vertical="center"/>
      <protection locked="0"/>
    </xf>
    <xf numFmtId="0" fontId="33" fillId="8" borderId="25" xfId="2" applyNumberFormat="1" applyFont="1" applyFill="1" applyBorder="1" applyAlignment="1" applyProtection="1">
      <alignment horizontal="center" vertical="center"/>
      <protection locked="0"/>
    </xf>
    <xf numFmtId="0" fontId="9" fillId="0" borderId="0" xfId="2" applyNumberFormat="1" applyProtection="1">
      <protection locked="0"/>
    </xf>
    <xf numFmtId="2" fontId="55" fillId="0" borderId="1" xfId="2" applyNumberFormat="1" applyFont="1" applyBorder="1" applyAlignment="1" applyProtection="1">
      <alignment horizontal="center" vertical="center"/>
      <protection locked="0"/>
    </xf>
    <xf numFmtId="2" fontId="4" fillId="13" borderId="58" xfId="0" applyNumberFormat="1" applyFont="1" applyFill="1" applyBorder="1" applyAlignment="1" applyProtection="1">
      <alignment horizontal="center" vertical="center"/>
      <protection locked="0"/>
    </xf>
    <xf numFmtId="2" fontId="4" fillId="13" borderId="59" xfId="0" applyNumberFormat="1" applyFont="1" applyFill="1" applyBorder="1" applyAlignment="1" applyProtection="1">
      <alignment horizontal="right" vertical="center"/>
      <protection locked="0"/>
    </xf>
    <xf numFmtId="0" fontId="56" fillId="10" borderId="60" xfId="2" applyNumberFormat="1" applyFont="1" applyFill="1" applyBorder="1" applyAlignment="1" applyProtection="1">
      <alignment horizontal="center" vertical="center" wrapText="1"/>
      <protection locked="0"/>
    </xf>
    <xf numFmtId="2" fontId="57" fillId="14" borderId="59" xfId="0" applyNumberFormat="1" applyFont="1" applyFill="1" applyBorder="1" applyAlignment="1" applyProtection="1">
      <alignment vertical="center"/>
      <protection locked="0"/>
    </xf>
    <xf numFmtId="12" fontId="18" fillId="0" borderId="54" xfId="2" applyNumberFormat="1" applyFont="1" applyBorder="1" applyAlignment="1" applyProtection="1">
      <alignment horizontal="center" vertical="center"/>
      <protection locked="0"/>
    </xf>
    <xf numFmtId="0" fontId="56" fillId="0" borderId="38" xfId="2" applyNumberFormat="1" applyFont="1" applyBorder="1" applyAlignment="1" applyProtection="1">
      <alignment horizontal="center" vertical="center" wrapText="1"/>
      <protection locked="0"/>
    </xf>
    <xf numFmtId="2" fontId="4" fillId="0" borderId="54" xfId="0" applyNumberFormat="1" applyFont="1" applyBorder="1" applyAlignment="1" applyProtection="1">
      <alignment horizontal="center" vertical="center"/>
      <protection locked="0"/>
    </xf>
    <xf numFmtId="2" fontId="4" fillId="0" borderId="56" xfId="0" applyNumberFormat="1" applyFont="1" applyBorder="1" applyAlignment="1" applyProtection="1">
      <alignment horizontal="right" vertical="center"/>
      <protection locked="0"/>
    </xf>
    <xf numFmtId="0" fontId="56" fillId="11" borderId="5" xfId="2" applyNumberFormat="1" applyFont="1" applyFill="1" applyBorder="1" applyAlignment="1" applyProtection="1">
      <alignment horizontal="center" vertical="center" wrapText="1"/>
      <protection locked="0"/>
    </xf>
    <xf numFmtId="2" fontId="57" fillId="11" borderId="63" xfId="0" applyNumberFormat="1" applyFont="1" applyFill="1" applyBorder="1" applyAlignment="1" applyProtection="1">
      <alignment vertical="center"/>
      <protection locked="0"/>
    </xf>
    <xf numFmtId="2" fontId="4" fillId="0" borderId="62" xfId="0" applyNumberFormat="1" applyFont="1" applyBorder="1" applyAlignment="1" applyProtection="1">
      <alignment horizontal="center" vertical="center"/>
      <protection locked="0"/>
    </xf>
    <xf numFmtId="2" fontId="4" fillId="0" borderId="63" xfId="0" applyNumberFormat="1" applyFont="1" applyBorder="1" applyAlignment="1" applyProtection="1">
      <alignment horizontal="right" vertical="center"/>
      <protection locked="0"/>
    </xf>
    <xf numFmtId="0" fontId="58" fillId="0" borderId="0" xfId="0" applyFont="1" applyProtection="1">
      <protection locked="0"/>
    </xf>
    <xf numFmtId="0" fontId="9" fillId="0" borderId="0" xfId="2" applyNumberFormat="1" applyAlignment="1" applyProtection="1">
      <alignment vertical="center"/>
      <protection locked="0"/>
    </xf>
    <xf numFmtId="0" fontId="10" fillId="0" borderId="0" xfId="2" applyNumberFormat="1" applyFont="1" applyProtection="1">
      <protection locked="0"/>
    </xf>
    <xf numFmtId="0" fontId="14" fillId="0" borderId="0" xfId="0" applyFont="1" applyAlignment="1" applyProtection="1">
      <alignment vertical="center"/>
      <protection locked="0"/>
    </xf>
    <xf numFmtId="0" fontId="5" fillId="0" borderId="25" xfId="0" applyFont="1" applyBorder="1" applyProtection="1">
      <protection locked="0"/>
    </xf>
    <xf numFmtId="9" fontId="47" fillId="0" borderId="63" xfId="0" applyNumberFormat="1" applyFont="1" applyBorder="1" applyAlignment="1" applyProtection="1">
      <alignment horizontal="center" vertical="center"/>
      <protection locked="0"/>
    </xf>
    <xf numFmtId="2" fontId="14" fillId="0" borderId="41" xfId="0" applyNumberFormat="1" applyFont="1" applyBorder="1" applyAlignment="1" applyProtection="1">
      <alignment vertical="center"/>
      <protection locked="0"/>
    </xf>
    <xf numFmtId="9" fontId="48" fillId="0" borderId="41" xfId="0" applyNumberFormat="1" applyFont="1" applyBorder="1" applyAlignment="1" applyProtection="1">
      <alignment horizontal="center" vertical="center"/>
      <protection locked="0"/>
    </xf>
    <xf numFmtId="0" fontId="59" fillId="0" borderId="0" xfId="2" applyNumberFormat="1" applyFont="1" applyAlignment="1" applyProtection="1">
      <alignment vertical="center"/>
      <protection locked="0"/>
    </xf>
    <xf numFmtId="0" fontId="18" fillId="0" borderId="0" xfId="2" applyNumberFormat="1" applyFont="1" applyProtection="1">
      <protection locked="0"/>
    </xf>
    <xf numFmtId="0" fontId="18" fillId="0" borderId="0" xfId="2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2" fillId="0" borderId="25" xfId="0" applyFont="1" applyBorder="1" applyAlignment="1" applyProtection="1">
      <alignment horizontal="center" vertical="center"/>
      <protection locked="0"/>
    </xf>
    <xf numFmtId="0" fontId="30" fillId="0" borderId="14" xfId="2" applyNumberFormat="1" applyFont="1" applyBorder="1" applyAlignment="1" applyProtection="1">
      <alignment vertical="center"/>
      <protection locked="0"/>
    </xf>
    <xf numFmtId="0" fontId="51" fillId="0" borderId="15" xfId="0" applyFont="1" applyBorder="1" applyAlignment="1">
      <alignment horizontal="center" vertical="center"/>
    </xf>
    <xf numFmtId="0" fontId="51" fillId="0" borderId="25" xfId="0" applyFont="1" applyBorder="1" applyAlignment="1">
      <alignment horizontal="center" vertical="center"/>
    </xf>
    <xf numFmtId="2" fontId="57" fillId="0" borderId="56" xfId="0" applyNumberFormat="1" applyFont="1" applyBorder="1" applyAlignment="1" applyProtection="1">
      <alignment vertical="center"/>
      <protection locked="0"/>
    </xf>
    <xf numFmtId="0" fontId="5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  <protection locked="0"/>
    </xf>
    <xf numFmtId="0" fontId="24" fillId="0" borderId="1" xfId="2" applyNumberFormat="1" applyFont="1" applyBorder="1" applyAlignment="1" applyProtection="1">
      <alignment horizontal="center" vertical="center"/>
      <protection locked="0"/>
    </xf>
    <xf numFmtId="0" fontId="24" fillId="0" borderId="15" xfId="2" applyNumberFormat="1" applyFont="1" applyBorder="1" applyAlignment="1" applyProtection="1">
      <alignment horizontal="center" vertical="center"/>
      <protection locked="0"/>
    </xf>
    <xf numFmtId="0" fontId="21" fillId="0" borderId="1" xfId="2" applyNumberFormat="1" applyFont="1" applyBorder="1" applyAlignment="1" applyProtection="1">
      <alignment horizontal="center" vertical="center"/>
      <protection locked="0"/>
    </xf>
    <xf numFmtId="0" fontId="10" fillId="0" borderId="15" xfId="2" applyNumberFormat="1" applyFont="1" applyBorder="1" applyAlignment="1" applyProtection="1">
      <alignment horizontal="center" vertical="center"/>
      <protection locked="0"/>
    </xf>
    <xf numFmtId="0" fontId="10" fillId="0" borderId="15" xfId="2" applyNumberFormat="1" applyFont="1" applyBorder="1" applyAlignment="1" applyProtection="1">
      <alignment horizontal="center" vertical="center"/>
      <protection locked="0"/>
    </xf>
    <xf numFmtId="0" fontId="60" fillId="0" borderId="33" xfId="0" applyFont="1" applyBorder="1" applyAlignment="1" applyProtection="1">
      <alignment horizontal="center" vertical="center"/>
      <protection locked="0"/>
    </xf>
    <xf numFmtId="0" fontId="14" fillId="0" borderId="2" xfId="0" applyFont="1" applyBorder="1" applyAlignment="1" applyProtection="1">
      <alignment horizontal="center" vertical="center"/>
      <protection locked="0"/>
    </xf>
    <xf numFmtId="0" fontId="14" fillId="0" borderId="4" xfId="0" applyFont="1" applyBorder="1" applyAlignment="1" applyProtection="1">
      <alignment horizontal="center" vertical="center"/>
      <protection locked="0"/>
    </xf>
    <xf numFmtId="9" fontId="43" fillId="2" borderId="1" xfId="0" applyNumberFormat="1" applyFont="1" applyFill="1" applyBorder="1" applyAlignment="1" applyProtection="1">
      <alignment horizontal="center" vertical="center"/>
      <protection locked="0"/>
    </xf>
    <xf numFmtId="9" fontId="43" fillId="2" borderId="65" xfId="0" applyNumberFormat="1" applyFont="1" applyFill="1" applyBorder="1" applyAlignment="1" applyProtection="1">
      <alignment horizontal="center" vertical="center"/>
      <protection locked="0"/>
    </xf>
    <xf numFmtId="2" fontId="10" fillId="0" borderId="63" xfId="2" applyNumberFormat="1" applyFont="1" applyBorder="1" applyAlignment="1" applyProtection="1">
      <alignment horizontal="center" vertical="center"/>
      <protection locked="0"/>
    </xf>
    <xf numFmtId="2" fontId="10" fillId="0" borderId="66" xfId="2" applyNumberFormat="1" applyFont="1" applyBorder="1" applyAlignment="1" applyProtection="1">
      <alignment horizontal="center" vertical="center"/>
      <protection locked="0"/>
    </xf>
    <xf numFmtId="2" fontId="19" fillId="0" borderId="8" xfId="2" applyNumberFormat="1" applyFont="1" applyBorder="1" applyAlignment="1" applyProtection="1">
      <alignment horizontal="center" vertical="center"/>
      <protection locked="0"/>
    </xf>
    <xf numFmtId="2" fontId="19" fillId="0" borderId="10" xfId="2" applyNumberFormat="1" applyFont="1" applyBorder="1" applyAlignment="1" applyProtection="1">
      <alignment horizontal="center" vertical="center"/>
      <protection locked="0"/>
    </xf>
    <xf numFmtId="2" fontId="19" fillId="0" borderId="32" xfId="2" applyNumberFormat="1" applyFont="1" applyBorder="1" applyAlignment="1" applyProtection="1">
      <alignment horizontal="center" vertical="center"/>
      <protection locked="0"/>
    </xf>
    <xf numFmtId="2" fontId="19" fillId="0" borderId="31" xfId="2" applyNumberFormat="1" applyFont="1" applyBorder="1" applyAlignment="1" applyProtection="1">
      <alignment horizontal="center" vertical="center"/>
      <protection locked="0"/>
    </xf>
    <xf numFmtId="0" fontId="8" fillId="6" borderId="60" xfId="0" applyFont="1" applyFill="1" applyBorder="1" applyAlignment="1" applyProtection="1">
      <alignment horizontal="center" vertical="center"/>
      <protection locked="0"/>
    </xf>
    <xf numFmtId="0" fontId="8" fillId="6" borderId="36" xfId="0" applyFont="1" applyFill="1" applyBorder="1" applyAlignment="1" applyProtection="1">
      <alignment horizontal="center" vertical="center"/>
      <protection locked="0"/>
    </xf>
    <xf numFmtId="165" fontId="3" fillId="0" borderId="35" xfId="0" applyNumberFormat="1" applyFont="1" applyBorder="1" applyAlignment="1" applyProtection="1">
      <alignment horizontal="center"/>
      <protection locked="0"/>
    </xf>
    <xf numFmtId="165" fontId="3" fillId="0" borderId="47" xfId="0" applyNumberFormat="1" applyFont="1" applyBorder="1" applyAlignment="1" applyProtection="1">
      <alignment horizontal="center"/>
      <protection locked="0"/>
    </xf>
    <xf numFmtId="165" fontId="3" fillId="0" borderId="18" xfId="0" applyNumberFormat="1" applyFont="1" applyBorder="1" applyAlignment="1" applyProtection="1">
      <alignment horizontal="center"/>
      <protection locked="0"/>
    </xf>
    <xf numFmtId="0" fontId="2" fillId="0" borderId="67" xfId="0" applyFont="1" applyBorder="1" applyAlignment="1" applyProtection="1">
      <alignment horizontal="center"/>
      <protection locked="0"/>
    </xf>
    <xf numFmtId="0" fontId="2" fillId="0" borderId="52" xfId="0" applyFont="1" applyBorder="1" applyAlignment="1" applyProtection="1">
      <alignment horizontal="center"/>
      <protection locked="0"/>
    </xf>
    <xf numFmtId="0" fontId="48" fillId="0" borderId="68" xfId="0" applyFont="1" applyBorder="1" applyAlignment="1" applyProtection="1">
      <alignment horizontal="center"/>
      <protection locked="0"/>
    </xf>
    <xf numFmtId="0" fontId="48" fillId="0" borderId="53" xfId="0" applyFont="1" applyBorder="1" applyAlignment="1" applyProtection="1">
      <alignment horizontal="center"/>
      <protection locked="0"/>
    </xf>
    <xf numFmtId="0" fontId="48" fillId="2" borderId="43" xfId="0" applyFont="1" applyFill="1" applyBorder="1" applyAlignment="1" applyProtection="1">
      <alignment horizontal="center" vertical="center"/>
      <protection locked="0"/>
    </xf>
    <xf numFmtId="0" fontId="48" fillId="2" borderId="45" xfId="0" applyFont="1" applyFill="1" applyBorder="1" applyAlignment="1" applyProtection="1">
      <alignment horizontal="center" vertical="center"/>
      <protection locked="0"/>
    </xf>
    <xf numFmtId="2" fontId="14" fillId="2" borderId="43" xfId="0" applyNumberFormat="1" applyFont="1" applyFill="1" applyBorder="1" applyAlignment="1" applyProtection="1">
      <alignment horizontal="center" vertical="center"/>
      <protection locked="0"/>
    </xf>
    <xf numFmtId="2" fontId="14" fillId="2" borderId="45" xfId="0" applyNumberFormat="1" applyFont="1" applyFill="1" applyBorder="1" applyAlignment="1" applyProtection="1">
      <alignment horizontal="center" vertical="center"/>
      <protection locked="0"/>
    </xf>
    <xf numFmtId="0" fontId="3" fillId="0" borderId="69" xfId="0" applyFont="1" applyBorder="1" applyAlignment="1" applyProtection="1">
      <alignment horizontal="center" vertical="center"/>
      <protection locked="0"/>
    </xf>
    <xf numFmtId="0" fontId="3" fillId="0" borderId="71" xfId="0" applyFont="1" applyBorder="1" applyAlignment="1" applyProtection="1">
      <alignment horizontal="center" vertical="center"/>
      <protection locked="0"/>
    </xf>
    <xf numFmtId="0" fontId="8" fillId="6" borderId="38" xfId="0" applyFont="1" applyFill="1" applyBorder="1" applyAlignment="1" applyProtection="1">
      <alignment horizontal="center" vertical="center"/>
      <protection locked="0"/>
    </xf>
    <xf numFmtId="0" fontId="8" fillId="6" borderId="14" xfId="0" applyFont="1" applyFill="1" applyBorder="1" applyAlignment="1" applyProtection="1">
      <alignment horizontal="center" vertical="center"/>
      <protection locked="0"/>
    </xf>
    <xf numFmtId="0" fontId="58" fillId="0" borderId="12" xfId="0" applyFont="1" applyBorder="1" applyAlignment="1" applyProtection="1">
      <alignment horizontal="center" vertical="center"/>
      <protection locked="0"/>
    </xf>
    <xf numFmtId="0" fontId="58" fillId="0" borderId="13" xfId="0" applyFont="1" applyBorder="1" applyAlignment="1" applyProtection="1">
      <alignment horizontal="center" vertical="center"/>
      <protection locked="0"/>
    </xf>
    <xf numFmtId="0" fontId="58" fillId="0" borderId="37" xfId="0" applyFont="1" applyBorder="1" applyAlignment="1" applyProtection="1">
      <alignment horizontal="center" vertical="center"/>
      <protection locked="0"/>
    </xf>
    <xf numFmtId="0" fontId="8" fillId="6" borderId="69" xfId="0" applyFont="1" applyFill="1" applyBorder="1" applyAlignment="1" applyProtection="1">
      <alignment horizontal="center" vertical="center"/>
      <protection locked="0"/>
    </xf>
    <xf numFmtId="0" fontId="8" fillId="6" borderId="51" xfId="0" applyFont="1" applyFill="1" applyBorder="1" applyAlignment="1" applyProtection="1">
      <alignment horizontal="center" vertical="center"/>
      <protection locked="0"/>
    </xf>
    <xf numFmtId="0" fontId="58" fillId="2" borderId="50" xfId="0" applyFont="1" applyFill="1" applyBorder="1" applyAlignment="1" applyProtection="1">
      <alignment horizontal="center" vertical="center"/>
      <protection locked="0"/>
    </xf>
    <xf numFmtId="0" fontId="58" fillId="2" borderId="70" xfId="0" applyFont="1" applyFill="1" applyBorder="1" applyAlignment="1" applyProtection="1">
      <alignment horizontal="center" vertical="center"/>
      <protection locked="0"/>
    </xf>
    <xf numFmtId="0" fontId="58" fillId="2" borderId="71" xfId="0" applyFont="1" applyFill="1" applyBorder="1" applyAlignment="1" applyProtection="1">
      <alignment horizontal="center" vertical="center"/>
      <protection locked="0"/>
    </xf>
    <xf numFmtId="0" fontId="34" fillId="0" borderId="2" xfId="2" applyNumberFormat="1" applyFont="1" applyBorder="1" applyAlignment="1" applyProtection="1">
      <alignment horizontal="center" vertical="center"/>
      <protection locked="0"/>
    </xf>
    <xf numFmtId="0" fontId="34" fillId="0" borderId="3" xfId="2" applyNumberFormat="1" applyFont="1" applyBorder="1" applyAlignment="1" applyProtection="1">
      <alignment horizontal="center" vertical="center"/>
      <protection locked="0"/>
    </xf>
    <xf numFmtId="0" fontId="34" fillId="0" borderId="4" xfId="2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52" fillId="0" borderId="8" xfId="0" applyFont="1" applyBorder="1" applyAlignment="1" applyProtection="1">
      <alignment horizontal="center" vertical="center"/>
      <protection locked="0"/>
    </xf>
    <xf numFmtId="0" fontId="52" fillId="0" borderId="9" xfId="0" applyFont="1" applyBorder="1" applyAlignment="1" applyProtection="1">
      <alignment horizontal="center" vertical="center"/>
      <protection locked="0"/>
    </xf>
    <xf numFmtId="0" fontId="52" fillId="0" borderId="10" xfId="0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 applyProtection="1">
      <alignment horizontal="center" vertical="center"/>
      <protection locked="0"/>
    </xf>
    <xf numFmtId="0" fontId="52" fillId="0" borderId="0" xfId="0" applyFont="1" applyAlignment="1" applyProtection="1">
      <alignment horizontal="center" vertical="center"/>
      <protection locked="0"/>
    </xf>
    <xf numFmtId="0" fontId="52" fillId="0" borderId="23" xfId="0" applyFont="1" applyBorder="1" applyAlignment="1" applyProtection="1">
      <alignment horizontal="center" vertical="center"/>
      <protection locked="0"/>
    </xf>
    <xf numFmtId="0" fontId="52" fillId="0" borderId="32" xfId="0" applyFont="1" applyBorder="1" applyAlignment="1" applyProtection="1">
      <alignment horizontal="center" vertical="center"/>
      <protection locked="0"/>
    </xf>
    <xf numFmtId="0" fontId="52" fillId="0" borderId="33" xfId="0" applyFont="1" applyBorder="1" applyAlignment="1" applyProtection="1">
      <alignment horizontal="center" vertical="center"/>
      <protection locked="0"/>
    </xf>
    <xf numFmtId="0" fontId="52" fillId="0" borderId="31" xfId="0" applyFont="1" applyBorder="1" applyAlignment="1" applyProtection="1">
      <alignment horizontal="center" vertical="center"/>
      <protection locked="0"/>
    </xf>
    <xf numFmtId="9" fontId="10" fillId="0" borderId="55" xfId="1" applyFont="1" applyBorder="1" applyAlignment="1" applyProtection="1">
      <alignment horizontal="center" vertical="center" textRotation="90"/>
      <protection locked="0"/>
    </xf>
    <xf numFmtId="9" fontId="10" fillId="0" borderId="10" xfId="1" applyFont="1" applyBorder="1" applyAlignment="1" applyProtection="1">
      <alignment horizontal="center" vertical="center" textRotation="90"/>
      <protection locked="0"/>
    </xf>
    <xf numFmtId="9" fontId="10" fillId="0" borderId="57" xfId="1" applyFont="1" applyBorder="1" applyAlignment="1" applyProtection="1">
      <alignment horizontal="center" vertical="center" textRotation="90"/>
      <protection locked="0"/>
    </xf>
    <xf numFmtId="9" fontId="10" fillId="0" borderId="23" xfId="1" applyFont="1" applyBorder="1" applyAlignment="1" applyProtection="1">
      <alignment horizontal="center" vertical="center" textRotation="90"/>
      <protection locked="0"/>
    </xf>
    <xf numFmtId="9" fontId="10" fillId="0" borderId="40" xfId="1" applyFont="1" applyBorder="1" applyAlignment="1" applyProtection="1">
      <alignment horizontal="center" vertical="center" textRotation="90"/>
      <protection locked="0"/>
    </xf>
    <xf numFmtId="9" fontId="10" fillId="0" borderId="21" xfId="1" applyFont="1" applyBorder="1" applyAlignment="1" applyProtection="1">
      <alignment horizontal="center" vertical="center" textRotation="90"/>
      <protection locked="0"/>
    </xf>
    <xf numFmtId="9" fontId="10" fillId="0" borderId="61" xfId="1" applyFont="1" applyBorder="1" applyAlignment="1" applyProtection="1">
      <alignment horizontal="center" vertical="center" textRotation="90"/>
      <protection locked="0"/>
    </xf>
    <xf numFmtId="9" fontId="10" fillId="0" borderId="31" xfId="1" applyFont="1" applyBorder="1" applyAlignment="1" applyProtection="1">
      <alignment horizontal="center" vertical="center" textRotation="90"/>
      <protection locked="0"/>
    </xf>
    <xf numFmtId="0" fontId="2" fillId="6" borderId="2" xfId="0" applyFont="1" applyFill="1" applyBorder="1" applyAlignment="1" applyProtection="1">
      <alignment horizontal="center" vertical="center"/>
      <protection locked="0"/>
    </xf>
    <xf numFmtId="0" fontId="2" fillId="6" borderId="3" xfId="0" applyFont="1" applyFill="1" applyBorder="1" applyAlignment="1" applyProtection="1">
      <alignment horizontal="center" vertical="center"/>
      <protection locked="0"/>
    </xf>
    <xf numFmtId="0" fontId="2" fillId="6" borderId="4" xfId="0" applyFont="1" applyFill="1" applyBorder="1" applyAlignment="1" applyProtection="1">
      <alignment horizontal="center" vertical="center"/>
      <protection locked="0"/>
    </xf>
    <xf numFmtId="0" fontId="39" fillId="8" borderId="12" xfId="2" applyNumberFormat="1" applyFont="1" applyFill="1" applyBorder="1" applyAlignment="1" applyProtection="1">
      <alignment horizontal="center" vertical="center"/>
      <protection locked="0"/>
    </xf>
    <xf numFmtId="0" fontId="39" fillId="8" borderId="14" xfId="2" applyNumberFormat="1" applyFont="1" applyFill="1" applyBorder="1" applyAlignment="1" applyProtection="1">
      <alignment horizontal="center" vertical="center"/>
      <protection locked="0"/>
    </xf>
    <xf numFmtId="0" fontId="10" fillId="0" borderId="43" xfId="2" applyNumberFormat="1" applyFont="1" applyBorder="1" applyAlignment="1" applyProtection="1">
      <alignment horizontal="center" vertical="center"/>
      <protection locked="0"/>
    </xf>
    <xf numFmtId="0" fontId="10" fillId="0" borderId="45" xfId="2" applyNumberFormat="1" applyFont="1" applyBorder="1" applyAlignment="1" applyProtection="1">
      <alignment horizontal="center" vertical="center"/>
      <protection locked="0"/>
    </xf>
    <xf numFmtId="2" fontId="44" fillId="0" borderId="8" xfId="0" applyNumberFormat="1" applyFont="1" applyBorder="1" applyAlignment="1" applyProtection="1">
      <alignment horizontal="center" vertical="center"/>
      <protection locked="0"/>
    </xf>
    <xf numFmtId="2" fontId="44" fillId="0" borderId="10" xfId="0" applyNumberFormat="1" applyFont="1" applyBorder="1" applyAlignment="1" applyProtection="1">
      <alignment horizontal="center" vertical="center"/>
      <protection locked="0"/>
    </xf>
    <xf numFmtId="2" fontId="44" fillId="0" borderId="32" xfId="0" applyNumberFormat="1" applyFont="1" applyBorder="1" applyAlignment="1" applyProtection="1">
      <alignment horizontal="center" vertical="center"/>
      <protection locked="0"/>
    </xf>
    <xf numFmtId="2" fontId="44" fillId="0" borderId="31" xfId="0" applyNumberFormat="1" applyFont="1" applyBorder="1" applyAlignment="1" applyProtection="1">
      <alignment horizontal="center" vertical="center"/>
      <protection locked="0"/>
    </xf>
    <xf numFmtId="2" fontId="45" fillId="0" borderId="39" xfId="2" applyNumberFormat="1" applyFont="1" applyBorder="1" applyAlignment="1" applyProtection="1">
      <alignment horizontal="center" vertical="center"/>
      <protection locked="0"/>
    </xf>
    <xf numFmtId="2" fontId="45" fillId="0" borderId="24" xfId="2" applyNumberFormat="1" applyFont="1" applyBorder="1" applyAlignment="1" applyProtection="1">
      <alignment horizontal="center" vertical="center"/>
      <protection locked="0"/>
    </xf>
    <xf numFmtId="2" fontId="45" fillId="0" borderId="40" xfId="2" applyNumberFormat="1" applyFont="1" applyBorder="1" applyAlignment="1" applyProtection="1">
      <alignment horizontal="center" vertical="center"/>
      <protection locked="0"/>
    </xf>
    <xf numFmtId="2" fontId="45" fillId="0" borderId="34" xfId="2" applyNumberFormat="1" applyFont="1" applyBorder="1" applyAlignment="1" applyProtection="1">
      <alignment horizontal="center" vertical="center"/>
      <protection locked="0"/>
    </xf>
    <xf numFmtId="2" fontId="46" fillId="0" borderId="39" xfId="2" applyNumberFormat="1" applyFont="1" applyBorder="1" applyAlignment="1" applyProtection="1">
      <alignment horizontal="center" vertical="center"/>
      <protection locked="0"/>
    </xf>
    <xf numFmtId="2" fontId="46" fillId="0" borderId="24" xfId="2" applyNumberFormat="1" applyFont="1" applyBorder="1" applyAlignment="1" applyProtection="1">
      <alignment horizontal="center" vertical="center"/>
      <protection locked="0"/>
    </xf>
    <xf numFmtId="2" fontId="46" fillId="0" borderId="40" xfId="2" applyNumberFormat="1" applyFont="1" applyBorder="1" applyAlignment="1" applyProtection="1">
      <alignment horizontal="center" vertical="center"/>
      <protection locked="0"/>
    </xf>
    <xf numFmtId="2" fontId="46" fillId="0" borderId="34" xfId="2" applyNumberFormat="1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32" xfId="0" applyFont="1" applyBorder="1" applyAlignment="1" applyProtection="1">
      <alignment horizontal="center"/>
      <protection locked="0"/>
    </xf>
    <xf numFmtId="0" fontId="7" fillId="0" borderId="33" xfId="0" applyFont="1" applyBorder="1" applyAlignment="1" applyProtection="1">
      <alignment horizontal="center"/>
      <protection locked="0"/>
    </xf>
    <xf numFmtId="0" fontId="7" fillId="0" borderId="31" xfId="0" applyFont="1" applyBorder="1" applyAlignment="1" applyProtection="1">
      <alignment horizontal="center"/>
      <protection locked="0"/>
    </xf>
    <xf numFmtId="2" fontId="25" fillId="2" borderId="8" xfId="0" applyNumberFormat="1" applyFont="1" applyFill="1" applyBorder="1" applyAlignment="1" applyProtection="1">
      <alignment horizontal="center"/>
      <protection locked="0"/>
    </xf>
    <xf numFmtId="2" fontId="25" fillId="2" borderId="9" xfId="0" applyNumberFormat="1" applyFont="1" applyFill="1" applyBorder="1" applyAlignment="1" applyProtection="1">
      <alignment horizontal="center"/>
      <protection locked="0"/>
    </xf>
    <xf numFmtId="2" fontId="25" fillId="2" borderId="10" xfId="0" applyNumberFormat="1" applyFont="1" applyFill="1" applyBorder="1" applyAlignment="1" applyProtection="1">
      <alignment horizontal="center"/>
      <protection locked="0"/>
    </xf>
    <xf numFmtId="2" fontId="25" fillId="2" borderId="32" xfId="0" applyNumberFormat="1" applyFont="1" applyFill="1" applyBorder="1" applyAlignment="1" applyProtection="1">
      <alignment horizontal="center"/>
      <protection locked="0"/>
    </xf>
    <xf numFmtId="2" fontId="25" fillId="2" borderId="33" xfId="0" applyNumberFormat="1" applyFont="1" applyFill="1" applyBorder="1" applyAlignment="1" applyProtection="1">
      <alignment horizontal="center"/>
      <protection locked="0"/>
    </xf>
    <xf numFmtId="2" fontId="25" fillId="2" borderId="31" xfId="0" applyNumberFormat="1" applyFont="1" applyFill="1" applyBorder="1" applyAlignment="1" applyProtection="1">
      <alignment horizontal="center"/>
      <protection locked="0"/>
    </xf>
    <xf numFmtId="0" fontId="2" fillId="0" borderId="43" xfId="0" applyFont="1" applyBorder="1" applyAlignment="1" applyProtection="1">
      <alignment horizontal="center" vertical="center"/>
      <protection locked="0"/>
    </xf>
    <xf numFmtId="0" fontId="2" fillId="0" borderId="45" xfId="0" applyFont="1" applyBorder="1" applyAlignment="1" applyProtection="1">
      <alignment horizontal="center" vertical="center"/>
      <protection locked="0"/>
    </xf>
    <xf numFmtId="10" fontId="23" fillId="2" borderId="50" xfId="0" applyNumberFormat="1" applyFont="1" applyFill="1" applyBorder="1" applyAlignment="1" applyProtection="1">
      <alignment horizontal="center" vertical="center"/>
      <protection locked="0"/>
    </xf>
    <xf numFmtId="10" fontId="23" fillId="2" borderId="51" xfId="0" applyNumberFormat="1" applyFont="1" applyFill="1" applyBorder="1" applyAlignment="1" applyProtection="1">
      <alignment horizontal="center" vertical="center"/>
      <protection locked="0"/>
    </xf>
    <xf numFmtId="0" fontId="39" fillId="8" borderId="40" xfId="2" applyNumberFormat="1" applyFont="1" applyFill="1" applyBorder="1" applyAlignment="1" applyProtection="1">
      <alignment horizontal="center" vertical="center"/>
      <protection locked="0"/>
    </xf>
    <xf numFmtId="0" fontId="39" fillId="8" borderId="34" xfId="2" applyNumberFormat="1" applyFont="1" applyFill="1" applyBorder="1" applyAlignment="1" applyProtection="1">
      <alignment horizontal="center" vertical="center"/>
      <protection locked="0"/>
    </xf>
    <xf numFmtId="0" fontId="10" fillId="0" borderId="49" xfId="2" applyNumberFormat="1" applyFont="1" applyBorder="1" applyAlignment="1" applyProtection="1">
      <alignment horizontal="center" vertical="center"/>
      <protection locked="0"/>
    </xf>
    <xf numFmtId="2" fontId="40" fillId="0" borderId="22" xfId="0" applyNumberFormat="1" applyFont="1" applyBorder="1" applyAlignment="1" applyProtection="1">
      <alignment horizontal="center" vertical="center"/>
      <protection locked="0"/>
    </xf>
    <xf numFmtId="2" fontId="40" fillId="0" borderId="23" xfId="0" applyNumberFormat="1" applyFont="1" applyBorder="1" applyAlignment="1" applyProtection="1">
      <alignment horizontal="center" vertical="center"/>
      <protection locked="0"/>
    </xf>
    <xf numFmtId="2" fontId="40" fillId="0" borderId="32" xfId="0" applyNumberFormat="1" applyFont="1" applyBorder="1" applyAlignment="1" applyProtection="1">
      <alignment horizontal="center" vertical="center"/>
      <protection locked="0"/>
    </xf>
    <xf numFmtId="2" fontId="40" fillId="0" borderId="31" xfId="0" applyNumberFormat="1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5" fillId="0" borderId="23" xfId="0" applyFont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31" xfId="0" applyFont="1" applyBorder="1" applyAlignment="1" applyProtection="1">
      <alignment horizontal="center" vertical="center"/>
      <protection locked="0"/>
    </xf>
    <xf numFmtId="0" fontId="41" fillId="0" borderId="22" xfId="2" applyNumberFormat="1" applyFont="1" applyBorder="1" applyAlignment="1" applyProtection="1">
      <alignment horizontal="center" vertical="center"/>
      <protection locked="0"/>
    </xf>
    <xf numFmtId="0" fontId="41" fillId="0" borderId="23" xfId="2" applyNumberFormat="1" applyFont="1" applyBorder="1" applyAlignment="1" applyProtection="1">
      <alignment horizontal="center" vertical="center"/>
      <protection locked="0"/>
    </xf>
    <xf numFmtId="0" fontId="41" fillId="0" borderId="32" xfId="2" applyNumberFormat="1" applyFont="1" applyBorder="1" applyAlignment="1" applyProtection="1">
      <alignment horizontal="center" vertical="center"/>
      <protection locked="0"/>
    </xf>
    <xf numFmtId="0" fontId="41" fillId="0" borderId="31" xfId="2" applyNumberFormat="1" applyFont="1" applyBorder="1" applyAlignment="1" applyProtection="1">
      <alignment horizontal="center" vertical="center"/>
      <protection locked="0"/>
    </xf>
    <xf numFmtId="0" fontId="18" fillId="0" borderId="12" xfId="2" applyNumberFormat="1" applyFont="1" applyBorder="1" applyAlignment="1" applyProtection="1">
      <alignment horizontal="center" vertical="center"/>
      <protection locked="0"/>
    </xf>
    <xf numFmtId="0" fontId="18" fillId="0" borderId="13" xfId="2" applyNumberFormat="1" applyFont="1" applyBorder="1" applyAlignment="1" applyProtection="1">
      <alignment horizontal="center" vertical="center"/>
      <protection locked="0"/>
    </xf>
    <xf numFmtId="0" fontId="18" fillId="0" borderId="14" xfId="2" applyNumberFormat="1" applyFont="1" applyBorder="1" applyAlignment="1" applyProtection="1">
      <alignment horizontal="center" vertical="center"/>
      <protection locked="0"/>
    </xf>
    <xf numFmtId="0" fontId="18" fillId="0" borderId="5" xfId="2" applyNumberFormat="1" applyFont="1" applyBorder="1" applyAlignment="1" applyProtection="1">
      <alignment horizontal="center" vertical="center"/>
      <protection locked="0"/>
    </xf>
    <xf numFmtId="0" fontId="18" fillId="0" borderId="6" xfId="2" applyNumberFormat="1" applyFont="1" applyBorder="1" applyAlignment="1" applyProtection="1">
      <alignment horizontal="center" vertical="center"/>
      <protection locked="0"/>
    </xf>
    <xf numFmtId="0" fontId="18" fillId="0" borderId="24" xfId="2" applyNumberFormat="1" applyFont="1" applyBorder="1" applyAlignment="1" applyProtection="1">
      <alignment horizontal="center" vertical="center"/>
      <protection locked="0"/>
    </xf>
    <xf numFmtId="0" fontId="18" fillId="0" borderId="22" xfId="2" applyNumberFormat="1" applyFont="1" applyBorder="1" applyAlignment="1" applyProtection="1">
      <alignment horizontal="center" vertical="center"/>
      <protection locked="0"/>
    </xf>
    <xf numFmtId="0" fontId="18" fillId="0" borderId="0" xfId="2" applyNumberFormat="1" applyFont="1" applyAlignment="1" applyProtection="1">
      <alignment horizontal="center" vertical="center"/>
      <protection locked="0"/>
    </xf>
    <xf numFmtId="0" fontId="18" fillId="0" borderId="11" xfId="2" applyNumberFormat="1" applyFont="1" applyBorder="1" applyAlignment="1" applyProtection="1">
      <alignment horizontal="center" vertical="center"/>
      <protection locked="0"/>
    </xf>
    <xf numFmtId="0" fontId="18" fillId="0" borderId="19" xfId="2" applyNumberFormat="1" applyFont="1" applyBorder="1" applyAlignment="1" applyProtection="1">
      <alignment horizontal="center" vertical="center"/>
      <protection locked="0"/>
    </xf>
    <xf numFmtId="0" fontId="18" fillId="0" borderId="20" xfId="2" applyNumberFormat="1" applyFont="1" applyBorder="1" applyAlignment="1" applyProtection="1">
      <alignment horizontal="center" vertical="center"/>
      <protection locked="0"/>
    </xf>
    <xf numFmtId="0" fontId="18" fillId="0" borderId="34" xfId="2" applyNumberFormat="1" applyFont="1" applyBorder="1" applyAlignment="1" applyProtection="1">
      <alignment horizontal="center" vertical="center"/>
      <protection locked="0"/>
    </xf>
    <xf numFmtId="0" fontId="18" fillId="0" borderId="38" xfId="2" applyNumberFormat="1" applyFont="1" applyBorder="1" applyAlignment="1" applyProtection="1">
      <alignment horizontal="center" vertical="center"/>
      <protection locked="0"/>
    </xf>
    <xf numFmtId="0" fontId="9" fillId="0" borderId="22" xfId="2" applyNumberFormat="1" applyBorder="1" applyAlignment="1" applyProtection="1">
      <alignment horizontal="center"/>
      <protection locked="0"/>
    </xf>
    <xf numFmtId="0" fontId="9" fillId="0" borderId="0" xfId="2" applyNumberFormat="1" applyAlignment="1" applyProtection="1">
      <alignment horizontal="center"/>
      <protection locked="0"/>
    </xf>
    <xf numFmtId="0" fontId="9" fillId="0" borderId="23" xfId="2" applyNumberFormat="1" applyBorder="1" applyAlignment="1" applyProtection="1">
      <alignment horizontal="center"/>
      <protection locked="0"/>
    </xf>
    <xf numFmtId="0" fontId="9" fillId="0" borderId="32" xfId="2" applyNumberFormat="1" applyBorder="1" applyAlignment="1" applyProtection="1">
      <alignment horizontal="center"/>
      <protection locked="0"/>
    </xf>
    <xf numFmtId="0" fontId="9" fillId="0" borderId="33" xfId="2" applyNumberFormat="1" applyBorder="1" applyAlignment="1" applyProtection="1">
      <alignment horizontal="center"/>
      <protection locked="0"/>
    </xf>
    <xf numFmtId="0" fontId="9" fillId="0" borderId="31" xfId="2" applyNumberFormat="1" applyBorder="1" applyAlignment="1" applyProtection="1">
      <alignment horizontal="center"/>
      <protection locked="0"/>
    </xf>
    <xf numFmtId="0" fontId="9" fillId="0" borderId="22" xfId="2" applyNumberFormat="1" applyBorder="1" applyAlignment="1" applyProtection="1">
      <alignment horizontal="center" vertical="center"/>
      <protection locked="0"/>
    </xf>
    <xf numFmtId="0" fontId="9" fillId="0" borderId="0" xfId="2" applyNumberFormat="1" applyAlignment="1" applyProtection="1">
      <alignment horizontal="center" vertical="center"/>
      <protection locked="0"/>
    </xf>
    <xf numFmtId="0" fontId="9" fillId="0" borderId="23" xfId="2" applyNumberFormat="1" applyBorder="1" applyAlignment="1" applyProtection="1">
      <alignment horizontal="center" vertical="center"/>
      <protection locked="0"/>
    </xf>
    <xf numFmtId="0" fontId="46" fillId="8" borderId="8" xfId="2" applyNumberFormat="1" applyFont="1" applyFill="1" applyBorder="1" applyAlignment="1" applyProtection="1">
      <alignment horizontal="center" vertical="center"/>
      <protection locked="0"/>
    </xf>
    <xf numFmtId="0" fontId="46" fillId="8" borderId="9" xfId="2" applyNumberFormat="1" applyFont="1" applyFill="1" applyBorder="1" applyAlignment="1" applyProtection="1">
      <alignment horizontal="center" vertical="center"/>
      <protection locked="0"/>
    </xf>
    <xf numFmtId="0" fontId="46" fillId="8" borderId="10" xfId="2" applyNumberFormat="1" applyFont="1" applyFill="1" applyBorder="1" applyAlignment="1" applyProtection="1">
      <alignment horizontal="center" vertical="center"/>
      <protection locked="0"/>
    </xf>
    <xf numFmtId="0" fontId="53" fillId="8" borderId="8" xfId="2" applyNumberFormat="1" applyFont="1" applyFill="1" applyBorder="1" applyAlignment="1" applyProtection="1">
      <alignment horizontal="center" vertical="center"/>
      <protection locked="0"/>
    </xf>
    <xf numFmtId="0" fontId="53" fillId="8" borderId="9" xfId="2" applyNumberFormat="1" applyFont="1" applyFill="1" applyBorder="1" applyAlignment="1" applyProtection="1">
      <alignment horizontal="center" vertical="center"/>
      <protection locked="0"/>
    </xf>
    <xf numFmtId="0" fontId="53" fillId="8" borderId="10" xfId="2" applyNumberFormat="1" applyFont="1" applyFill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10" fillId="2" borderId="62" xfId="2" applyNumberFormat="1" applyFont="1" applyFill="1" applyBorder="1" applyAlignment="1" applyProtection="1">
      <alignment horizontal="center" vertical="center"/>
      <protection locked="0"/>
    </xf>
    <xf numFmtId="0" fontId="10" fillId="2" borderId="64" xfId="2" applyNumberFormat="1" applyFont="1" applyFill="1" applyBorder="1" applyAlignment="1" applyProtection="1">
      <alignment horizontal="center" vertical="center"/>
      <protection locked="0"/>
    </xf>
    <xf numFmtId="2" fontId="10" fillId="0" borderId="39" xfId="2" applyNumberFormat="1" applyFont="1" applyBorder="1" applyAlignment="1" applyProtection="1">
      <alignment horizontal="center" vertical="center"/>
      <protection locked="0"/>
    </xf>
    <xf numFmtId="2" fontId="10" fillId="0" borderId="6" xfId="2" applyNumberFormat="1" applyFont="1" applyBorder="1" applyAlignment="1" applyProtection="1">
      <alignment horizontal="center" vertical="center"/>
      <protection locked="0"/>
    </xf>
    <xf numFmtId="2" fontId="10" fillId="0" borderId="7" xfId="2" applyNumberFormat="1" applyFont="1" applyBorder="1" applyAlignment="1" applyProtection="1">
      <alignment horizontal="center" vertical="center"/>
      <protection locked="0"/>
    </xf>
    <xf numFmtId="2" fontId="10" fillId="0" borderId="61" xfId="2" applyNumberFormat="1" applyFont="1" applyBorder="1" applyAlignment="1" applyProtection="1">
      <alignment horizontal="center" vertical="center"/>
      <protection locked="0"/>
    </xf>
    <xf numFmtId="2" fontId="10" fillId="0" borderId="33" xfId="2" applyNumberFormat="1" applyFont="1" applyBorder="1" applyAlignment="1" applyProtection="1">
      <alignment horizontal="center" vertical="center"/>
      <protection locked="0"/>
    </xf>
    <xf numFmtId="2" fontId="10" fillId="0" borderId="31" xfId="2" applyNumberFormat="1" applyFont="1" applyBorder="1" applyAlignment="1" applyProtection="1">
      <alignment horizontal="center" vertical="center"/>
      <protection locked="0"/>
    </xf>
    <xf numFmtId="2" fontId="4" fillId="0" borderId="38" xfId="0" applyNumberFormat="1" applyFont="1" applyBorder="1" applyAlignment="1" applyProtection="1">
      <alignment horizontal="center" vertical="center"/>
      <protection locked="0"/>
    </xf>
    <xf numFmtId="2" fontId="4" fillId="0" borderId="37" xfId="0" applyNumberFormat="1" applyFont="1" applyBorder="1" applyAlignment="1" applyProtection="1">
      <alignment horizontal="center" vertical="center"/>
      <protection locked="0"/>
    </xf>
    <xf numFmtId="0" fontId="10" fillId="8" borderId="62" xfId="2" applyNumberFormat="1" applyFont="1" applyFill="1" applyBorder="1" applyAlignment="1" applyProtection="1">
      <alignment horizontal="center" vertical="center"/>
      <protection locked="0"/>
    </xf>
    <xf numFmtId="0" fontId="10" fillId="8" borderId="64" xfId="2" applyNumberFormat="1" applyFont="1" applyFill="1" applyBorder="1" applyAlignment="1" applyProtection="1">
      <alignment horizontal="center" vertical="center"/>
      <protection locked="0"/>
    </xf>
    <xf numFmtId="0" fontId="18" fillId="0" borderId="48" xfId="2" applyNumberFormat="1" applyFont="1" applyBorder="1" applyAlignment="1" applyProtection="1">
      <alignment horizontal="center" vertical="center"/>
      <protection locked="0"/>
    </xf>
    <xf numFmtId="0" fontId="18" fillId="0" borderId="15" xfId="2" applyNumberFormat="1" applyFont="1" applyBorder="1" applyAlignment="1" applyProtection="1">
      <alignment horizontal="center" vertical="center"/>
      <protection locked="0"/>
    </xf>
    <xf numFmtId="0" fontId="10" fillId="0" borderId="35" xfId="2" applyNumberFormat="1" applyFont="1" applyBorder="1" applyAlignment="1" applyProtection="1">
      <alignment horizontal="center" vertical="center"/>
      <protection locked="0"/>
    </xf>
    <xf numFmtId="0" fontId="10" fillId="0" borderId="47" xfId="2" applyNumberFormat="1" applyFont="1" applyBorder="1" applyAlignment="1" applyProtection="1">
      <alignment horizontal="center" vertical="center"/>
      <protection locked="0"/>
    </xf>
    <xf numFmtId="0" fontId="10" fillId="0" borderId="36" xfId="2" applyNumberFormat="1" applyFont="1" applyBorder="1" applyAlignment="1" applyProtection="1">
      <alignment horizontal="center" vertical="center"/>
      <protection locked="0"/>
    </xf>
    <xf numFmtId="0" fontId="28" fillId="2" borderId="8" xfId="0" applyFont="1" applyFill="1" applyBorder="1" applyAlignment="1" applyProtection="1">
      <alignment horizontal="center" vertical="center"/>
      <protection locked="0"/>
    </xf>
    <xf numFmtId="0" fontId="28" fillId="2" borderId="10" xfId="0" applyFont="1" applyFill="1" applyBorder="1" applyAlignment="1" applyProtection="1">
      <alignment horizontal="center" vertical="center"/>
      <protection locked="0"/>
    </xf>
    <xf numFmtId="0" fontId="28" fillId="2" borderId="32" xfId="0" applyFont="1" applyFill="1" applyBorder="1" applyAlignment="1" applyProtection="1">
      <alignment horizontal="center" vertical="center"/>
      <protection locked="0"/>
    </xf>
    <xf numFmtId="0" fontId="28" fillId="2" borderId="3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3" fillId="4" borderId="15" xfId="0" applyFont="1" applyFill="1" applyBorder="1" applyAlignment="1" applyProtection="1">
      <alignment horizontal="center"/>
      <protection locked="0"/>
    </xf>
    <xf numFmtId="0" fontId="25" fillId="0" borderId="8" xfId="0" applyFont="1" applyBorder="1" applyAlignment="1" applyProtection="1">
      <alignment horizontal="center" vertical="center"/>
      <protection locked="0"/>
    </xf>
    <xf numFmtId="0" fontId="25" fillId="0" borderId="9" xfId="0" applyFont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center" vertical="center"/>
      <protection locked="0"/>
    </xf>
    <xf numFmtId="0" fontId="25" fillId="0" borderId="22" xfId="0" applyFont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25" fillId="0" borderId="23" xfId="0" applyFont="1" applyBorder="1" applyAlignment="1" applyProtection="1">
      <alignment horizontal="center" vertical="center"/>
      <protection locked="0"/>
    </xf>
    <xf numFmtId="0" fontId="25" fillId="0" borderId="32" xfId="0" applyFont="1" applyBorder="1" applyAlignment="1" applyProtection="1">
      <alignment horizontal="center" vertical="center"/>
      <protection locked="0"/>
    </xf>
    <xf numFmtId="0" fontId="25" fillId="0" borderId="33" xfId="0" applyFont="1" applyBorder="1" applyAlignment="1" applyProtection="1">
      <alignment horizontal="center" vertical="center"/>
      <protection locked="0"/>
    </xf>
    <xf numFmtId="0" fontId="25" fillId="0" borderId="31" xfId="0" applyFont="1" applyBorder="1" applyAlignment="1" applyProtection="1">
      <alignment horizontal="center" vertical="center"/>
      <protection locked="0"/>
    </xf>
    <xf numFmtId="0" fontId="24" fillId="0" borderId="12" xfId="2" applyNumberFormat="1" applyFont="1" applyBorder="1" applyAlignment="1" applyProtection="1">
      <alignment horizontal="center" vertical="center"/>
      <protection locked="0"/>
    </xf>
    <xf numFmtId="0" fontId="24" fillId="0" borderId="13" xfId="2" applyNumberFormat="1" applyFont="1" applyBorder="1" applyAlignment="1" applyProtection="1">
      <alignment horizontal="center" vertical="center"/>
      <protection locked="0"/>
    </xf>
    <xf numFmtId="0" fontId="24" fillId="0" borderId="14" xfId="2" applyNumberFormat="1" applyFont="1" applyBorder="1" applyAlignment="1" applyProtection="1">
      <alignment horizontal="center" vertical="center"/>
      <protection locked="0"/>
    </xf>
    <xf numFmtId="0" fontId="10" fillId="0" borderId="48" xfId="2" applyNumberFormat="1" applyFont="1" applyBorder="1" applyAlignment="1" applyProtection="1">
      <alignment horizontal="center" vertical="center"/>
      <protection locked="0"/>
    </xf>
    <xf numFmtId="0" fontId="10" fillId="0" borderId="15" xfId="2" applyNumberFormat="1" applyFont="1" applyBorder="1" applyAlignment="1" applyProtection="1">
      <alignment horizontal="center" vertical="center"/>
      <protection locked="0"/>
    </xf>
    <xf numFmtId="14" fontId="29" fillId="11" borderId="12" xfId="2" applyNumberFormat="1" applyFont="1" applyFill="1" applyBorder="1" applyAlignment="1" applyProtection="1">
      <alignment horizontal="center" vertical="center"/>
      <protection locked="0"/>
    </xf>
    <xf numFmtId="14" fontId="29" fillId="11" borderId="14" xfId="2" applyNumberFormat="1" applyFont="1" applyFill="1" applyBorder="1" applyAlignment="1" applyProtection="1">
      <alignment horizontal="center" vertical="center"/>
      <protection locked="0"/>
    </xf>
    <xf numFmtId="165" fontId="24" fillId="0" borderId="39" xfId="2" applyNumberFormat="1" applyFont="1" applyBorder="1" applyAlignment="1" applyProtection="1">
      <alignment horizontal="center"/>
      <protection locked="0"/>
    </xf>
    <xf numFmtId="165" fontId="24" fillId="0" borderId="6" xfId="2" applyNumberFormat="1" applyFont="1" applyBorder="1" applyAlignment="1" applyProtection="1">
      <alignment horizontal="center"/>
      <protection locked="0"/>
    </xf>
    <xf numFmtId="165" fontId="24" fillId="0" borderId="7" xfId="2" applyNumberFormat="1" applyFont="1" applyBorder="1" applyAlignment="1" applyProtection="1">
      <alignment horizontal="center"/>
      <protection locked="0"/>
    </xf>
    <xf numFmtId="165" fontId="24" fillId="0" borderId="40" xfId="2" applyNumberFormat="1" applyFont="1" applyBorder="1" applyAlignment="1" applyProtection="1">
      <alignment horizontal="center"/>
      <protection locked="0"/>
    </xf>
    <xf numFmtId="165" fontId="24" fillId="0" borderId="20" xfId="2" applyNumberFormat="1" applyFont="1" applyBorder="1" applyAlignment="1" applyProtection="1">
      <alignment horizontal="center"/>
      <protection locked="0"/>
    </xf>
    <xf numFmtId="165" fontId="24" fillId="0" borderId="21" xfId="2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 vertical="center"/>
      <protection locked="0"/>
    </xf>
    <xf numFmtId="14" fontId="4" fillId="9" borderId="14" xfId="0" applyNumberFormat="1" applyFont="1" applyFill="1" applyBorder="1" applyAlignment="1" applyProtection="1">
      <alignment horizontal="center" vertical="center"/>
      <protection locked="0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15" xfId="0" applyFont="1" applyBorder="1" applyAlignment="1" applyProtection="1">
      <alignment horizontal="center" vertical="center"/>
      <protection locked="0"/>
    </xf>
    <xf numFmtId="0" fontId="8" fillId="2" borderId="2" xfId="0" applyFont="1" applyFill="1" applyBorder="1" applyAlignment="1" applyProtection="1">
      <alignment horizontal="center" vertical="center"/>
      <protection locked="0"/>
    </xf>
    <xf numFmtId="0" fontId="8" fillId="2" borderId="3" xfId="0" applyFont="1" applyFill="1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0" fontId="10" fillId="0" borderId="5" xfId="2" applyNumberFormat="1" applyFont="1" applyBorder="1" applyAlignment="1" applyProtection="1">
      <alignment horizontal="center" vertical="center"/>
      <protection locked="0"/>
    </xf>
    <xf numFmtId="0" fontId="10" fillId="0" borderId="6" xfId="2" applyNumberFormat="1" applyFont="1" applyBorder="1" applyAlignment="1" applyProtection="1">
      <alignment horizontal="center" vertical="center"/>
      <protection locked="0"/>
    </xf>
    <xf numFmtId="0" fontId="10" fillId="0" borderId="7" xfId="2" applyNumberFormat="1" applyFont="1" applyBorder="1" applyAlignment="1" applyProtection="1">
      <alignment horizontal="center" vertical="center"/>
      <protection locked="0"/>
    </xf>
    <xf numFmtId="0" fontId="10" fillId="0" borderId="19" xfId="2" applyNumberFormat="1" applyFont="1" applyBorder="1" applyAlignment="1" applyProtection="1">
      <alignment horizontal="center" vertical="center"/>
      <protection locked="0"/>
    </xf>
    <xf numFmtId="0" fontId="10" fillId="0" borderId="20" xfId="2" applyNumberFormat="1" applyFont="1" applyBorder="1" applyAlignment="1" applyProtection="1">
      <alignment horizontal="center" vertical="center"/>
      <protection locked="0"/>
    </xf>
    <xf numFmtId="0" fontId="10" fillId="0" borderId="21" xfId="2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0" fontId="11" fillId="0" borderId="9" xfId="0" applyFont="1" applyBorder="1" applyAlignment="1" applyProtection="1">
      <alignment horizontal="center"/>
      <protection locked="0"/>
    </xf>
    <xf numFmtId="0" fontId="11" fillId="0" borderId="10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23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0" fontId="11" fillId="0" borderId="31" xfId="0" applyFont="1" applyBorder="1" applyAlignment="1" applyProtection="1">
      <alignment horizontal="center"/>
      <protection locked="0"/>
    </xf>
    <xf numFmtId="0" fontId="16" fillId="0" borderId="17" xfId="2" applyNumberFormat="1" applyFont="1" applyBorder="1" applyAlignment="1" applyProtection="1">
      <alignment horizontal="center" vertical="center"/>
      <protection locked="0"/>
    </xf>
    <xf numFmtId="0" fontId="16" fillId="0" borderId="18" xfId="2" applyNumberFormat="1" applyFont="1" applyBorder="1" applyAlignment="1" applyProtection="1">
      <alignment horizontal="center" vertical="center"/>
      <protection locked="0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9" xfId="0" applyFont="1" applyBorder="1" applyAlignment="1" applyProtection="1">
      <alignment horizontal="center" vertical="center"/>
      <protection locked="0"/>
    </xf>
    <xf numFmtId="0" fontId="17" fillId="0" borderId="10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7" fillId="0" borderId="23" xfId="0" applyFont="1" applyBorder="1" applyAlignment="1" applyProtection="1">
      <alignment horizontal="center" vertical="center"/>
      <protection locked="0"/>
    </xf>
    <xf numFmtId="0" fontId="17" fillId="0" borderId="32" xfId="0" applyFont="1" applyBorder="1" applyAlignment="1" applyProtection="1">
      <alignment horizontal="center" vertical="center"/>
      <protection locked="0"/>
    </xf>
    <xf numFmtId="0" fontId="17" fillId="0" borderId="33" xfId="0" applyFont="1" applyBorder="1" applyAlignment="1" applyProtection="1">
      <alignment horizontal="center" vertical="center"/>
      <protection locked="0"/>
    </xf>
    <xf numFmtId="0" fontId="17" fillId="0" borderId="31" xfId="0" applyFont="1" applyBorder="1" applyAlignment="1" applyProtection="1">
      <alignment horizontal="center" vertical="center"/>
      <protection locked="0"/>
    </xf>
    <xf numFmtId="0" fontId="16" fillId="0" borderId="27" xfId="2" applyNumberFormat="1" applyFont="1" applyBorder="1" applyAlignment="1" applyProtection="1">
      <alignment horizontal="center" vertical="center"/>
      <protection locked="0"/>
    </xf>
    <xf numFmtId="0" fontId="16" fillId="0" borderId="7" xfId="2" applyNumberFormat="1" applyFont="1" applyBorder="1" applyAlignment="1" applyProtection="1">
      <alignment horizontal="center" vertical="center"/>
      <protection locked="0"/>
    </xf>
    <xf numFmtId="0" fontId="16" fillId="0" borderId="30" xfId="2" applyNumberFormat="1" applyFont="1" applyBorder="1" applyAlignment="1" applyProtection="1">
      <alignment horizontal="center" vertical="center"/>
      <protection locked="0"/>
    </xf>
    <xf numFmtId="0" fontId="16" fillId="0" borderId="31" xfId="2" applyNumberFormat="1" applyFont="1" applyBorder="1" applyAlignment="1" applyProtection="1">
      <alignment horizontal="center" vertical="center"/>
      <protection locked="0"/>
    </xf>
    <xf numFmtId="0" fontId="19" fillId="0" borderId="5" xfId="2" applyNumberFormat="1" applyFont="1" applyBorder="1" applyAlignment="1" applyProtection="1">
      <alignment horizontal="center" vertical="center"/>
      <protection locked="0"/>
    </xf>
    <xf numFmtId="0" fontId="19" fillId="0" borderId="6" xfId="2" applyNumberFormat="1" applyFont="1" applyBorder="1" applyAlignment="1" applyProtection="1">
      <alignment horizontal="center" vertical="center"/>
      <protection locked="0"/>
    </xf>
    <xf numFmtId="0" fontId="19" fillId="0" borderId="7" xfId="2" applyNumberFormat="1" applyFont="1" applyBorder="1" applyAlignment="1" applyProtection="1">
      <alignment horizontal="center" vertical="center"/>
      <protection locked="0"/>
    </xf>
    <xf numFmtId="0" fontId="19" fillId="0" borderId="19" xfId="2" applyNumberFormat="1" applyFont="1" applyBorder="1" applyAlignment="1" applyProtection="1">
      <alignment horizontal="center" vertical="center"/>
      <protection locked="0"/>
    </xf>
    <xf numFmtId="0" fontId="19" fillId="0" borderId="20" xfId="2" applyNumberFormat="1" applyFont="1" applyBorder="1" applyAlignment="1" applyProtection="1">
      <alignment horizontal="center" vertical="center"/>
      <protection locked="0"/>
    </xf>
    <xf numFmtId="0" fontId="19" fillId="0" borderId="21" xfId="2" applyNumberFormat="1" applyFont="1" applyBorder="1" applyAlignment="1" applyProtection="1">
      <alignment horizontal="center" vertical="center"/>
      <protection locked="0"/>
    </xf>
    <xf numFmtId="0" fontId="21" fillId="2" borderId="35" xfId="2" applyNumberFormat="1" applyFont="1" applyFill="1" applyBorder="1" applyAlignment="1" applyProtection="1">
      <alignment horizontal="center" vertical="center"/>
      <protection locked="0"/>
    </xf>
    <xf numFmtId="0" fontId="21" fillId="2" borderId="36" xfId="2" applyNumberFormat="1" applyFont="1" applyFill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10" fillId="0" borderId="12" xfId="2" applyNumberFormat="1" applyFont="1" applyBorder="1" applyAlignment="1" applyProtection="1">
      <alignment horizontal="center" vertical="center"/>
      <protection locked="0"/>
    </xf>
    <xf numFmtId="0" fontId="10" fillId="0" borderId="13" xfId="2" applyNumberFormat="1" applyFont="1" applyBorder="1" applyAlignment="1" applyProtection="1">
      <alignment horizontal="center" vertical="center"/>
      <protection locked="0"/>
    </xf>
    <xf numFmtId="0" fontId="10" fillId="0" borderId="37" xfId="2" applyNumberFormat="1" applyFont="1" applyBorder="1" applyAlignment="1" applyProtection="1">
      <alignment horizontal="center" vertical="center"/>
      <protection locked="0"/>
    </xf>
    <xf numFmtId="0" fontId="23" fillId="5" borderId="8" xfId="0" applyFont="1" applyFill="1" applyBorder="1" applyAlignment="1" applyProtection="1">
      <alignment horizontal="center" vertical="center"/>
      <protection locked="0"/>
    </xf>
    <xf numFmtId="0" fontId="23" fillId="5" borderId="9" xfId="0" applyFont="1" applyFill="1" applyBorder="1" applyAlignment="1" applyProtection="1">
      <alignment horizontal="center" vertical="center"/>
      <protection locked="0"/>
    </xf>
    <xf numFmtId="0" fontId="23" fillId="5" borderId="10" xfId="0" applyFont="1" applyFill="1" applyBorder="1" applyAlignment="1" applyProtection="1">
      <alignment horizontal="center" vertical="center"/>
      <protection locked="0"/>
    </xf>
    <xf numFmtId="0" fontId="23" fillId="5" borderId="32" xfId="0" applyFont="1" applyFill="1" applyBorder="1" applyAlignment="1" applyProtection="1">
      <alignment horizontal="center" vertical="center"/>
      <protection locked="0"/>
    </xf>
    <xf numFmtId="0" fontId="23" fillId="5" borderId="33" xfId="0" applyFont="1" applyFill="1" applyBorder="1" applyAlignment="1" applyProtection="1">
      <alignment horizontal="center" vertical="center"/>
      <protection locked="0"/>
    </xf>
    <xf numFmtId="0" fontId="23" fillId="5" borderId="31" xfId="0" applyFont="1" applyFill="1" applyBorder="1" applyAlignment="1" applyProtection="1">
      <alignment horizontal="center" vertical="center"/>
      <protection locked="0"/>
    </xf>
    <xf numFmtId="0" fontId="18" fillId="2" borderId="12" xfId="2" applyNumberFormat="1" applyFont="1" applyFill="1" applyBorder="1" applyAlignment="1" applyProtection="1">
      <alignment horizontal="center" vertical="center"/>
      <protection locked="0"/>
    </xf>
    <xf numFmtId="0" fontId="18" fillId="2" borderId="14" xfId="2" applyNumberFormat="1" applyFont="1" applyFill="1" applyBorder="1" applyAlignment="1" applyProtection="1">
      <alignment horizontal="center" vertical="center"/>
      <protection locked="0"/>
    </xf>
    <xf numFmtId="0" fontId="27" fillId="0" borderId="2" xfId="0" applyFont="1" applyBorder="1" applyAlignment="1" applyProtection="1">
      <alignment horizontal="center" vertical="center"/>
      <protection locked="0"/>
    </xf>
    <xf numFmtId="0" fontId="27" fillId="0" borderId="4" xfId="0" applyFont="1" applyBorder="1" applyAlignment="1" applyProtection="1">
      <alignment horizontal="center" vertical="center"/>
      <protection locked="0"/>
    </xf>
    <xf numFmtId="0" fontId="18" fillId="7" borderId="12" xfId="2" applyNumberFormat="1" applyFont="1" applyFill="1" applyBorder="1" applyAlignment="1" applyProtection="1">
      <alignment horizontal="center" vertical="center"/>
      <protection locked="0"/>
    </xf>
    <xf numFmtId="0" fontId="18" fillId="7" borderId="14" xfId="2" applyNumberFormat="1" applyFont="1" applyFill="1" applyBorder="1" applyAlignment="1" applyProtection="1">
      <alignment horizontal="center" vertical="center"/>
      <protection locked="0"/>
    </xf>
    <xf numFmtId="0" fontId="10" fillId="0" borderId="39" xfId="2" applyNumberFormat="1" applyFont="1" applyBorder="1" applyAlignment="1" applyProtection="1">
      <alignment horizontal="center" vertical="center"/>
      <protection locked="0"/>
    </xf>
    <xf numFmtId="0" fontId="10" fillId="0" borderId="40" xfId="2" applyNumberFormat="1" applyFont="1" applyBorder="1" applyAlignment="1" applyProtection="1">
      <alignment horizontal="center" vertical="center"/>
      <protection locked="0"/>
    </xf>
    <xf numFmtId="0" fontId="25" fillId="0" borderId="43" xfId="0" applyFont="1" applyBorder="1" applyAlignment="1" applyProtection="1">
      <alignment horizontal="center"/>
      <protection locked="0"/>
    </xf>
    <xf numFmtId="0" fontId="25" fillId="0" borderId="45" xfId="0" applyFont="1" applyBorder="1" applyAlignment="1" applyProtection="1">
      <alignment horizontal="center"/>
      <protection locked="0"/>
    </xf>
  </cellXfs>
  <cellStyles count="4">
    <cellStyle name="Normal" xfId="0" builtinId="0"/>
    <cellStyle name="Normal 2" xfId="3" xr:uid="{00000000-0005-0000-0000-000001000000}"/>
    <cellStyle name="Normal 2 2" xfId="2" xr:uid="{00000000-0005-0000-0000-000002000000}"/>
    <cellStyle name="Porcentaje" xfId="1" builtinId="5"/>
  </cellStyles>
  <dxfs count="376">
    <dxf>
      <fill>
        <patternFill>
          <bgColor rgb="FFFF99FF"/>
        </patternFill>
      </fill>
    </dxf>
    <dxf>
      <fill>
        <patternFill>
          <bgColor rgb="FFFF99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41439" y="352425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0</xdr:rowOff>
    </xdr:from>
    <xdr:ext cx="333375" cy="476251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372225" y="123824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388665" y="152401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1999014" y="27622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41439" y="352425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0</xdr:rowOff>
    </xdr:from>
    <xdr:ext cx="333375" cy="476251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372225" y="123824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388665" y="152401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1999014" y="27622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18" name="Imagen 17">
          <a:extLst>
            <a:ext uri="{FF2B5EF4-FFF2-40B4-BE49-F238E27FC236}">
              <a16:creationId xmlns:a16="http://schemas.microsoft.com/office/drawing/2014/main" id="{AF9B315E-7B77-402B-9F21-DD3101B3BA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98589" y="22860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123824</xdr:rowOff>
    </xdr:from>
    <xdr:ext cx="333375" cy="476251"/>
    <xdr:pic>
      <xdr:nvPicPr>
        <xdr:cNvPr id="19" name="Imagen 18">
          <a:extLst>
            <a:ext uri="{FF2B5EF4-FFF2-40B4-BE49-F238E27FC236}">
              <a16:creationId xmlns:a16="http://schemas.microsoft.com/office/drawing/2014/main" id="{7ECA6E2D-6431-4ED7-84EF-D964DD2D08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429375" y="123824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DB2E03DE-342C-4144-837D-A7F2A6BD9ECC}"/>
            </a:ext>
          </a:extLst>
        </xdr:cNvPr>
        <xdr:cNvSpPr/>
      </xdr:nvSpPr>
      <xdr:spPr>
        <a:xfrm>
          <a:off x="5436290" y="2857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94BA402F-D031-4C44-823E-403A9F2BA0A4}"/>
            </a:ext>
          </a:extLst>
        </xdr:cNvPr>
        <xdr:cNvSpPr/>
      </xdr:nvSpPr>
      <xdr:spPr>
        <a:xfrm>
          <a:off x="12084739" y="152401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22" name="Imagen 21">
          <a:extLst>
            <a:ext uri="{FF2B5EF4-FFF2-40B4-BE49-F238E27FC236}">
              <a16:creationId xmlns:a16="http://schemas.microsoft.com/office/drawing/2014/main" id="{1F0B010C-0A1E-4AA3-B8C8-2BC5E37C82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98589" y="22860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123824</xdr:rowOff>
    </xdr:from>
    <xdr:ext cx="333375" cy="476251"/>
    <xdr:pic>
      <xdr:nvPicPr>
        <xdr:cNvPr id="23" name="Imagen 22">
          <a:extLst>
            <a:ext uri="{FF2B5EF4-FFF2-40B4-BE49-F238E27FC236}">
              <a16:creationId xmlns:a16="http://schemas.microsoft.com/office/drawing/2014/main" id="{6DC36E75-4DF4-4EF4-B3ED-3FFC0F1D05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429375" y="123824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2ABA2A39-88A5-4E04-91FF-5C2C78258ADB}"/>
            </a:ext>
          </a:extLst>
        </xdr:cNvPr>
        <xdr:cNvSpPr/>
      </xdr:nvSpPr>
      <xdr:spPr>
        <a:xfrm>
          <a:off x="5436290" y="2857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6313AE7C-C785-4A02-B45C-C4BF6B92FBBB}"/>
            </a:ext>
          </a:extLst>
        </xdr:cNvPr>
        <xdr:cNvSpPr/>
      </xdr:nvSpPr>
      <xdr:spPr>
        <a:xfrm>
          <a:off x="12084739" y="152401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26" name="Imagen 25">
          <a:extLst>
            <a:ext uri="{FF2B5EF4-FFF2-40B4-BE49-F238E27FC236}">
              <a16:creationId xmlns:a16="http://schemas.microsoft.com/office/drawing/2014/main" id="{931184B3-7FE2-4757-9D3D-9FAC39DA74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98589" y="48758475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0</xdr:rowOff>
    </xdr:from>
    <xdr:ext cx="333375" cy="476251"/>
    <xdr:pic>
      <xdr:nvPicPr>
        <xdr:cNvPr id="27" name="Imagen 26">
          <a:extLst>
            <a:ext uri="{FF2B5EF4-FFF2-40B4-BE49-F238E27FC236}">
              <a16:creationId xmlns:a16="http://schemas.microsoft.com/office/drawing/2014/main" id="{D8463B00-AEF6-4FE1-9057-34E7D569F8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429375" y="48529875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F74D1C92-753E-4F7F-A16B-B6D99B26CF59}"/>
            </a:ext>
          </a:extLst>
        </xdr:cNvPr>
        <xdr:cNvSpPr/>
      </xdr:nvSpPr>
      <xdr:spPr>
        <a:xfrm>
          <a:off x="5436290" y="48558451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31B1DCB4-12B4-461E-9175-59C9E449547A}"/>
            </a:ext>
          </a:extLst>
        </xdr:cNvPr>
        <xdr:cNvSpPr/>
      </xdr:nvSpPr>
      <xdr:spPr>
        <a:xfrm>
          <a:off x="12084739" y="48558451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30" name="Imagen 29">
          <a:extLst>
            <a:ext uri="{FF2B5EF4-FFF2-40B4-BE49-F238E27FC236}">
              <a16:creationId xmlns:a16="http://schemas.microsoft.com/office/drawing/2014/main" id="{3B60E658-6479-48E5-B0C0-3772BC17B5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98589" y="48758475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0</xdr:rowOff>
    </xdr:from>
    <xdr:ext cx="333375" cy="476251"/>
    <xdr:pic>
      <xdr:nvPicPr>
        <xdr:cNvPr id="31" name="Imagen 30">
          <a:extLst>
            <a:ext uri="{FF2B5EF4-FFF2-40B4-BE49-F238E27FC236}">
              <a16:creationId xmlns:a16="http://schemas.microsoft.com/office/drawing/2014/main" id="{A4B65686-4656-4DD2-A6FC-A547B45F7D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429375" y="48529875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AFD6A139-B3AB-404C-8F75-6D5E0CB8C73B}"/>
            </a:ext>
          </a:extLst>
        </xdr:cNvPr>
        <xdr:cNvSpPr/>
      </xdr:nvSpPr>
      <xdr:spPr>
        <a:xfrm>
          <a:off x="5436290" y="48558451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9C5B69D3-CB2F-4AD0-B07A-41D4E8905240}"/>
            </a:ext>
          </a:extLst>
        </xdr:cNvPr>
        <xdr:cNvSpPr/>
      </xdr:nvSpPr>
      <xdr:spPr>
        <a:xfrm>
          <a:off x="12084739" y="48558451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34" name="Imagen 33">
          <a:extLst>
            <a:ext uri="{FF2B5EF4-FFF2-40B4-BE49-F238E27FC236}">
              <a16:creationId xmlns:a16="http://schemas.microsoft.com/office/drawing/2014/main" id="{A1D88509-54F4-45CB-A443-8492D64292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98589" y="48758475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123824</xdr:rowOff>
    </xdr:from>
    <xdr:ext cx="333375" cy="476251"/>
    <xdr:pic>
      <xdr:nvPicPr>
        <xdr:cNvPr id="35" name="Imagen 34">
          <a:extLst>
            <a:ext uri="{FF2B5EF4-FFF2-40B4-BE49-F238E27FC236}">
              <a16:creationId xmlns:a16="http://schemas.microsoft.com/office/drawing/2014/main" id="{60D53DAA-1196-4668-B1CE-B34FAE85A0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429375" y="48653699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97E5FDB9-3591-4661-9458-BF370C894324}"/>
            </a:ext>
          </a:extLst>
        </xdr:cNvPr>
        <xdr:cNvSpPr/>
      </xdr:nvSpPr>
      <xdr:spPr>
        <a:xfrm>
          <a:off x="5436290" y="48558451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C82D7A38-079F-4CBD-8948-ABAB9319C9D8}"/>
            </a:ext>
          </a:extLst>
        </xdr:cNvPr>
        <xdr:cNvSpPr/>
      </xdr:nvSpPr>
      <xdr:spPr>
        <a:xfrm>
          <a:off x="12084739" y="48558451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38" name="Imagen 37">
          <a:extLst>
            <a:ext uri="{FF2B5EF4-FFF2-40B4-BE49-F238E27FC236}">
              <a16:creationId xmlns:a16="http://schemas.microsoft.com/office/drawing/2014/main" id="{037EE5B2-45D2-4D13-A6E6-636A15D5CD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98589" y="48758475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123824</xdr:rowOff>
    </xdr:from>
    <xdr:ext cx="333375" cy="476251"/>
    <xdr:pic>
      <xdr:nvPicPr>
        <xdr:cNvPr id="39" name="Imagen 38">
          <a:extLst>
            <a:ext uri="{FF2B5EF4-FFF2-40B4-BE49-F238E27FC236}">
              <a16:creationId xmlns:a16="http://schemas.microsoft.com/office/drawing/2014/main" id="{E1FCB2C1-9417-438E-948C-49FB92C718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429375" y="48653699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810D0BB8-14DF-42B3-8D57-D05DA7965726}"/>
            </a:ext>
          </a:extLst>
        </xdr:cNvPr>
        <xdr:cNvSpPr/>
      </xdr:nvSpPr>
      <xdr:spPr>
        <a:xfrm>
          <a:off x="5436290" y="48558451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8505988D-7FAB-47F9-A649-AC5AEB201417}"/>
            </a:ext>
          </a:extLst>
        </xdr:cNvPr>
        <xdr:cNvSpPr/>
      </xdr:nvSpPr>
      <xdr:spPr>
        <a:xfrm>
          <a:off x="12084739" y="48558451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42" name="Imagen 41">
          <a:extLst>
            <a:ext uri="{FF2B5EF4-FFF2-40B4-BE49-F238E27FC236}">
              <a16:creationId xmlns:a16="http://schemas.microsoft.com/office/drawing/2014/main" id="{BF306F46-4C44-4FD7-A00D-AADE92BB93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98589" y="9738360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0</xdr:rowOff>
    </xdr:from>
    <xdr:ext cx="333375" cy="476251"/>
    <xdr:pic>
      <xdr:nvPicPr>
        <xdr:cNvPr id="43" name="Imagen 42">
          <a:extLst>
            <a:ext uri="{FF2B5EF4-FFF2-40B4-BE49-F238E27FC236}">
              <a16:creationId xmlns:a16="http://schemas.microsoft.com/office/drawing/2014/main" id="{E3D4890D-A92B-4D58-A7E4-7C2A4FF2C2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429375" y="97155000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7D23B720-E206-4739-83C1-EF55003A1C4D}"/>
            </a:ext>
          </a:extLst>
        </xdr:cNvPr>
        <xdr:cNvSpPr/>
      </xdr:nvSpPr>
      <xdr:spPr>
        <a:xfrm>
          <a:off x="5436290" y="9718357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5851C30A-0276-46CD-8D19-FD6AA74CE14A}"/>
            </a:ext>
          </a:extLst>
        </xdr:cNvPr>
        <xdr:cNvSpPr/>
      </xdr:nvSpPr>
      <xdr:spPr>
        <a:xfrm>
          <a:off x="12084739" y="9718357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46" name="Imagen 45">
          <a:extLst>
            <a:ext uri="{FF2B5EF4-FFF2-40B4-BE49-F238E27FC236}">
              <a16:creationId xmlns:a16="http://schemas.microsoft.com/office/drawing/2014/main" id="{A5FC2688-9341-4E2F-B6B9-204E158989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98589" y="9738360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0</xdr:rowOff>
    </xdr:from>
    <xdr:ext cx="333375" cy="476251"/>
    <xdr:pic>
      <xdr:nvPicPr>
        <xdr:cNvPr id="47" name="Imagen 46">
          <a:extLst>
            <a:ext uri="{FF2B5EF4-FFF2-40B4-BE49-F238E27FC236}">
              <a16:creationId xmlns:a16="http://schemas.microsoft.com/office/drawing/2014/main" id="{CD975E94-77F8-41E1-89E0-C507AAC09A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429375" y="97155000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B34DA18B-EDEB-459C-898E-5E4BA08E4535}"/>
            </a:ext>
          </a:extLst>
        </xdr:cNvPr>
        <xdr:cNvSpPr/>
      </xdr:nvSpPr>
      <xdr:spPr>
        <a:xfrm>
          <a:off x="5436290" y="9718357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23DAFC4D-C13D-4665-9D3C-504BBD26C7A3}"/>
            </a:ext>
          </a:extLst>
        </xdr:cNvPr>
        <xdr:cNvSpPr/>
      </xdr:nvSpPr>
      <xdr:spPr>
        <a:xfrm>
          <a:off x="12084739" y="9718357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50" name="Imagen 49">
          <a:extLst>
            <a:ext uri="{FF2B5EF4-FFF2-40B4-BE49-F238E27FC236}">
              <a16:creationId xmlns:a16="http://schemas.microsoft.com/office/drawing/2014/main" id="{271E2C8A-9102-40EC-AC3F-6A6081751D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98589" y="9738360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123824</xdr:rowOff>
    </xdr:from>
    <xdr:ext cx="333375" cy="476251"/>
    <xdr:pic>
      <xdr:nvPicPr>
        <xdr:cNvPr id="51" name="Imagen 50">
          <a:extLst>
            <a:ext uri="{FF2B5EF4-FFF2-40B4-BE49-F238E27FC236}">
              <a16:creationId xmlns:a16="http://schemas.microsoft.com/office/drawing/2014/main" id="{EA985CA5-FD8E-4264-A2AA-48339F6565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429375" y="97278824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1C30497B-F87B-4862-B108-2E137DAF182C}"/>
            </a:ext>
          </a:extLst>
        </xdr:cNvPr>
        <xdr:cNvSpPr/>
      </xdr:nvSpPr>
      <xdr:spPr>
        <a:xfrm>
          <a:off x="5436290" y="9718357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343DBA64-3273-4A8A-9B71-20F874F9EC8A}"/>
            </a:ext>
          </a:extLst>
        </xdr:cNvPr>
        <xdr:cNvSpPr/>
      </xdr:nvSpPr>
      <xdr:spPr>
        <a:xfrm>
          <a:off x="12084739" y="9718357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54" name="Imagen 53">
          <a:extLst>
            <a:ext uri="{FF2B5EF4-FFF2-40B4-BE49-F238E27FC236}">
              <a16:creationId xmlns:a16="http://schemas.microsoft.com/office/drawing/2014/main" id="{2A01A95D-EBB3-4E05-AE9E-D1A5DDE846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98589" y="9738360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123824</xdr:rowOff>
    </xdr:from>
    <xdr:ext cx="333375" cy="476251"/>
    <xdr:pic>
      <xdr:nvPicPr>
        <xdr:cNvPr id="55" name="Imagen 54">
          <a:extLst>
            <a:ext uri="{FF2B5EF4-FFF2-40B4-BE49-F238E27FC236}">
              <a16:creationId xmlns:a16="http://schemas.microsoft.com/office/drawing/2014/main" id="{9738719C-CF9B-4643-822F-A41ACBD8F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429375" y="97278824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71CF5E69-D982-4D97-8964-0D65FE09FAF9}"/>
            </a:ext>
          </a:extLst>
        </xdr:cNvPr>
        <xdr:cNvSpPr/>
      </xdr:nvSpPr>
      <xdr:spPr>
        <a:xfrm>
          <a:off x="5436290" y="9718357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479CB45A-3BA5-4FC8-8C3E-55091CA5C1D4}"/>
            </a:ext>
          </a:extLst>
        </xdr:cNvPr>
        <xdr:cNvSpPr/>
      </xdr:nvSpPr>
      <xdr:spPr>
        <a:xfrm>
          <a:off x="12084739" y="9718357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58" name="Imagen 57">
          <a:extLst>
            <a:ext uri="{FF2B5EF4-FFF2-40B4-BE49-F238E27FC236}">
              <a16:creationId xmlns:a16="http://schemas.microsoft.com/office/drawing/2014/main" id="{F4F8B899-24C3-49C5-A98B-AAE9ECEF96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98589" y="9738360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0</xdr:rowOff>
    </xdr:from>
    <xdr:ext cx="333375" cy="476251"/>
    <xdr:pic>
      <xdr:nvPicPr>
        <xdr:cNvPr id="59" name="Imagen 58">
          <a:extLst>
            <a:ext uri="{FF2B5EF4-FFF2-40B4-BE49-F238E27FC236}">
              <a16:creationId xmlns:a16="http://schemas.microsoft.com/office/drawing/2014/main" id="{B15E15A1-262E-4B78-8189-30F83F5741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429375" y="97155000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60" name="Rectángulo 59">
          <a:extLst>
            <a:ext uri="{FF2B5EF4-FFF2-40B4-BE49-F238E27FC236}">
              <a16:creationId xmlns:a16="http://schemas.microsoft.com/office/drawing/2014/main" id="{808C5B26-05B8-4158-A167-C5FA073165FC}"/>
            </a:ext>
          </a:extLst>
        </xdr:cNvPr>
        <xdr:cNvSpPr/>
      </xdr:nvSpPr>
      <xdr:spPr>
        <a:xfrm>
          <a:off x="5436290" y="9718357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61" name="Rectángulo 60">
          <a:extLst>
            <a:ext uri="{FF2B5EF4-FFF2-40B4-BE49-F238E27FC236}">
              <a16:creationId xmlns:a16="http://schemas.microsoft.com/office/drawing/2014/main" id="{F396BA09-075E-44DE-A08C-D9C73A85E8B0}"/>
            </a:ext>
          </a:extLst>
        </xdr:cNvPr>
        <xdr:cNvSpPr/>
      </xdr:nvSpPr>
      <xdr:spPr>
        <a:xfrm>
          <a:off x="12084739" y="9718357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62" name="Imagen 61">
          <a:extLst>
            <a:ext uri="{FF2B5EF4-FFF2-40B4-BE49-F238E27FC236}">
              <a16:creationId xmlns:a16="http://schemas.microsoft.com/office/drawing/2014/main" id="{3B6C57B4-DDEE-4EF6-8805-9BB351B65F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98589" y="9738360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0</xdr:rowOff>
    </xdr:from>
    <xdr:ext cx="333375" cy="476251"/>
    <xdr:pic>
      <xdr:nvPicPr>
        <xdr:cNvPr id="63" name="Imagen 62">
          <a:extLst>
            <a:ext uri="{FF2B5EF4-FFF2-40B4-BE49-F238E27FC236}">
              <a16:creationId xmlns:a16="http://schemas.microsoft.com/office/drawing/2014/main" id="{85B7A6AB-5891-4634-91AD-22A9815477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429375" y="97155000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id="{EB891A27-044A-4C46-8DF1-D9FD88F90B92}"/>
            </a:ext>
          </a:extLst>
        </xdr:cNvPr>
        <xdr:cNvSpPr/>
      </xdr:nvSpPr>
      <xdr:spPr>
        <a:xfrm>
          <a:off x="5436290" y="9718357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65" name="Rectángulo 64">
          <a:extLst>
            <a:ext uri="{FF2B5EF4-FFF2-40B4-BE49-F238E27FC236}">
              <a16:creationId xmlns:a16="http://schemas.microsoft.com/office/drawing/2014/main" id="{66561E89-9190-49DA-AE2D-D68D861A6AED}"/>
            </a:ext>
          </a:extLst>
        </xdr:cNvPr>
        <xdr:cNvSpPr/>
      </xdr:nvSpPr>
      <xdr:spPr>
        <a:xfrm>
          <a:off x="12084739" y="9718357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66" name="Imagen 65">
          <a:extLst>
            <a:ext uri="{FF2B5EF4-FFF2-40B4-BE49-F238E27FC236}">
              <a16:creationId xmlns:a16="http://schemas.microsoft.com/office/drawing/2014/main" id="{FC743980-F491-4B48-A6A0-DB781FE3A7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98589" y="9738360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123824</xdr:rowOff>
    </xdr:from>
    <xdr:ext cx="333375" cy="476251"/>
    <xdr:pic>
      <xdr:nvPicPr>
        <xdr:cNvPr id="67" name="Imagen 66">
          <a:extLst>
            <a:ext uri="{FF2B5EF4-FFF2-40B4-BE49-F238E27FC236}">
              <a16:creationId xmlns:a16="http://schemas.microsoft.com/office/drawing/2014/main" id="{020D6BA1-1FA8-48B5-91CE-0409C5FEE9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429375" y="97278824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68" name="Rectángulo 67">
          <a:extLst>
            <a:ext uri="{FF2B5EF4-FFF2-40B4-BE49-F238E27FC236}">
              <a16:creationId xmlns:a16="http://schemas.microsoft.com/office/drawing/2014/main" id="{89068192-03C2-4122-9784-942405585EAD}"/>
            </a:ext>
          </a:extLst>
        </xdr:cNvPr>
        <xdr:cNvSpPr/>
      </xdr:nvSpPr>
      <xdr:spPr>
        <a:xfrm>
          <a:off x="5436290" y="9718357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69" name="Rectángulo 68">
          <a:extLst>
            <a:ext uri="{FF2B5EF4-FFF2-40B4-BE49-F238E27FC236}">
              <a16:creationId xmlns:a16="http://schemas.microsoft.com/office/drawing/2014/main" id="{D3513EE7-B6EC-47D4-A53C-D9CE4A6FBF8C}"/>
            </a:ext>
          </a:extLst>
        </xdr:cNvPr>
        <xdr:cNvSpPr/>
      </xdr:nvSpPr>
      <xdr:spPr>
        <a:xfrm>
          <a:off x="12084739" y="9718357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70" name="Imagen 69">
          <a:extLst>
            <a:ext uri="{FF2B5EF4-FFF2-40B4-BE49-F238E27FC236}">
              <a16:creationId xmlns:a16="http://schemas.microsoft.com/office/drawing/2014/main" id="{8FF0F8DB-F2B6-41D1-9BC4-F16BB66B84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98589" y="9738360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123824</xdr:rowOff>
    </xdr:from>
    <xdr:ext cx="333375" cy="476251"/>
    <xdr:pic>
      <xdr:nvPicPr>
        <xdr:cNvPr id="71" name="Imagen 70">
          <a:extLst>
            <a:ext uri="{FF2B5EF4-FFF2-40B4-BE49-F238E27FC236}">
              <a16:creationId xmlns:a16="http://schemas.microsoft.com/office/drawing/2014/main" id="{848F030F-3A78-47BB-8F58-E6595B01E2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429375" y="97278824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72" name="Rectángulo 71">
          <a:extLst>
            <a:ext uri="{FF2B5EF4-FFF2-40B4-BE49-F238E27FC236}">
              <a16:creationId xmlns:a16="http://schemas.microsoft.com/office/drawing/2014/main" id="{228D4AB8-7BC8-4939-966A-5947183C679E}"/>
            </a:ext>
          </a:extLst>
        </xdr:cNvPr>
        <xdr:cNvSpPr/>
      </xdr:nvSpPr>
      <xdr:spPr>
        <a:xfrm>
          <a:off x="5436290" y="9718357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73" name="Rectángulo 72">
          <a:extLst>
            <a:ext uri="{FF2B5EF4-FFF2-40B4-BE49-F238E27FC236}">
              <a16:creationId xmlns:a16="http://schemas.microsoft.com/office/drawing/2014/main" id="{3B20BB41-2225-49BF-A9C2-C586783A7E43}"/>
            </a:ext>
          </a:extLst>
        </xdr:cNvPr>
        <xdr:cNvSpPr/>
      </xdr:nvSpPr>
      <xdr:spPr>
        <a:xfrm>
          <a:off x="12084739" y="9718357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2" name="Imagen 1">
          <a:extLst>
            <a:ext uri="{FF2B5EF4-FFF2-40B4-BE49-F238E27FC236}">
              <a16:creationId xmlns:a16="http://schemas.microsoft.com/office/drawing/2014/main" id="{F34CAC0A-2975-4D50-B629-D306838476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41439" y="40005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0</xdr:rowOff>
    </xdr:from>
    <xdr:ext cx="333375" cy="476251"/>
    <xdr:pic>
      <xdr:nvPicPr>
        <xdr:cNvPr id="3" name="Imagen 2">
          <a:extLst>
            <a:ext uri="{FF2B5EF4-FFF2-40B4-BE49-F238E27FC236}">
              <a16:creationId xmlns:a16="http://schemas.microsoft.com/office/drawing/2014/main" id="{BD0A96A1-8F3C-400C-B9BD-953DAC2788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372225" y="171450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D25D1EF7-7F9C-4C3C-8D6A-7293C9D3C88F}"/>
            </a:ext>
          </a:extLst>
        </xdr:cNvPr>
        <xdr:cNvSpPr/>
      </xdr:nvSpPr>
      <xdr:spPr>
        <a:xfrm>
          <a:off x="5388665" y="20002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9EA06E20-9753-48AA-B238-6AAAD197D8F8}"/>
            </a:ext>
          </a:extLst>
        </xdr:cNvPr>
        <xdr:cNvSpPr/>
      </xdr:nvSpPr>
      <xdr:spPr>
        <a:xfrm>
          <a:off x="11999014" y="20002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6" name="Imagen 5">
          <a:extLst>
            <a:ext uri="{FF2B5EF4-FFF2-40B4-BE49-F238E27FC236}">
              <a16:creationId xmlns:a16="http://schemas.microsoft.com/office/drawing/2014/main" id="{E852750C-5B98-45B4-804D-9DBE0CE9C0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41439" y="40005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0</xdr:rowOff>
    </xdr:from>
    <xdr:ext cx="333375" cy="476251"/>
    <xdr:pic>
      <xdr:nvPicPr>
        <xdr:cNvPr id="7" name="Imagen 6">
          <a:extLst>
            <a:ext uri="{FF2B5EF4-FFF2-40B4-BE49-F238E27FC236}">
              <a16:creationId xmlns:a16="http://schemas.microsoft.com/office/drawing/2014/main" id="{9EDC7B7F-5D99-4354-9E5F-06D6F73708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372225" y="171450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88A3A5F9-6A64-4CEC-A538-3FE8C67620C8}"/>
            </a:ext>
          </a:extLst>
        </xdr:cNvPr>
        <xdr:cNvSpPr/>
      </xdr:nvSpPr>
      <xdr:spPr>
        <a:xfrm>
          <a:off x="5388665" y="20002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C8093C3-8D09-4465-BCE0-49FE16A82C21}"/>
            </a:ext>
          </a:extLst>
        </xdr:cNvPr>
        <xdr:cNvSpPr/>
      </xdr:nvSpPr>
      <xdr:spPr>
        <a:xfrm>
          <a:off x="11999014" y="20002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10" name="Imagen 9">
          <a:extLst>
            <a:ext uri="{FF2B5EF4-FFF2-40B4-BE49-F238E27FC236}">
              <a16:creationId xmlns:a16="http://schemas.microsoft.com/office/drawing/2014/main" id="{76256946-BE3F-4320-B849-F852F45418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41439" y="40005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123824</xdr:rowOff>
    </xdr:from>
    <xdr:ext cx="333375" cy="476251"/>
    <xdr:pic>
      <xdr:nvPicPr>
        <xdr:cNvPr id="11" name="Imagen 10">
          <a:extLst>
            <a:ext uri="{FF2B5EF4-FFF2-40B4-BE49-F238E27FC236}">
              <a16:creationId xmlns:a16="http://schemas.microsoft.com/office/drawing/2014/main" id="{757DCE82-4C98-4F30-8F62-C9C0CD120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372225" y="295274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1BD480A1-06D5-4389-B140-B5D5CF8BBE08}"/>
            </a:ext>
          </a:extLst>
        </xdr:cNvPr>
        <xdr:cNvSpPr/>
      </xdr:nvSpPr>
      <xdr:spPr>
        <a:xfrm>
          <a:off x="5388665" y="20002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352C467A-C8E0-4D22-9595-A6BD87CE2255}"/>
            </a:ext>
          </a:extLst>
        </xdr:cNvPr>
        <xdr:cNvSpPr/>
      </xdr:nvSpPr>
      <xdr:spPr>
        <a:xfrm>
          <a:off x="11999014" y="20002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14" name="Imagen 13">
          <a:extLst>
            <a:ext uri="{FF2B5EF4-FFF2-40B4-BE49-F238E27FC236}">
              <a16:creationId xmlns:a16="http://schemas.microsoft.com/office/drawing/2014/main" id="{2C31C853-2ED5-4EA7-A131-1DB1F299EA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41439" y="40005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123824</xdr:rowOff>
    </xdr:from>
    <xdr:ext cx="333375" cy="476251"/>
    <xdr:pic>
      <xdr:nvPicPr>
        <xdr:cNvPr id="15" name="Imagen 14">
          <a:extLst>
            <a:ext uri="{FF2B5EF4-FFF2-40B4-BE49-F238E27FC236}">
              <a16:creationId xmlns:a16="http://schemas.microsoft.com/office/drawing/2014/main" id="{BC8189D6-4220-4D31-86AF-ABDC62BC50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372225" y="295274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CBF4A0CF-A32C-4D56-95CA-8E9D4B60CFC7}"/>
            </a:ext>
          </a:extLst>
        </xdr:cNvPr>
        <xdr:cNvSpPr/>
      </xdr:nvSpPr>
      <xdr:spPr>
        <a:xfrm>
          <a:off x="5388665" y="20002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F511FACC-269E-4F4E-BEE4-904822CD65F0}"/>
            </a:ext>
          </a:extLst>
        </xdr:cNvPr>
        <xdr:cNvSpPr/>
      </xdr:nvSpPr>
      <xdr:spPr>
        <a:xfrm>
          <a:off x="11999014" y="20002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18" name="Imagen 17">
          <a:extLst>
            <a:ext uri="{FF2B5EF4-FFF2-40B4-BE49-F238E27FC236}">
              <a16:creationId xmlns:a16="http://schemas.microsoft.com/office/drawing/2014/main" id="{2808B4C7-646D-4345-A0CF-AC58A64B7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41439" y="40005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0</xdr:rowOff>
    </xdr:from>
    <xdr:ext cx="333375" cy="476251"/>
    <xdr:pic>
      <xdr:nvPicPr>
        <xdr:cNvPr id="19" name="Imagen 18">
          <a:extLst>
            <a:ext uri="{FF2B5EF4-FFF2-40B4-BE49-F238E27FC236}">
              <a16:creationId xmlns:a16="http://schemas.microsoft.com/office/drawing/2014/main" id="{DE9D7814-253C-4CD9-AC84-F513CAFB0B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372225" y="171450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12E65617-5F95-4C08-AD7F-18DA497A349B}"/>
            </a:ext>
          </a:extLst>
        </xdr:cNvPr>
        <xdr:cNvSpPr/>
      </xdr:nvSpPr>
      <xdr:spPr>
        <a:xfrm>
          <a:off x="5388665" y="20002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802DD5A0-8D63-4CE5-A675-B7DBEF6A500F}"/>
            </a:ext>
          </a:extLst>
        </xdr:cNvPr>
        <xdr:cNvSpPr/>
      </xdr:nvSpPr>
      <xdr:spPr>
        <a:xfrm>
          <a:off x="11999014" y="20002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22" name="Imagen 21">
          <a:extLst>
            <a:ext uri="{FF2B5EF4-FFF2-40B4-BE49-F238E27FC236}">
              <a16:creationId xmlns:a16="http://schemas.microsoft.com/office/drawing/2014/main" id="{578412AA-0BDD-4EB0-B306-4452A2000D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41439" y="40005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0</xdr:rowOff>
    </xdr:from>
    <xdr:ext cx="333375" cy="476251"/>
    <xdr:pic>
      <xdr:nvPicPr>
        <xdr:cNvPr id="23" name="Imagen 22">
          <a:extLst>
            <a:ext uri="{FF2B5EF4-FFF2-40B4-BE49-F238E27FC236}">
              <a16:creationId xmlns:a16="http://schemas.microsoft.com/office/drawing/2014/main" id="{E6DF6600-7B46-40CD-851F-D77FF18B22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372225" y="171450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A0637E53-440B-460D-823D-6EF672CDC4F5}"/>
            </a:ext>
          </a:extLst>
        </xdr:cNvPr>
        <xdr:cNvSpPr/>
      </xdr:nvSpPr>
      <xdr:spPr>
        <a:xfrm>
          <a:off x="5388665" y="20002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742D093A-F345-4869-A9B3-7D4061900F37}"/>
            </a:ext>
          </a:extLst>
        </xdr:cNvPr>
        <xdr:cNvSpPr/>
      </xdr:nvSpPr>
      <xdr:spPr>
        <a:xfrm>
          <a:off x="11999014" y="20002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26" name="Imagen 25">
          <a:extLst>
            <a:ext uri="{FF2B5EF4-FFF2-40B4-BE49-F238E27FC236}">
              <a16:creationId xmlns:a16="http://schemas.microsoft.com/office/drawing/2014/main" id="{A8C82F6F-CE06-4FF8-9031-386054AC37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41439" y="40005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123824</xdr:rowOff>
    </xdr:from>
    <xdr:ext cx="333375" cy="476251"/>
    <xdr:pic>
      <xdr:nvPicPr>
        <xdr:cNvPr id="27" name="Imagen 26">
          <a:extLst>
            <a:ext uri="{FF2B5EF4-FFF2-40B4-BE49-F238E27FC236}">
              <a16:creationId xmlns:a16="http://schemas.microsoft.com/office/drawing/2014/main" id="{54B71E08-459D-43EB-AF9C-24DB518571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372225" y="295274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1BF05A78-B23C-4F0A-8D0D-F61A61592F65}"/>
            </a:ext>
          </a:extLst>
        </xdr:cNvPr>
        <xdr:cNvSpPr/>
      </xdr:nvSpPr>
      <xdr:spPr>
        <a:xfrm>
          <a:off x="5388665" y="20002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D00C31C-1CE4-43C7-8C26-4C3E9EE953AC}"/>
            </a:ext>
          </a:extLst>
        </xdr:cNvPr>
        <xdr:cNvSpPr/>
      </xdr:nvSpPr>
      <xdr:spPr>
        <a:xfrm>
          <a:off x="11999014" y="20002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30" name="Imagen 29">
          <a:extLst>
            <a:ext uri="{FF2B5EF4-FFF2-40B4-BE49-F238E27FC236}">
              <a16:creationId xmlns:a16="http://schemas.microsoft.com/office/drawing/2014/main" id="{A093B4B1-6F6F-4A45-8AAF-D1C80A9EA4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41439" y="40005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123824</xdr:rowOff>
    </xdr:from>
    <xdr:ext cx="333375" cy="476251"/>
    <xdr:pic>
      <xdr:nvPicPr>
        <xdr:cNvPr id="31" name="Imagen 30">
          <a:extLst>
            <a:ext uri="{FF2B5EF4-FFF2-40B4-BE49-F238E27FC236}">
              <a16:creationId xmlns:a16="http://schemas.microsoft.com/office/drawing/2014/main" id="{390A45CE-E241-459E-BE14-588702894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372225" y="295274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3D62F2CE-E68C-461B-B52F-74CC10E2BA39}"/>
            </a:ext>
          </a:extLst>
        </xdr:cNvPr>
        <xdr:cNvSpPr/>
      </xdr:nvSpPr>
      <xdr:spPr>
        <a:xfrm>
          <a:off x="5388665" y="20002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1C63DB7F-87CB-4E20-B416-3F7BB1CE1FF3}"/>
            </a:ext>
          </a:extLst>
        </xdr:cNvPr>
        <xdr:cNvSpPr/>
      </xdr:nvSpPr>
      <xdr:spPr>
        <a:xfrm>
          <a:off x="11999014" y="20002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34" name="Imagen 33">
          <a:extLst>
            <a:ext uri="{FF2B5EF4-FFF2-40B4-BE49-F238E27FC236}">
              <a16:creationId xmlns:a16="http://schemas.microsoft.com/office/drawing/2014/main" id="{505F7954-F57D-4295-83CB-11C26C96FC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41439" y="40005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0</xdr:rowOff>
    </xdr:from>
    <xdr:ext cx="333375" cy="476251"/>
    <xdr:pic>
      <xdr:nvPicPr>
        <xdr:cNvPr id="35" name="Imagen 34">
          <a:extLst>
            <a:ext uri="{FF2B5EF4-FFF2-40B4-BE49-F238E27FC236}">
              <a16:creationId xmlns:a16="http://schemas.microsoft.com/office/drawing/2014/main" id="{FFF9C63A-77F1-4978-851E-E8B678F624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372225" y="171450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A11BF09D-5314-468A-B90A-938CF44144F8}"/>
            </a:ext>
          </a:extLst>
        </xdr:cNvPr>
        <xdr:cNvSpPr/>
      </xdr:nvSpPr>
      <xdr:spPr>
        <a:xfrm>
          <a:off x="5388665" y="20002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63BB9E3D-5814-48B5-9497-666CBAFDDDCD}"/>
            </a:ext>
          </a:extLst>
        </xdr:cNvPr>
        <xdr:cNvSpPr/>
      </xdr:nvSpPr>
      <xdr:spPr>
        <a:xfrm>
          <a:off x="11999014" y="20002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38" name="Imagen 37">
          <a:extLst>
            <a:ext uri="{FF2B5EF4-FFF2-40B4-BE49-F238E27FC236}">
              <a16:creationId xmlns:a16="http://schemas.microsoft.com/office/drawing/2014/main" id="{C1B69019-0AA4-4AE0-9D33-BEBC4AD227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41439" y="40005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0</xdr:rowOff>
    </xdr:from>
    <xdr:ext cx="333375" cy="476251"/>
    <xdr:pic>
      <xdr:nvPicPr>
        <xdr:cNvPr id="39" name="Imagen 38">
          <a:extLst>
            <a:ext uri="{FF2B5EF4-FFF2-40B4-BE49-F238E27FC236}">
              <a16:creationId xmlns:a16="http://schemas.microsoft.com/office/drawing/2014/main" id="{F9E8E453-5AB3-412A-8508-5B84007708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372225" y="171450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A2DD59EE-018E-4300-AD6A-192FD44D4099}"/>
            </a:ext>
          </a:extLst>
        </xdr:cNvPr>
        <xdr:cNvSpPr/>
      </xdr:nvSpPr>
      <xdr:spPr>
        <a:xfrm>
          <a:off x="5388665" y="20002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F1D61017-B15D-49D0-998D-0AE1CE92C1C3}"/>
            </a:ext>
          </a:extLst>
        </xdr:cNvPr>
        <xdr:cNvSpPr/>
      </xdr:nvSpPr>
      <xdr:spPr>
        <a:xfrm>
          <a:off x="11999014" y="20002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42" name="Imagen 41">
          <a:extLst>
            <a:ext uri="{FF2B5EF4-FFF2-40B4-BE49-F238E27FC236}">
              <a16:creationId xmlns:a16="http://schemas.microsoft.com/office/drawing/2014/main" id="{3E2DCC09-F304-4687-B30F-9DF9EC8853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41439" y="40005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123824</xdr:rowOff>
    </xdr:from>
    <xdr:ext cx="333375" cy="476251"/>
    <xdr:pic>
      <xdr:nvPicPr>
        <xdr:cNvPr id="43" name="Imagen 42">
          <a:extLst>
            <a:ext uri="{FF2B5EF4-FFF2-40B4-BE49-F238E27FC236}">
              <a16:creationId xmlns:a16="http://schemas.microsoft.com/office/drawing/2014/main" id="{AABF635F-1C0B-4117-A445-05DDEDC85D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372225" y="295274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8B0B45F9-64BD-4A8C-8FF2-44E828F12847}"/>
            </a:ext>
          </a:extLst>
        </xdr:cNvPr>
        <xdr:cNvSpPr/>
      </xdr:nvSpPr>
      <xdr:spPr>
        <a:xfrm>
          <a:off x="5388665" y="20002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C249EBC3-D8B4-4D26-A125-FB39E75C8501}"/>
            </a:ext>
          </a:extLst>
        </xdr:cNvPr>
        <xdr:cNvSpPr/>
      </xdr:nvSpPr>
      <xdr:spPr>
        <a:xfrm>
          <a:off x="11999014" y="20002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46" name="Imagen 45">
          <a:extLst>
            <a:ext uri="{FF2B5EF4-FFF2-40B4-BE49-F238E27FC236}">
              <a16:creationId xmlns:a16="http://schemas.microsoft.com/office/drawing/2014/main" id="{A5CF170A-8039-47F5-982F-19094B7F6B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41439" y="40005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123824</xdr:rowOff>
    </xdr:from>
    <xdr:ext cx="333375" cy="476251"/>
    <xdr:pic>
      <xdr:nvPicPr>
        <xdr:cNvPr id="47" name="Imagen 46">
          <a:extLst>
            <a:ext uri="{FF2B5EF4-FFF2-40B4-BE49-F238E27FC236}">
              <a16:creationId xmlns:a16="http://schemas.microsoft.com/office/drawing/2014/main" id="{1E3017A6-C67C-4467-9162-E7BB1A7483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372225" y="295274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5A144A1B-4BAB-417D-874F-F42BB731385B}"/>
            </a:ext>
          </a:extLst>
        </xdr:cNvPr>
        <xdr:cNvSpPr/>
      </xdr:nvSpPr>
      <xdr:spPr>
        <a:xfrm>
          <a:off x="5388665" y="20002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A6C6A020-8F56-4ED3-9113-31F85F3A315F}"/>
            </a:ext>
          </a:extLst>
        </xdr:cNvPr>
        <xdr:cNvSpPr/>
      </xdr:nvSpPr>
      <xdr:spPr>
        <a:xfrm>
          <a:off x="11999014" y="20002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50" name="Imagen 49">
          <a:extLst>
            <a:ext uri="{FF2B5EF4-FFF2-40B4-BE49-F238E27FC236}">
              <a16:creationId xmlns:a16="http://schemas.microsoft.com/office/drawing/2014/main" id="{00324E0F-55B9-4D04-A7D7-F67A68A542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41439" y="40005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0</xdr:rowOff>
    </xdr:from>
    <xdr:ext cx="333375" cy="476251"/>
    <xdr:pic>
      <xdr:nvPicPr>
        <xdr:cNvPr id="51" name="Imagen 50">
          <a:extLst>
            <a:ext uri="{FF2B5EF4-FFF2-40B4-BE49-F238E27FC236}">
              <a16:creationId xmlns:a16="http://schemas.microsoft.com/office/drawing/2014/main" id="{F1227E1E-680E-49D0-99AC-92F27C054B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372225" y="171450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49EB6329-60F5-4BF8-AC79-33178A39C277}"/>
            </a:ext>
          </a:extLst>
        </xdr:cNvPr>
        <xdr:cNvSpPr/>
      </xdr:nvSpPr>
      <xdr:spPr>
        <a:xfrm>
          <a:off x="5388665" y="20002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24D4E7C8-942F-4E1F-BC78-EED50AC73A28}"/>
            </a:ext>
          </a:extLst>
        </xdr:cNvPr>
        <xdr:cNvSpPr/>
      </xdr:nvSpPr>
      <xdr:spPr>
        <a:xfrm>
          <a:off x="11999014" y="20002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54" name="Imagen 53">
          <a:extLst>
            <a:ext uri="{FF2B5EF4-FFF2-40B4-BE49-F238E27FC236}">
              <a16:creationId xmlns:a16="http://schemas.microsoft.com/office/drawing/2014/main" id="{42DCCF83-B311-4309-8E3C-B934908E8C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41439" y="40005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0</xdr:rowOff>
    </xdr:from>
    <xdr:ext cx="333375" cy="476251"/>
    <xdr:pic>
      <xdr:nvPicPr>
        <xdr:cNvPr id="55" name="Imagen 54">
          <a:extLst>
            <a:ext uri="{FF2B5EF4-FFF2-40B4-BE49-F238E27FC236}">
              <a16:creationId xmlns:a16="http://schemas.microsoft.com/office/drawing/2014/main" id="{3B626F84-7787-4B11-A2F7-A003F272AB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372225" y="171450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CC1E3F1D-1957-41FB-91F8-EE3E9C91BFE3}"/>
            </a:ext>
          </a:extLst>
        </xdr:cNvPr>
        <xdr:cNvSpPr/>
      </xdr:nvSpPr>
      <xdr:spPr>
        <a:xfrm>
          <a:off x="5388665" y="20002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DB573D11-80B4-45DB-983F-03D6696334DF}"/>
            </a:ext>
          </a:extLst>
        </xdr:cNvPr>
        <xdr:cNvSpPr/>
      </xdr:nvSpPr>
      <xdr:spPr>
        <a:xfrm>
          <a:off x="11999014" y="20002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58" name="Imagen 57">
          <a:extLst>
            <a:ext uri="{FF2B5EF4-FFF2-40B4-BE49-F238E27FC236}">
              <a16:creationId xmlns:a16="http://schemas.microsoft.com/office/drawing/2014/main" id="{2162CF27-D2D2-45A6-9FD3-F664F805CD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41439" y="40005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123824</xdr:rowOff>
    </xdr:from>
    <xdr:ext cx="333375" cy="476251"/>
    <xdr:pic>
      <xdr:nvPicPr>
        <xdr:cNvPr id="59" name="Imagen 58">
          <a:extLst>
            <a:ext uri="{FF2B5EF4-FFF2-40B4-BE49-F238E27FC236}">
              <a16:creationId xmlns:a16="http://schemas.microsoft.com/office/drawing/2014/main" id="{390F967E-89AA-46FD-AD58-917DE97A97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372225" y="295274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60" name="Rectángulo 59">
          <a:extLst>
            <a:ext uri="{FF2B5EF4-FFF2-40B4-BE49-F238E27FC236}">
              <a16:creationId xmlns:a16="http://schemas.microsoft.com/office/drawing/2014/main" id="{267BB379-D4F0-4D31-9621-5C9B5A0D6553}"/>
            </a:ext>
          </a:extLst>
        </xdr:cNvPr>
        <xdr:cNvSpPr/>
      </xdr:nvSpPr>
      <xdr:spPr>
        <a:xfrm>
          <a:off x="5388665" y="20002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61" name="Rectángulo 60">
          <a:extLst>
            <a:ext uri="{FF2B5EF4-FFF2-40B4-BE49-F238E27FC236}">
              <a16:creationId xmlns:a16="http://schemas.microsoft.com/office/drawing/2014/main" id="{7C4A54C4-7C9F-48F4-ABC3-20BC0D7B2CD3}"/>
            </a:ext>
          </a:extLst>
        </xdr:cNvPr>
        <xdr:cNvSpPr/>
      </xdr:nvSpPr>
      <xdr:spPr>
        <a:xfrm>
          <a:off x="11999014" y="20002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12</xdr:col>
      <xdr:colOff>478789</xdr:colOff>
      <xdr:row>2</xdr:row>
      <xdr:rowOff>104775</xdr:rowOff>
    </xdr:from>
    <xdr:ext cx="214630" cy="247650"/>
    <xdr:pic>
      <xdr:nvPicPr>
        <xdr:cNvPr id="62" name="Imagen 61">
          <a:extLst>
            <a:ext uri="{FF2B5EF4-FFF2-40B4-BE49-F238E27FC236}">
              <a16:creationId xmlns:a16="http://schemas.microsoft.com/office/drawing/2014/main" id="{8C74A811-B6FB-46F4-967D-1254A4FF83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51" t="32552" r="34863" b="39844"/>
        <a:stretch/>
      </xdr:blipFill>
      <xdr:spPr>
        <a:xfrm>
          <a:off x="6441439" y="400050"/>
          <a:ext cx="214630" cy="247650"/>
        </a:xfrm>
        <a:prstGeom prst="rect">
          <a:avLst/>
        </a:prstGeom>
      </xdr:spPr>
    </xdr:pic>
    <xdr:clientData/>
  </xdr:oneCellAnchor>
  <xdr:oneCellAnchor>
    <xdr:from>
      <xdr:col>12</xdr:col>
      <xdr:colOff>371475</xdr:colOff>
      <xdr:row>1</xdr:row>
      <xdr:rowOff>123824</xdr:rowOff>
    </xdr:from>
    <xdr:ext cx="333375" cy="476251"/>
    <xdr:pic>
      <xdr:nvPicPr>
        <xdr:cNvPr id="63" name="Imagen 62">
          <a:extLst>
            <a:ext uri="{FF2B5EF4-FFF2-40B4-BE49-F238E27FC236}">
              <a16:creationId xmlns:a16="http://schemas.microsoft.com/office/drawing/2014/main" id="{A3AC8BDD-72FF-4F89-84CA-CD61E4B5C6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01" t="40624" r="26269" b="29167"/>
        <a:stretch/>
      </xdr:blipFill>
      <xdr:spPr>
        <a:xfrm>
          <a:off x="6372225" y="295274"/>
          <a:ext cx="333375" cy="476251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749990</xdr:colOff>
      <xdr:row>1</xdr:row>
      <xdr:rowOff>28576</xdr:rowOff>
    </xdr:from>
    <xdr:ext cx="1316934" cy="311496"/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id="{27F7AACF-EF76-4FA2-868B-78F61D871AC9}"/>
            </a:ext>
          </a:extLst>
        </xdr:cNvPr>
        <xdr:cNvSpPr/>
      </xdr:nvSpPr>
      <xdr:spPr>
        <a:xfrm>
          <a:off x="5388665" y="200026"/>
          <a:ext cx="1316934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  <xdr:oneCellAnchor>
    <xdr:from>
      <xdr:col>24</xdr:col>
      <xdr:colOff>254689</xdr:colOff>
      <xdr:row>1</xdr:row>
      <xdr:rowOff>28576</xdr:rowOff>
    </xdr:from>
    <xdr:ext cx="1850335" cy="311496"/>
    <xdr:sp macro="" textlink="">
      <xdr:nvSpPr>
        <xdr:cNvPr id="65" name="Rectángulo 64">
          <a:extLst>
            <a:ext uri="{FF2B5EF4-FFF2-40B4-BE49-F238E27FC236}">
              <a16:creationId xmlns:a16="http://schemas.microsoft.com/office/drawing/2014/main" id="{098C6DB8-590E-4827-8231-51D8A29FA939}"/>
            </a:ext>
          </a:extLst>
        </xdr:cNvPr>
        <xdr:cNvSpPr/>
      </xdr:nvSpPr>
      <xdr:spPr>
        <a:xfrm>
          <a:off x="11999014" y="200026"/>
          <a:ext cx="1850335" cy="311496"/>
        </a:xfrm>
        <a:prstGeom prst="rect">
          <a:avLst/>
        </a:prstGeom>
        <a:noFill/>
        <a:ln w="38100">
          <a:noFill/>
        </a:ln>
        <a:effectLst>
          <a:outerShdw blurRad="44450" dist="27940" dir="5400000" algn="ctr">
            <a:srgbClr val="000000">
              <a:alpha val="32000"/>
            </a:srgbClr>
          </a:outerShdw>
          <a:reflection endPos="0" dist="508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1" cap="none" spc="0">
              <a:ln w="9525" cap="flat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RECEPCIÓN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2"/>
  <sheetViews>
    <sheetView tabSelected="1" view="pageLayout" zoomScaleNormal="100" workbookViewId="0">
      <selection sqref="A1:AB82"/>
    </sheetView>
  </sheetViews>
  <sheetFormatPr baseColWidth="10" defaultColWidth="11.42578125" defaultRowHeight="10.35" customHeight="1" x14ac:dyDescent="0.25"/>
  <cols>
    <col min="1" max="1" width="4.5703125" style="2" customWidth="1"/>
    <col min="2" max="2" width="5.28515625" style="2" customWidth="1"/>
    <col min="3" max="3" width="6" style="2" customWidth="1"/>
    <col min="4" max="4" width="7.28515625" style="2" customWidth="1"/>
    <col min="5" max="6" width="4.140625" style="2" customWidth="1"/>
    <col min="7" max="7" width="6.42578125" style="2" customWidth="1"/>
    <col min="8" max="8" width="10.85546875" style="2" customWidth="1"/>
    <col min="9" max="9" width="7.42578125" style="2" customWidth="1"/>
    <col min="10" max="10" width="9.28515625" style="2" customWidth="1"/>
    <col min="11" max="11" width="11.85546875" style="2" customWidth="1"/>
    <col min="12" max="12" width="7.28515625" style="2" customWidth="1"/>
    <col min="13" max="13" width="6.140625" style="2" customWidth="1"/>
    <col min="14" max="14" width="7.5703125" style="2" customWidth="1"/>
    <col min="15" max="15" width="4.5703125" style="2" customWidth="1"/>
    <col min="16" max="16" width="5.28515625" style="2" customWidth="1"/>
    <col min="17" max="17" width="6" style="2" customWidth="1"/>
    <col min="18" max="18" width="8.85546875" style="2" customWidth="1"/>
    <col min="19" max="20" width="4.140625" style="2" customWidth="1"/>
    <col min="21" max="21" width="6.42578125" style="2" customWidth="1"/>
    <col min="22" max="22" width="10.85546875" style="2" customWidth="1"/>
    <col min="23" max="23" width="7.5703125" style="2" customWidth="1"/>
    <col min="24" max="24" width="9.140625" style="2" customWidth="1"/>
    <col min="25" max="25" width="11.85546875" style="2" customWidth="1"/>
    <col min="26" max="26" width="7.28515625" style="2" customWidth="1"/>
    <col min="27" max="27" width="7.140625" style="2" customWidth="1"/>
    <col min="28" max="28" width="6.28515625" style="2" customWidth="1"/>
    <col min="29" max="29" width="4.7109375" style="2" customWidth="1"/>
    <col min="30" max="16384" width="11.42578125" style="2"/>
  </cols>
  <sheetData>
    <row r="1" spans="1:29" ht="13.5" customHeight="1" thickBot="1" x14ac:dyDescent="0.3">
      <c r="K1" s="103" t="s">
        <v>80</v>
      </c>
      <c r="L1" s="103"/>
      <c r="M1" s="103"/>
      <c r="N1" s="103"/>
    </row>
    <row r="2" spans="1:29" ht="10.35" customHeight="1" thickBot="1" x14ac:dyDescent="0.3">
      <c r="A2" s="1"/>
      <c r="B2" s="298" t="s">
        <v>3</v>
      </c>
      <c r="C2" s="299"/>
      <c r="D2" s="300"/>
      <c r="E2" s="301" t="s">
        <v>4</v>
      </c>
      <c r="F2" s="302"/>
      <c r="G2" s="302"/>
      <c r="H2" s="302"/>
      <c r="I2" s="302"/>
      <c r="J2" s="303"/>
      <c r="K2" s="307" t="s">
        <v>5</v>
      </c>
      <c r="L2" s="308"/>
      <c r="M2" s="308"/>
      <c r="N2" s="309"/>
      <c r="O2" s="1"/>
      <c r="P2" s="318" t="s">
        <v>8</v>
      </c>
      <c r="Q2" s="319"/>
      <c r="R2" s="319"/>
      <c r="S2" s="319"/>
      <c r="T2" s="319"/>
      <c r="U2" s="320"/>
      <c r="V2" s="272">
        <f>M9</f>
        <v>0</v>
      </c>
      <c r="W2" s="273"/>
      <c r="X2" s="274"/>
      <c r="Y2" s="215"/>
      <c r="Z2" s="216"/>
      <c r="AA2" s="216"/>
      <c r="AB2" s="217"/>
    </row>
    <row r="3" spans="1:29" ht="10.35" customHeight="1" x14ac:dyDescent="0.25">
      <c r="A3" s="1"/>
      <c r="B3" s="5" t="s">
        <v>6</v>
      </c>
      <c r="C3" s="316" t="s">
        <v>7</v>
      </c>
      <c r="D3" s="317"/>
      <c r="E3" s="304"/>
      <c r="F3" s="305"/>
      <c r="G3" s="305"/>
      <c r="H3" s="305"/>
      <c r="I3" s="305"/>
      <c r="J3" s="306"/>
      <c r="K3" s="310"/>
      <c r="L3" s="311"/>
      <c r="M3" s="311"/>
      <c r="N3" s="312"/>
      <c r="O3" s="1"/>
      <c r="P3" s="321"/>
      <c r="Q3" s="322"/>
      <c r="R3" s="322"/>
      <c r="S3" s="322"/>
      <c r="T3" s="322"/>
      <c r="U3" s="323"/>
      <c r="V3" s="275"/>
      <c r="W3" s="276"/>
      <c r="X3" s="277"/>
      <c r="Y3" s="218"/>
      <c r="Z3" s="219"/>
      <c r="AA3" s="219"/>
      <c r="AB3" s="220"/>
    </row>
    <row r="4" spans="1:29" ht="10.35" customHeight="1" x14ac:dyDescent="0.25">
      <c r="A4" s="1"/>
      <c r="B4" s="6" t="s">
        <v>9</v>
      </c>
      <c r="C4" s="327" t="s">
        <v>10</v>
      </c>
      <c r="D4" s="328"/>
      <c r="E4" s="331" t="s">
        <v>11</v>
      </c>
      <c r="F4" s="332"/>
      <c r="G4" s="332"/>
      <c r="H4" s="332"/>
      <c r="I4" s="332"/>
      <c r="J4" s="333"/>
      <c r="K4" s="310"/>
      <c r="L4" s="311"/>
      <c r="M4" s="311"/>
      <c r="N4" s="312"/>
      <c r="O4" s="1"/>
      <c r="P4" s="321"/>
      <c r="Q4" s="322"/>
      <c r="R4" s="322"/>
      <c r="S4" s="322"/>
      <c r="T4" s="322"/>
      <c r="U4" s="323"/>
      <c r="V4" s="275"/>
      <c r="W4" s="276"/>
      <c r="X4" s="277"/>
      <c r="Y4" s="221"/>
      <c r="Z4" s="222"/>
      <c r="AA4" s="222"/>
      <c r="AB4" s="223"/>
    </row>
    <row r="5" spans="1:29" ht="10.35" customHeight="1" thickBot="1" x14ac:dyDescent="0.3">
      <c r="A5" s="1"/>
      <c r="B5" s="7" t="s">
        <v>13</v>
      </c>
      <c r="C5" s="329"/>
      <c r="D5" s="330"/>
      <c r="E5" s="334"/>
      <c r="F5" s="335"/>
      <c r="G5" s="335"/>
      <c r="H5" s="335"/>
      <c r="I5" s="335"/>
      <c r="J5" s="336"/>
      <c r="K5" s="313"/>
      <c r="L5" s="314"/>
      <c r="M5" s="314"/>
      <c r="N5" s="315"/>
      <c r="O5" s="1"/>
      <c r="P5" s="321"/>
      <c r="Q5" s="322"/>
      <c r="R5" s="322"/>
      <c r="S5" s="322"/>
      <c r="T5" s="322"/>
      <c r="U5" s="323"/>
      <c r="V5" s="275"/>
      <c r="W5" s="276"/>
      <c r="X5" s="277"/>
      <c r="Y5" s="224" t="s">
        <v>19</v>
      </c>
      <c r="Z5" s="213"/>
      <c r="AA5" s="213"/>
      <c r="AB5" s="214"/>
    </row>
    <row r="6" spans="1:29" ht="10.35" customHeight="1" x14ac:dyDescent="0.25">
      <c r="A6" s="1"/>
      <c r="B6" s="337" t="s">
        <v>14</v>
      </c>
      <c r="C6" s="338"/>
      <c r="D6" s="8" t="s">
        <v>15</v>
      </c>
      <c r="E6" s="339" t="s">
        <v>16</v>
      </c>
      <c r="F6" s="340"/>
      <c r="G6" s="341"/>
      <c r="H6" s="342" t="s">
        <v>17</v>
      </c>
      <c r="I6" s="343"/>
      <c r="J6" s="344"/>
      <c r="K6" s="345" t="s">
        <v>18</v>
      </c>
      <c r="L6" s="346"/>
      <c r="M6" s="346"/>
      <c r="N6" s="347"/>
      <c r="O6" s="1"/>
      <c r="P6" s="321"/>
      <c r="Q6" s="322"/>
      <c r="R6" s="322"/>
      <c r="S6" s="322"/>
      <c r="T6" s="322"/>
      <c r="U6" s="323"/>
      <c r="V6" s="275"/>
      <c r="W6" s="276"/>
      <c r="X6" s="277"/>
      <c r="Y6" s="215">
        <f>M9</f>
        <v>0</v>
      </c>
      <c r="Z6" s="216"/>
      <c r="AA6" s="216"/>
      <c r="AB6" s="217"/>
    </row>
    <row r="7" spans="1:29" ht="10.35" customHeight="1" thickBot="1" x14ac:dyDescent="0.3">
      <c r="A7" s="1"/>
      <c r="B7" s="351" t="s">
        <v>20</v>
      </c>
      <c r="C7" s="352"/>
      <c r="D7" s="9" t="s">
        <v>21</v>
      </c>
      <c r="E7" s="91" t="s">
        <v>22</v>
      </c>
      <c r="F7" s="91" t="s">
        <v>23</v>
      </c>
      <c r="G7" s="91" t="s">
        <v>24</v>
      </c>
      <c r="H7" s="288"/>
      <c r="I7" s="289"/>
      <c r="J7" s="290"/>
      <c r="K7" s="348"/>
      <c r="L7" s="349"/>
      <c r="M7" s="349"/>
      <c r="N7" s="350"/>
      <c r="O7" s="1"/>
      <c r="P7" s="321"/>
      <c r="Q7" s="322"/>
      <c r="R7" s="322"/>
      <c r="S7" s="322"/>
      <c r="T7" s="322"/>
      <c r="U7" s="323"/>
      <c r="V7" s="275"/>
      <c r="W7" s="276"/>
      <c r="X7" s="277"/>
      <c r="Y7" s="218"/>
      <c r="Z7" s="219"/>
      <c r="AA7" s="219"/>
      <c r="AB7" s="220"/>
    </row>
    <row r="8" spans="1:29" ht="10.35" customHeight="1" thickBot="1" x14ac:dyDescent="0.3">
      <c r="A8" s="1"/>
      <c r="B8" s="294"/>
      <c r="C8" s="295"/>
      <c r="D8" s="9" t="s">
        <v>26</v>
      </c>
      <c r="E8" s="296"/>
      <c r="F8" s="296"/>
      <c r="G8" s="296"/>
      <c r="H8" s="291"/>
      <c r="I8" s="292"/>
      <c r="J8" s="293"/>
      <c r="K8" s="10" t="s">
        <v>27</v>
      </c>
      <c r="L8" s="11" t="s">
        <v>28</v>
      </c>
      <c r="M8" s="353" t="s">
        <v>29</v>
      </c>
      <c r="N8" s="354"/>
      <c r="O8" s="1"/>
      <c r="P8" s="321"/>
      <c r="Q8" s="322"/>
      <c r="R8" s="322"/>
      <c r="S8" s="322"/>
      <c r="T8" s="322"/>
      <c r="U8" s="323"/>
      <c r="V8" s="275"/>
      <c r="W8" s="276"/>
      <c r="X8" s="277"/>
      <c r="Y8" s="218"/>
      <c r="Z8" s="219"/>
      <c r="AA8" s="219"/>
      <c r="AB8" s="220"/>
    </row>
    <row r="9" spans="1:29" ht="10.35" customHeight="1" thickBot="1" x14ac:dyDescent="0.3">
      <c r="A9" s="1"/>
      <c r="B9" s="355" t="s">
        <v>31</v>
      </c>
      <c r="C9" s="356"/>
      <c r="D9" s="12" t="s">
        <v>32</v>
      </c>
      <c r="E9" s="297"/>
      <c r="F9" s="297"/>
      <c r="G9" s="297"/>
      <c r="H9" s="357" t="s">
        <v>33</v>
      </c>
      <c r="I9" s="302"/>
      <c r="J9" s="303"/>
      <c r="K9" s="359"/>
      <c r="L9" s="13" t="s">
        <v>34</v>
      </c>
      <c r="M9" s="266"/>
      <c r="N9" s="267"/>
      <c r="O9" s="1"/>
      <c r="P9" s="324"/>
      <c r="Q9" s="325"/>
      <c r="R9" s="325"/>
      <c r="S9" s="325"/>
      <c r="T9" s="325"/>
      <c r="U9" s="326"/>
      <c r="V9" s="278"/>
      <c r="W9" s="279"/>
      <c r="X9" s="280"/>
      <c r="Y9" s="221"/>
      <c r="Z9" s="222"/>
      <c r="AA9" s="222"/>
      <c r="AB9" s="223"/>
    </row>
    <row r="10" spans="1:29" ht="10.35" customHeight="1" thickBot="1" x14ac:dyDescent="0.3">
      <c r="A10" s="1"/>
      <c r="B10" s="286">
        <f>IF(E8="X",B8+8,IF(F8="X",B8+6,IF(G8="X",B8+8)))+IF(D68&gt;0,1)</f>
        <v>0</v>
      </c>
      <c r="C10" s="287"/>
      <c r="D10" s="14"/>
      <c r="E10" s="14"/>
      <c r="F10" s="14"/>
      <c r="G10" s="92"/>
      <c r="H10" s="358"/>
      <c r="I10" s="305"/>
      <c r="J10" s="306"/>
      <c r="K10" s="360"/>
      <c r="L10" s="15" t="s">
        <v>35</v>
      </c>
      <c r="M10" s="268"/>
      <c r="N10" s="269"/>
      <c r="O10" s="270" t="s">
        <v>36</v>
      </c>
      <c r="P10" s="17" t="s">
        <v>37</v>
      </c>
      <c r="Q10" s="284" t="s">
        <v>38</v>
      </c>
      <c r="R10" s="261" t="s">
        <v>16</v>
      </c>
      <c r="S10" s="263" t="s">
        <v>39</v>
      </c>
      <c r="T10" s="264"/>
      <c r="U10" s="264"/>
      <c r="V10" s="264"/>
      <c r="W10" s="265"/>
      <c r="X10" s="101" t="s">
        <v>40</v>
      </c>
      <c r="Y10" s="212" t="s">
        <v>41</v>
      </c>
      <c r="Z10" s="213"/>
      <c r="AA10" s="213"/>
      <c r="AB10" s="214"/>
    </row>
    <row r="11" spans="1:29" ht="10.35" customHeight="1" x14ac:dyDescent="0.25">
      <c r="A11" s="97" t="s">
        <v>36</v>
      </c>
      <c r="B11" s="16" t="s">
        <v>37</v>
      </c>
      <c r="C11" s="98" t="s">
        <v>38</v>
      </c>
      <c r="D11" s="100" t="s">
        <v>16</v>
      </c>
      <c r="E11" s="281" t="s">
        <v>39</v>
      </c>
      <c r="F11" s="282"/>
      <c r="G11" s="282"/>
      <c r="H11" s="282"/>
      <c r="I11" s="283"/>
      <c r="J11" s="99" t="s">
        <v>40</v>
      </c>
      <c r="K11" s="18" t="s">
        <v>1</v>
      </c>
      <c r="L11" s="21" t="s">
        <v>48</v>
      </c>
      <c r="M11" s="18" t="s">
        <v>49</v>
      </c>
      <c r="N11" s="19" t="s">
        <v>50</v>
      </c>
      <c r="O11" s="271"/>
      <c r="P11" s="101" t="s">
        <v>42</v>
      </c>
      <c r="Q11" s="285"/>
      <c r="R11" s="262"/>
      <c r="S11" s="20" t="s">
        <v>43</v>
      </c>
      <c r="T11" s="20" t="s">
        <v>44</v>
      </c>
      <c r="U11" s="20" t="s">
        <v>45</v>
      </c>
      <c r="V11" s="20" t="s">
        <v>46</v>
      </c>
      <c r="W11" s="20" t="s">
        <v>47</v>
      </c>
      <c r="X11" s="20" t="s">
        <v>2</v>
      </c>
      <c r="Y11" s="18" t="s">
        <v>1</v>
      </c>
      <c r="Z11" s="21" t="s">
        <v>48</v>
      </c>
      <c r="AA11" s="18" t="s">
        <v>49</v>
      </c>
      <c r="AB11" s="19" t="s">
        <v>50</v>
      </c>
    </row>
    <row r="12" spans="1:29" ht="9.6" customHeight="1" x14ac:dyDescent="0.25">
      <c r="A12" s="22"/>
      <c r="B12" s="23"/>
      <c r="C12" s="23">
        <v>48</v>
      </c>
      <c r="D12" s="32"/>
      <c r="E12" s="26"/>
      <c r="F12" s="26"/>
      <c r="G12" s="26"/>
      <c r="H12" s="24">
        <f t="shared" ref="H12:H25" si="0">40+75</f>
        <v>115</v>
      </c>
      <c r="I12" s="24" t="str">
        <f t="shared" ref="I12:I57" si="1">IF(D12=4,40,IF(D12=3.5,40,IF(D12=3,40,IF(D12=2.5,40,IF(D12=2,31,IF(D12=1.5,26,IF(D12=1,21,IF(D12=7/8,16,IF(D12=3/4,16," ")))))))))</f>
        <v xml:space="preserve"> </v>
      </c>
      <c r="J12" s="26" t="e">
        <f>(((((E12*H12)+(F12*I12)+G12)*C12)*D12)/144)*-10%+(((((E12*H12)+(F12*I12)+G12)*C12)*D12)/144)</f>
        <v>#VALUE!</v>
      </c>
      <c r="K12" s="22"/>
      <c r="L12" s="26" t="s">
        <v>51</v>
      </c>
      <c r="M12" s="27"/>
      <c r="N12" s="28" t="str">
        <f t="shared" ref="N12:N57" si="2">IF(C12=42,"CORT",IF(C12=39,"CORT",IF(C12=36,"CORT",IF(C12=24,"CORT",IF(C12=48,"",)))))</f>
        <v/>
      </c>
      <c r="O12" s="22"/>
      <c r="P12" s="24"/>
      <c r="Q12" s="24">
        <v>48</v>
      </c>
      <c r="R12" s="25"/>
      <c r="S12" s="26"/>
      <c r="T12" s="26"/>
      <c r="U12" s="26"/>
      <c r="V12" s="24">
        <f t="shared" ref="V12:V24" si="3">40+75</f>
        <v>115</v>
      </c>
      <c r="W12" s="24" t="str">
        <f t="shared" ref="W12:W57" si="4">IF(R12=4,40,IF(R12=3.5,40,IF(R12=3,40,IF(R12=2.5,40,IF(R12=2,31,IF(R12=1.5,26,IF(R12=1,21,IF(R12=7/8,16,IF(R12=3/4,16," ")))))))))</f>
        <v xml:space="preserve"> </v>
      </c>
      <c r="X12" s="26" t="e">
        <f t="shared" ref="X12:X57" si="5">(((((S12*V12)+(T12*W12)+U12)*Q12)*R12)/144)*-10%+(((((S12*V12)+(T12*W12)+U12)*Q12)*R12)/144)</f>
        <v>#VALUE!</v>
      </c>
      <c r="Y12" s="22"/>
      <c r="Z12" s="26" t="s">
        <v>51</v>
      </c>
      <c r="AA12" s="29"/>
      <c r="AB12" s="28" t="str">
        <f>IF(Q12=42,"CORT",IF(Q12=39,"CORT",IF(Q12=36,"CORT",IF(Q12=24,"CORT",IF(Q12=48,"",)))))</f>
        <v/>
      </c>
    </row>
    <row r="13" spans="1:29" s="30" customFormat="1" ht="9.6" customHeight="1" x14ac:dyDescent="0.2">
      <c r="A13" s="22"/>
      <c r="B13" s="23"/>
      <c r="C13" s="23">
        <v>48</v>
      </c>
      <c r="D13" s="25"/>
      <c r="E13" s="26"/>
      <c r="F13" s="26"/>
      <c r="G13" s="26"/>
      <c r="H13" s="24">
        <f t="shared" si="0"/>
        <v>115</v>
      </c>
      <c r="I13" s="24" t="str">
        <f t="shared" si="1"/>
        <v xml:space="preserve"> </v>
      </c>
      <c r="J13" s="26" t="e">
        <f t="shared" ref="J13:J57" si="6">(((((E13*H13)+(F13*I13)+G13)*C13)*D13)/144)*-10%+(((((E13*H13)+(F13*I13)+G13)*C13)*D13)/144)</f>
        <v>#VALUE!</v>
      </c>
      <c r="K13" s="22"/>
      <c r="L13" s="26" t="s">
        <v>51</v>
      </c>
      <c r="M13" s="27"/>
      <c r="N13" s="28" t="str">
        <f t="shared" si="2"/>
        <v/>
      </c>
      <c r="O13" s="22"/>
      <c r="P13" s="24"/>
      <c r="Q13" s="24">
        <v>48</v>
      </c>
      <c r="R13" s="25"/>
      <c r="S13" s="26"/>
      <c r="T13" s="26"/>
      <c r="U13" s="26"/>
      <c r="V13" s="23">
        <v>115</v>
      </c>
      <c r="W13" s="23" t="str">
        <f t="shared" si="4"/>
        <v xml:space="preserve"> </v>
      </c>
      <c r="X13" s="26" t="e">
        <f t="shared" si="5"/>
        <v>#VALUE!</v>
      </c>
      <c r="Y13" s="22"/>
      <c r="Z13" s="26" t="s">
        <v>51</v>
      </c>
      <c r="AA13" s="29"/>
      <c r="AB13" s="28" t="str">
        <f>IF(Q13=42,"CORT",IF(Q13=39,"CORT",IF(Q13=36,"CORT",IF(Q13=24,"CORT",IF(Q13=48,"",)))))</f>
        <v/>
      </c>
    </row>
    <row r="14" spans="1:29" s="30" customFormat="1" ht="9.6" customHeight="1" x14ac:dyDescent="0.2">
      <c r="A14" s="22"/>
      <c r="B14" s="23"/>
      <c r="C14" s="24">
        <v>48</v>
      </c>
      <c r="D14" s="25"/>
      <c r="E14" s="26"/>
      <c r="F14" s="26"/>
      <c r="G14" s="26"/>
      <c r="H14" s="23">
        <v>115</v>
      </c>
      <c r="I14" s="23" t="str">
        <f t="shared" si="1"/>
        <v xml:space="preserve"> </v>
      </c>
      <c r="J14" s="26" t="e">
        <f t="shared" si="6"/>
        <v>#VALUE!</v>
      </c>
      <c r="K14" s="22"/>
      <c r="L14" s="26" t="s">
        <v>51</v>
      </c>
      <c r="M14" s="27"/>
      <c r="N14" s="28" t="str">
        <f t="shared" si="2"/>
        <v/>
      </c>
      <c r="O14" s="22"/>
      <c r="P14" s="24"/>
      <c r="Q14" s="24">
        <v>48</v>
      </c>
      <c r="R14" s="25"/>
      <c r="S14" s="26"/>
      <c r="T14" s="26"/>
      <c r="U14" s="26"/>
      <c r="V14" s="24">
        <v>115</v>
      </c>
      <c r="W14" s="24" t="str">
        <f t="shared" si="4"/>
        <v xml:space="preserve"> </v>
      </c>
      <c r="X14" s="26" t="e">
        <f t="shared" si="5"/>
        <v>#VALUE!</v>
      </c>
      <c r="Y14" s="22"/>
      <c r="Z14" s="26" t="s">
        <v>51</v>
      </c>
      <c r="AA14" s="29"/>
      <c r="AB14" s="28" t="str">
        <f t="shared" ref="AB14:AB57" si="7">IF(Q14=42,"CORT",IF(Q14=39,"CORT",IF(Q14=36,"CORT",IF(Q14=24,"CORT",IF(Q14=48,"",)))))</f>
        <v/>
      </c>
      <c r="AC14" s="31"/>
    </row>
    <row r="15" spans="1:29" s="30" customFormat="1" ht="9.6" customHeight="1" x14ac:dyDescent="0.2">
      <c r="A15" s="22"/>
      <c r="B15" s="23"/>
      <c r="C15" s="23">
        <v>48</v>
      </c>
      <c r="D15" s="32"/>
      <c r="E15" s="26"/>
      <c r="F15" s="26"/>
      <c r="G15" s="26"/>
      <c r="H15" s="24">
        <v>115</v>
      </c>
      <c r="I15" s="24" t="str">
        <f t="shared" si="1"/>
        <v xml:space="preserve"> </v>
      </c>
      <c r="J15" s="26" t="e">
        <f t="shared" si="6"/>
        <v>#VALUE!</v>
      </c>
      <c r="K15" s="22"/>
      <c r="L15" s="26" t="s">
        <v>51</v>
      </c>
      <c r="M15" s="27"/>
      <c r="N15" s="28" t="str">
        <f t="shared" si="2"/>
        <v/>
      </c>
      <c r="O15" s="22"/>
      <c r="P15" s="24"/>
      <c r="Q15" s="24">
        <v>48</v>
      </c>
      <c r="R15" s="25"/>
      <c r="S15" s="26"/>
      <c r="T15" s="26"/>
      <c r="U15" s="26"/>
      <c r="V15" s="24">
        <f t="shared" ref="V15:V30" si="8">40+75</f>
        <v>115</v>
      </c>
      <c r="W15" s="24" t="str">
        <f t="shared" si="4"/>
        <v xml:space="preserve"> </v>
      </c>
      <c r="X15" s="26" t="e">
        <f t="shared" si="5"/>
        <v>#VALUE!</v>
      </c>
      <c r="Y15" s="22"/>
      <c r="Z15" s="26" t="s">
        <v>51</v>
      </c>
      <c r="AA15" s="29"/>
      <c r="AB15" s="28" t="str">
        <f t="shared" si="7"/>
        <v/>
      </c>
      <c r="AC15" s="31"/>
    </row>
    <row r="16" spans="1:29" s="30" customFormat="1" ht="9.6" customHeight="1" x14ac:dyDescent="0.2">
      <c r="A16" s="22"/>
      <c r="B16" s="23"/>
      <c r="C16" s="23">
        <v>48</v>
      </c>
      <c r="D16" s="25"/>
      <c r="E16" s="26"/>
      <c r="F16" s="26"/>
      <c r="G16" s="26"/>
      <c r="H16" s="24">
        <f t="shared" ref="H16:H31" si="9">40+75</f>
        <v>115</v>
      </c>
      <c r="I16" s="24" t="str">
        <f t="shared" si="1"/>
        <v xml:space="preserve"> </v>
      </c>
      <c r="J16" s="26" t="e">
        <f t="shared" si="6"/>
        <v>#VALUE!</v>
      </c>
      <c r="K16" s="22"/>
      <c r="L16" s="26" t="s">
        <v>51</v>
      </c>
      <c r="M16" s="27"/>
      <c r="N16" s="28" t="str">
        <f t="shared" si="2"/>
        <v/>
      </c>
      <c r="O16" s="22"/>
      <c r="P16" s="24"/>
      <c r="Q16" s="24">
        <v>48</v>
      </c>
      <c r="R16" s="25"/>
      <c r="S16" s="26"/>
      <c r="T16" s="26"/>
      <c r="U16" s="26"/>
      <c r="V16" s="24">
        <f t="shared" si="8"/>
        <v>115</v>
      </c>
      <c r="W16" s="24" t="str">
        <f t="shared" si="4"/>
        <v xml:space="preserve"> </v>
      </c>
      <c r="X16" s="26" t="e">
        <f t="shared" si="5"/>
        <v>#VALUE!</v>
      </c>
      <c r="Y16" s="22"/>
      <c r="Z16" s="26" t="s">
        <v>51</v>
      </c>
      <c r="AA16" s="29"/>
      <c r="AB16" s="28" t="str">
        <f t="shared" si="7"/>
        <v/>
      </c>
      <c r="AC16" s="31"/>
    </row>
    <row r="17" spans="1:29" s="30" customFormat="1" ht="9.6" customHeight="1" x14ac:dyDescent="0.2">
      <c r="A17" s="22"/>
      <c r="B17" s="23"/>
      <c r="C17" s="24">
        <v>48</v>
      </c>
      <c r="D17" s="25"/>
      <c r="E17" s="26"/>
      <c r="F17" s="26"/>
      <c r="G17" s="26"/>
      <c r="H17" s="24">
        <f t="shared" si="9"/>
        <v>115</v>
      </c>
      <c r="I17" s="24" t="str">
        <f t="shared" si="1"/>
        <v xml:space="preserve"> </v>
      </c>
      <c r="J17" s="26" t="e">
        <f t="shared" si="6"/>
        <v>#VALUE!</v>
      </c>
      <c r="K17" s="22"/>
      <c r="L17" s="26" t="s">
        <v>51</v>
      </c>
      <c r="M17" s="27"/>
      <c r="N17" s="28" t="str">
        <f t="shared" si="2"/>
        <v/>
      </c>
      <c r="O17" s="22"/>
      <c r="P17" s="24"/>
      <c r="Q17" s="24">
        <v>48</v>
      </c>
      <c r="R17" s="25"/>
      <c r="S17" s="26"/>
      <c r="T17" s="26"/>
      <c r="U17" s="26"/>
      <c r="V17" s="24">
        <f t="shared" si="3"/>
        <v>115</v>
      </c>
      <c r="W17" s="24" t="str">
        <f t="shared" si="4"/>
        <v xml:space="preserve"> </v>
      </c>
      <c r="X17" s="26" t="e">
        <f t="shared" si="5"/>
        <v>#VALUE!</v>
      </c>
      <c r="Y17" s="22"/>
      <c r="Z17" s="26" t="s">
        <v>51</v>
      </c>
      <c r="AA17" s="29"/>
      <c r="AB17" s="28" t="str">
        <f t="shared" si="7"/>
        <v/>
      </c>
      <c r="AC17" s="31"/>
    </row>
    <row r="18" spans="1:29" s="30" customFormat="1" ht="9.6" customHeight="1" x14ac:dyDescent="0.2">
      <c r="A18" s="22"/>
      <c r="B18" s="23"/>
      <c r="C18" s="23">
        <v>48</v>
      </c>
      <c r="D18" s="32"/>
      <c r="E18" s="26"/>
      <c r="F18" s="26"/>
      <c r="G18" s="26"/>
      <c r="H18" s="24">
        <f t="shared" si="0"/>
        <v>115</v>
      </c>
      <c r="I18" s="24" t="str">
        <f t="shared" si="1"/>
        <v xml:space="preserve"> </v>
      </c>
      <c r="J18" s="26" t="e">
        <f t="shared" si="6"/>
        <v>#VALUE!</v>
      </c>
      <c r="K18" s="22"/>
      <c r="L18" s="26" t="s">
        <v>51</v>
      </c>
      <c r="M18" s="27"/>
      <c r="N18" s="28" t="str">
        <f t="shared" si="2"/>
        <v/>
      </c>
      <c r="O18" s="22"/>
      <c r="P18" s="24"/>
      <c r="Q18" s="24">
        <v>48</v>
      </c>
      <c r="R18" s="25"/>
      <c r="S18" s="26"/>
      <c r="T18" s="26"/>
      <c r="U18" s="26"/>
      <c r="V18" s="24">
        <f t="shared" si="3"/>
        <v>115</v>
      </c>
      <c r="W18" s="24" t="str">
        <f t="shared" si="4"/>
        <v xml:space="preserve"> </v>
      </c>
      <c r="X18" s="26" t="e">
        <f t="shared" si="5"/>
        <v>#VALUE!</v>
      </c>
      <c r="Y18" s="22"/>
      <c r="Z18" s="26" t="s">
        <v>51</v>
      </c>
      <c r="AA18" s="29"/>
      <c r="AB18" s="28" t="str">
        <f t="shared" si="7"/>
        <v/>
      </c>
      <c r="AC18" s="31"/>
    </row>
    <row r="19" spans="1:29" s="30" customFormat="1" ht="9.6" customHeight="1" x14ac:dyDescent="0.2">
      <c r="A19" s="22"/>
      <c r="B19" s="23"/>
      <c r="C19" s="23">
        <v>48</v>
      </c>
      <c r="D19" s="25"/>
      <c r="E19" s="26"/>
      <c r="F19" s="26"/>
      <c r="G19" s="26"/>
      <c r="H19" s="24">
        <f t="shared" si="0"/>
        <v>115</v>
      </c>
      <c r="I19" s="24" t="str">
        <f t="shared" si="1"/>
        <v xml:space="preserve"> </v>
      </c>
      <c r="J19" s="26" t="e">
        <f t="shared" si="6"/>
        <v>#VALUE!</v>
      </c>
      <c r="K19" s="22"/>
      <c r="L19" s="26" t="s">
        <v>51</v>
      </c>
      <c r="M19" s="27"/>
      <c r="N19" s="28" t="str">
        <f t="shared" si="2"/>
        <v/>
      </c>
      <c r="O19" s="22"/>
      <c r="P19" s="24"/>
      <c r="Q19" s="24">
        <v>48</v>
      </c>
      <c r="R19" s="25"/>
      <c r="S19" s="26"/>
      <c r="T19" s="26"/>
      <c r="U19" s="26"/>
      <c r="V19" s="23">
        <v>115</v>
      </c>
      <c r="W19" s="23" t="str">
        <f t="shared" si="4"/>
        <v xml:space="preserve"> </v>
      </c>
      <c r="X19" s="26" t="e">
        <f t="shared" si="5"/>
        <v>#VALUE!</v>
      </c>
      <c r="Y19" s="22"/>
      <c r="Z19" s="26" t="s">
        <v>51</v>
      </c>
      <c r="AA19" s="29"/>
      <c r="AB19" s="28" t="str">
        <f t="shared" si="7"/>
        <v/>
      </c>
      <c r="AC19" s="31"/>
    </row>
    <row r="20" spans="1:29" s="30" customFormat="1" ht="9.6" customHeight="1" x14ac:dyDescent="0.2">
      <c r="A20" s="22"/>
      <c r="B20" s="23"/>
      <c r="C20" s="24">
        <v>48</v>
      </c>
      <c r="D20" s="25"/>
      <c r="E20" s="26"/>
      <c r="F20" s="26"/>
      <c r="G20" s="26"/>
      <c r="H20" s="23">
        <v>115</v>
      </c>
      <c r="I20" s="23" t="str">
        <f t="shared" si="1"/>
        <v xml:space="preserve"> </v>
      </c>
      <c r="J20" s="26" t="e">
        <f t="shared" si="6"/>
        <v>#VALUE!</v>
      </c>
      <c r="K20" s="22"/>
      <c r="L20" s="26" t="s">
        <v>51</v>
      </c>
      <c r="M20" s="27"/>
      <c r="N20" s="28" t="str">
        <f t="shared" si="2"/>
        <v/>
      </c>
      <c r="O20" s="22"/>
      <c r="P20" s="24"/>
      <c r="Q20" s="24">
        <v>48</v>
      </c>
      <c r="R20" s="25"/>
      <c r="S20" s="26"/>
      <c r="T20" s="26"/>
      <c r="U20" s="26"/>
      <c r="V20" s="24">
        <v>115</v>
      </c>
      <c r="W20" s="24" t="str">
        <f t="shared" si="4"/>
        <v xml:space="preserve"> </v>
      </c>
      <c r="X20" s="26" t="e">
        <f t="shared" si="5"/>
        <v>#VALUE!</v>
      </c>
      <c r="Y20" s="22"/>
      <c r="Z20" s="26" t="s">
        <v>51</v>
      </c>
      <c r="AA20" s="29"/>
      <c r="AB20" s="28" t="str">
        <f t="shared" si="7"/>
        <v/>
      </c>
      <c r="AC20" s="31"/>
    </row>
    <row r="21" spans="1:29" s="30" customFormat="1" ht="9.6" customHeight="1" x14ac:dyDescent="0.2">
      <c r="A21" s="22"/>
      <c r="B21" s="24"/>
      <c r="C21" s="23">
        <v>48</v>
      </c>
      <c r="D21" s="32"/>
      <c r="E21" s="26"/>
      <c r="F21" s="26"/>
      <c r="G21" s="26"/>
      <c r="H21" s="24">
        <v>115</v>
      </c>
      <c r="I21" s="24" t="str">
        <f t="shared" si="1"/>
        <v xml:space="preserve"> </v>
      </c>
      <c r="J21" s="26" t="e">
        <f t="shared" si="6"/>
        <v>#VALUE!</v>
      </c>
      <c r="K21" s="22"/>
      <c r="L21" s="26" t="s">
        <v>51</v>
      </c>
      <c r="M21" s="29"/>
      <c r="N21" s="28" t="str">
        <f t="shared" si="2"/>
        <v/>
      </c>
      <c r="O21" s="22"/>
      <c r="P21" s="24"/>
      <c r="Q21" s="24">
        <v>48</v>
      </c>
      <c r="R21" s="25"/>
      <c r="S21" s="26"/>
      <c r="T21" s="26"/>
      <c r="U21" s="26"/>
      <c r="V21" s="24">
        <f t="shared" si="8"/>
        <v>115</v>
      </c>
      <c r="W21" s="24" t="str">
        <f t="shared" si="4"/>
        <v xml:space="preserve"> </v>
      </c>
      <c r="X21" s="26" t="e">
        <f t="shared" si="5"/>
        <v>#VALUE!</v>
      </c>
      <c r="Y21" s="22"/>
      <c r="Z21" s="26" t="s">
        <v>51</v>
      </c>
      <c r="AA21" s="29"/>
      <c r="AB21" s="28" t="str">
        <f t="shared" si="7"/>
        <v/>
      </c>
      <c r="AC21" s="31"/>
    </row>
    <row r="22" spans="1:29" s="30" customFormat="1" ht="9.6" customHeight="1" x14ac:dyDescent="0.2">
      <c r="A22" s="22"/>
      <c r="B22" s="24"/>
      <c r="C22" s="23">
        <v>48</v>
      </c>
      <c r="D22" s="25"/>
      <c r="E22" s="26"/>
      <c r="F22" s="26"/>
      <c r="G22" s="26"/>
      <c r="H22" s="24">
        <f t="shared" si="9"/>
        <v>115</v>
      </c>
      <c r="I22" s="24" t="str">
        <f t="shared" si="1"/>
        <v xml:space="preserve"> </v>
      </c>
      <c r="J22" s="26" t="e">
        <f t="shared" si="6"/>
        <v>#VALUE!</v>
      </c>
      <c r="K22" s="22"/>
      <c r="L22" s="26" t="s">
        <v>51</v>
      </c>
      <c r="M22" s="29"/>
      <c r="N22" s="28" t="str">
        <f t="shared" si="2"/>
        <v/>
      </c>
      <c r="O22" s="22"/>
      <c r="P22" s="24"/>
      <c r="Q22" s="24">
        <v>48</v>
      </c>
      <c r="R22" s="25"/>
      <c r="S22" s="26"/>
      <c r="T22" s="26"/>
      <c r="U22" s="26"/>
      <c r="V22" s="24">
        <f t="shared" si="8"/>
        <v>115</v>
      </c>
      <c r="W22" s="24" t="str">
        <f t="shared" si="4"/>
        <v xml:space="preserve"> </v>
      </c>
      <c r="X22" s="26" t="e">
        <f t="shared" si="5"/>
        <v>#VALUE!</v>
      </c>
      <c r="Y22" s="22"/>
      <c r="Z22" s="26" t="s">
        <v>51</v>
      </c>
      <c r="AA22" s="29"/>
      <c r="AB22" s="28" t="str">
        <f t="shared" si="7"/>
        <v/>
      </c>
      <c r="AC22" s="31"/>
    </row>
    <row r="23" spans="1:29" s="30" customFormat="1" ht="9.6" customHeight="1" x14ac:dyDescent="0.2">
      <c r="A23" s="22"/>
      <c r="B23" s="23"/>
      <c r="C23" s="24">
        <v>48</v>
      </c>
      <c r="D23" s="25"/>
      <c r="E23" s="26"/>
      <c r="F23" s="26"/>
      <c r="G23" s="26"/>
      <c r="H23" s="24">
        <f t="shared" si="9"/>
        <v>115</v>
      </c>
      <c r="I23" s="24" t="str">
        <f t="shared" si="1"/>
        <v xml:space="preserve"> </v>
      </c>
      <c r="J23" s="26" t="e">
        <f t="shared" si="6"/>
        <v>#VALUE!</v>
      </c>
      <c r="K23" s="22"/>
      <c r="L23" s="26" t="s">
        <v>51</v>
      </c>
      <c r="M23" s="27"/>
      <c r="N23" s="28" t="str">
        <f t="shared" si="2"/>
        <v/>
      </c>
      <c r="O23" s="22"/>
      <c r="P23" s="24"/>
      <c r="Q23" s="24">
        <v>48</v>
      </c>
      <c r="R23" s="25"/>
      <c r="S23" s="26"/>
      <c r="T23" s="26"/>
      <c r="U23" s="26"/>
      <c r="V23" s="24">
        <f t="shared" si="3"/>
        <v>115</v>
      </c>
      <c r="W23" s="24" t="str">
        <f t="shared" si="4"/>
        <v xml:space="preserve"> </v>
      </c>
      <c r="X23" s="26" t="e">
        <f t="shared" si="5"/>
        <v>#VALUE!</v>
      </c>
      <c r="Y23" s="22"/>
      <c r="Z23" s="26" t="s">
        <v>51</v>
      </c>
      <c r="AA23" s="29"/>
      <c r="AB23" s="28" t="str">
        <f t="shared" si="7"/>
        <v/>
      </c>
      <c r="AC23" s="31"/>
    </row>
    <row r="24" spans="1:29" s="30" customFormat="1" ht="9.6" customHeight="1" x14ac:dyDescent="0.2">
      <c r="A24" s="22"/>
      <c r="B24" s="24"/>
      <c r="C24" s="23">
        <v>48</v>
      </c>
      <c r="D24" s="32"/>
      <c r="E24" s="26"/>
      <c r="F24" s="26"/>
      <c r="G24" s="26"/>
      <c r="H24" s="24">
        <f t="shared" si="0"/>
        <v>115</v>
      </c>
      <c r="I24" s="24" t="str">
        <f t="shared" si="1"/>
        <v xml:space="preserve"> </v>
      </c>
      <c r="J24" s="26" t="e">
        <f t="shared" si="6"/>
        <v>#VALUE!</v>
      </c>
      <c r="K24" s="22"/>
      <c r="L24" s="26" t="s">
        <v>51</v>
      </c>
      <c r="M24" s="29"/>
      <c r="N24" s="28" t="str">
        <f t="shared" si="2"/>
        <v/>
      </c>
      <c r="O24" s="22"/>
      <c r="P24" s="24"/>
      <c r="Q24" s="24">
        <v>48</v>
      </c>
      <c r="R24" s="25"/>
      <c r="S24" s="26"/>
      <c r="T24" s="26"/>
      <c r="U24" s="26"/>
      <c r="V24" s="24">
        <f t="shared" si="3"/>
        <v>115</v>
      </c>
      <c r="W24" s="24" t="str">
        <f t="shared" si="4"/>
        <v xml:space="preserve"> </v>
      </c>
      <c r="X24" s="26" t="e">
        <f t="shared" si="5"/>
        <v>#VALUE!</v>
      </c>
      <c r="Y24" s="22"/>
      <c r="Z24" s="26" t="s">
        <v>51</v>
      </c>
      <c r="AA24" s="29"/>
      <c r="AB24" s="28" t="str">
        <f t="shared" si="7"/>
        <v/>
      </c>
      <c r="AC24" s="31"/>
    </row>
    <row r="25" spans="1:29" s="30" customFormat="1" ht="9.6" customHeight="1" x14ac:dyDescent="0.2">
      <c r="A25" s="22"/>
      <c r="B25" s="24"/>
      <c r="C25" s="23">
        <v>48</v>
      </c>
      <c r="D25" s="25"/>
      <c r="E25" s="26"/>
      <c r="F25" s="26"/>
      <c r="G25" s="26"/>
      <c r="H25" s="24">
        <f t="shared" si="0"/>
        <v>115</v>
      </c>
      <c r="I25" s="24" t="str">
        <f t="shared" si="1"/>
        <v xml:space="preserve"> </v>
      </c>
      <c r="J25" s="26" t="e">
        <f t="shared" si="6"/>
        <v>#VALUE!</v>
      </c>
      <c r="K25" s="22"/>
      <c r="L25" s="26" t="s">
        <v>51</v>
      </c>
      <c r="M25" s="29"/>
      <c r="N25" s="28" t="str">
        <f t="shared" si="2"/>
        <v/>
      </c>
      <c r="O25" s="22"/>
      <c r="P25" s="24"/>
      <c r="Q25" s="24">
        <v>48</v>
      </c>
      <c r="R25" s="25"/>
      <c r="S25" s="26"/>
      <c r="T25" s="26"/>
      <c r="U25" s="26"/>
      <c r="V25" s="23">
        <v>115</v>
      </c>
      <c r="W25" s="23" t="str">
        <f t="shared" si="4"/>
        <v xml:space="preserve"> </v>
      </c>
      <c r="X25" s="26" t="e">
        <f t="shared" si="5"/>
        <v>#VALUE!</v>
      </c>
      <c r="Y25" s="22"/>
      <c r="Z25" s="26" t="s">
        <v>51</v>
      </c>
      <c r="AA25" s="29"/>
      <c r="AB25" s="28" t="str">
        <f t="shared" si="7"/>
        <v/>
      </c>
      <c r="AC25" s="31"/>
    </row>
    <row r="26" spans="1:29" s="30" customFormat="1" ht="9.6" customHeight="1" x14ac:dyDescent="0.2">
      <c r="A26" s="22"/>
      <c r="B26" s="24"/>
      <c r="C26" s="24">
        <v>48</v>
      </c>
      <c r="D26" s="25"/>
      <c r="E26" s="26"/>
      <c r="F26" s="26"/>
      <c r="G26" s="26"/>
      <c r="H26" s="23">
        <v>115</v>
      </c>
      <c r="I26" s="23" t="str">
        <f t="shared" si="1"/>
        <v xml:space="preserve"> </v>
      </c>
      <c r="J26" s="26" t="e">
        <f t="shared" si="6"/>
        <v>#VALUE!</v>
      </c>
      <c r="K26" s="22"/>
      <c r="L26" s="26" t="s">
        <v>51</v>
      </c>
      <c r="M26" s="29"/>
      <c r="N26" s="28" t="str">
        <f t="shared" si="2"/>
        <v/>
      </c>
      <c r="O26" s="22"/>
      <c r="P26" s="24"/>
      <c r="Q26" s="24">
        <v>48</v>
      </c>
      <c r="R26" s="25"/>
      <c r="S26" s="26"/>
      <c r="T26" s="26"/>
      <c r="U26" s="26"/>
      <c r="V26" s="24">
        <v>115</v>
      </c>
      <c r="W26" s="24" t="str">
        <f t="shared" si="4"/>
        <v xml:space="preserve"> </v>
      </c>
      <c r="X26" s="26" t="e">
        <f t="shared" si="5"/>
        <v>#VALUE!</v>
      </c>
      <c r="Y26" s="22"/>
      <c r="Z26" s="26" t="s">
        <v>51</v>
      </c>
      <c r="AA26" s="29"/>
      <c r="AB26" s="28" t="str">
        <f t="shared" si="7"/>
        <v/>
      </c>
      <c r="AC26" s="31"/>
    </row>
    <row r="27" spans="1:29" s="30" customFormat="1" ht="9.6" customHeight="1" x14ac:dyDescent="0.2">
      <c r="A27" s="22"/>
      <c r="B27" s="24"/>
      <c r="C27" s="23">
        <v>48</v>
      </c>
      <c r="D27" s="32"/>
      <c r="E27" s="26"/>
      <c r="F27" s="26"/>
      <c r="G27" s="26"/>
      <c r="H27" s="24">
        <v>115</v>
      </c>
      <c r="I27" s="24" t="str">
        <f t="shared" si="1"/>
        <v xml:space="preserve"> </v>
      </c>
      <c r="J27" s="26" t="e">
        <f t="shared" si="6"/>
        <v>#VALUE!</v>
      </c>
      <c r="K27" s="22"/>
      <c r="L27" s="26" t="s">
        <v>51</v>
      </c>
      <c r="M27" s="29"/>
      <c r="N27" s="28" t="str">
        <f t="shared" si="2"/>
        <v/>
      </c>
      <c r="O27" s="22"/>
      <c r="P27" s="24"/>
      <c r="Q27" s="24">
        <v>48</v>
      </c>
      <c r="R27" s="25"/>
      <c r="S27" s="26"/>
      <c r="T27" s="26"/>
      <c r="U27" s="26"/>
      <c r="V27" s="24">
        <f t="shared" si="8"/>
        <v>115</v>
      </c>
      <c r="W27" s="24" t="str">
        <f t="shared" si="4"/>
        <v xml:space="preserve"> </v>
      </c>
      <c r="X27" s="26" t="e">
        <f t="shared" si="5"/>
        <v>#VALUE!</v>
      </c>
      <c r="Y27" s="22"/>
      <c r="Z27" s="26" t="s">
        <v>51</v>
      </c>
      <c r="AA27" s="29"/>
      <c r="AB27" s="28" t="str">
        <f t="shared" si="7"/>
        <v/>
      </c>
      <c r="AC27" s="31"/>
    </row>
    <row r="28" spans="1:29" s="30" customFormat="1" ht="9.6" customHeight="1" x14ac:dyDescent="0.2">
      <c r="A28" s="22"/>
      <c r="B28" s="23"/>
      <c r="C28" s="23">
        <v>48</v>
      </c>
      <c r="D28" s="25"/>
      <c r="E28" s="26"/>
      <c r="F28" s="26"/>
      <c r="G28" s="26"/>
      <c r="H28" s="24">
        <f t="shared" si="9"/>
        <v>115</v>
      </c>
      <c r="I28" s="24" t="str">
        <f t="shared" si="1"/>
        <v xml:space="preserve"> </v>
      </c>
      <c r="J28" s="26" t="e">
        <f t="shared" si="6"/>
        <v>#VALUE!</v>
      </c>
      <c r="K28" s="22"/>
      <c r="L28" s="26" t="s">
        <v>51</v>
      </c>
      <c r="M28" s="27"/>
      <c r="N28" s="28" t="str">
        <f t="shared" si="2"/>
        <v/>
      </c>
      <c r="O28" s="22"/>
      <c r="P28" s="24"/>
      <c r="Q28" s="24">
        <v>48</v>
      </c>
      <c r="R28" s="25"/>
      <c r="S28" s="26"/>
      <c r="T28" s="26"/>
      <c r="U28" s="26"/>
      <c r="V28" s="24">
        <f t="shared" si="8"/>
        <v>115</v>
      </c>
      <c r="W28" s="24" t="str">
        <f t="shared" si="4"/>
        <v xml:space="preserve"> </v>
      </c>
      <c r="X28" s="26" t="e">
        <f t="shared" si="5"/>
        <v>#VALUE!</v>
      </c>
      <c r="Y28" s="22"/>
      <c r="Z28" s="26" t="s">
        <v>51</v>
      </c>
      <c r="AA28" s="29"/>
      <c r="AB28" s="28" t="str">
        <f t="shared" si="7"/>
        <v/>
      </c>
      <c r="AC28" s="31"/>
    </row>
    <row r="29" spans="1:29" s="30" customFormat="1" ht="9.6" customHeight="1" x14ac:dyDescent="0.2">
      <c r="A29" s="22"/>
      <c r="B29" s="24"/>
      <c r="C29" s="24">
        <v>48</v>
      </c>
      <c r="D29" s="25"/>
      <c r="E29" s="26"/>
      <c r="F29" s="26"/>
      <c r="G29" s="26"/>
      <c r="H29" s="24">
        <f t="shared" si="9"/>
        <v>115</v>
      </c>
      <c r="I29" s="24" t="str">
        <f t="shared" si="1"/>
        <v xml:space="preserve"> </v>
      </c>
      <c r="J29" s="26" t="e">
        <f t="shared" si="6"/>
        <v>#VALUE!</v>
      </c>
      <c r="K29" s="22"/>
      <c r="L29" s="26" t="s">
        <v>51</v>
      </c>
      <c r="M29" s="29"/>
      <c r="N29" s="28" t="str">
        <f t="shared" si="2"/>
        <v/>
      </c>
      <c r="O29" s="22"/>
      <c r="P29" s="24"/>
      <c r="Q29" s="24">
        <v>48</v>
      </c>
      <c r="R29" s="25"/>
      <c r="S29" s="26"/>
      <c r="T29" s="26"/>
      <c r="U29" s="26"/>
      <c r="V29" s="24">
        <f t="shared" si="8"/>
        <v>115</v>
      </c>
      <c r="W29" s="24" t="str">
        <f t="shared" si="4"/>
        <v xml:space="preserve"> </v>
      </c>
      <c r="X29" s="26" t="e">
        <f t="shared" si="5"/>
        <v>#VALUE!</v>
      </c>
      <c r="Y29" s="22"/>
      <c r="Z29" s="26" t="s">
        <v>51</v>
      </c>
      <c r="AA29" s="29"/>
      <c r="AB29" s="28" t="str">
        <f t="shared" si="7"/>
        <v/>
      </c>
      <c r="AC29" s="31"/>
    </row>
    <row r="30" spans="1:29" s="30" customFormat="1" ht="9.6" customHeight="1" x14ac:dyDescent="0.2">
      <c r="A30" s="22"/>
      <c r="B30" s="24"/>
      <c r="C30" s="23">
        <v>48</v>
      </c>
      <c r="D30" s="32"/>
      <c r="E30" s="26"/>
      <c r="F30" s="26"/>
      <c r="G30" s="26"/>
      <c r="H30" s="24">
        <f t="shared" si="9"/>
        <v>115</v>
      </c>
      <c r="I30" s="24" t="str">
        <f t="shared" si="1"/>
        <v xml:space="preserve"> </v>
      </c>
      <c r="J30" s="26" t="e">
        <f t="shared" si="6"/>
        <v>#VALUE!</v>
      </c>
      <c r="K30" s="22"/>
      <c r="L30" s="26" t="s">
        <v>51</v>
      </c>
      <c r="M30" s="29"/>
      <c r="N30" s="28" t="str">
        <f t="shared" si="2"/>
        <v/>
      </c>
      <c r="O30" s="22"/>
      <c r="P30" s="24"/>
      <c r="Q30" s="24">
        <v>48</v>
      </c>
      <c r="R30" s="25"/>
      <c r="S30" s="26"/>
      <c r="T30" s="26"/>
      <c r="U30" s="26"/>
      <c r="V30" s="24">
        <f t="shared" si="8"/>
        <v>115</v>
      </c>
      <c r="W30" s="24" t="str">
        <f t="shared" si="4"/>
        <v xml:space="preserve"> </v>
      </c>
      <c r="X30" s="26" t="e">
        <f t="shared" si="5"/>
        <v>#VALUE!</v>
      </c>
      <c r="Y30" s="22"/>
      <c r="Z30" s="26" t="s">
        <v>51</v>
      </c>
      <c r="AA30" s="29"/>
      <c r="AB30" s="28" t="str">
        <f t="shared" si="7"/>
        <v/>
      </c>
      <c r="AC30" s="31"/>
    </row>
    <row r="31" spans="1:29" s="30" customFormat="1" ht="9.6" customHeight="1" x14ac:dyDescent="0.2">
      <c r="A31" s="22"/>
      <c r="B31" s="24"/>
      <c r="C31" s="23">
        <v>48</v>
      </c>
      <c r="D31" s="25"/>
      <c r="E31" s="26"/>
      <c r="F31" s="26"/>
      <c r="G31" s="26"/>
      <c r="H31" s="24">
        <f t="shared" si="9"/>
        <v>115</v>
      </c>
      <c r="I31" s="24" t="str">
        <f t="shared" si="1"/>
        <v xml:space="preserve"> </v>
      </c>
      <c r="J31" s="26" t="e">
        <f t="shared" si="6"/>
        <v>#VALUE!</v>
      </c>
      <c r="K31" s="22"/>
      <c r="L31" s="26" t="s">
        <v>51</v>
      </c>
      <c r="M31" s="29"/>
      <c r="N31" s="28" t="str">
        <f t="shared" si="2"/>
        <v/>
      </c>
      <c r="O31" s="22"/>
      <c r="P31" s="24"/>
      <c r="Q31" s="24">
        <v>48</v>
      </c>
      <c r="R31" s="25"/>
      <c r="S31" s="26"/>
      <c r="T31" s="26"/>
      <c r="U31" s="26"/>
      <c r="V31" s="23">
        <v>115</v>
      </c>
      <c r="W31" s="23" t="str">
        <f t="shared" si="4"/>
        <v xml:space="preserve"> </v>
      </c>
      <c r="X31" s="26" t="e">
        <f t="shared" si="5"/>
        <v>#VALUE!</v>
      </c>
      <c r="Y31" s="22"/>
      <c r="Z31" s="26" t="s">
        <v>51</v>
      </c>
      <c r="AA31" s="29"/>
      <c r="AB31" s="28" t="str">
        <f t="shared" si="7"/>
        <v/>
      </c>
      <c r="AC31" s="31"/>
    </row>
    <row r="32" spans="1:29" s="30" customFormat="1" ht="9.6" customHeight="1" x14ac:dyDescent="0.2">
      <c r="A32" s="22"/>
      <c r="B32" s="23"/>
      <c r="C32" s="24">
        <v>48</v>
      </c>
      <c r="D32" s="25"/>
      <c r="E32" s="26"/>
      <c r="F32" s="26"/>
      <c r="G32" s="26"/>
      <c r="H32" s="23">
        <v>115</v>
      </c>
      <c r="I32" s="23" t="str">
        <f t="shared" si="1"/>
        <v xml:space="preserve"> </v>
      </c>
      <c r="J32" s="26" t="e">
        <f t="shared" si="6"/>
        <v>#VALUE!</v>
      </c>
      <c r="K32" s="22"/>
      <c r="L32" s="26" t="s">
        <v>51</v>
      </c>
      <c r="M32" s="27"/>
      <c r="N32" s="28" t="str">
        <f t="shared" si="2"/>
        <v/>
      </c>
      <c r="O32" s="22"/>
      <c r="P32" s="24"/>
      <c r="Q32" s="24">
        <v>48</v>
      </c>
      <c r="R32" s="25"/>
      <c r="S32" s="26"/>
      <c r="T32" s="26"/>
      <c r="U32" s="26"/>
      <c r="V32" s="24">
        <v>115</v>
      </c>
      <c r="W32" s="24" t="str">
        <f t="shared" si="4"/>
        <v xml:space="preserve"> </v>
      </c>
      <c r="X32" s="26" t="e">
        <f t="shared" si="5"/>
        <v>#VALUE!</v>
      </c>
      <c r="Y32" s="22"/>
      <c r="Z32" s="26" t="s">
        <v>51</v>
      </c>
      <c r="AA32" s="29"/>
      <c r="AB32" s="28" t="str">
        <f t="shared" si="7"/>
        <v/>
      </c>
      <c r="AC32" s="31"/>
    </row>
    <row r="33" spans="1:29" s="30" customFormat="1" ht="9.6" customHeight="1" x14ac:dyDescent="0.2">
      <c r="A33" s="22"/>
      <c r="B33" s="24"/>
      <c r="C33" s="23">
        <v>48</v>
      </c>
      <c r="D33" s="32"/>
      <c r="E33" s="26"/>
      <c r="F33" s="26"/>
      <c r="G33" s="26"/>
      <c r="H33" s="24">
        <v>115</v>
      </c>
      <c r="I33" s="24" t="str">
        <f t="shared" si="1"/>
        <v xml:space="preserve"> </v>
      </c>
      <c r="J33" s="26" t="e">
        <f t="shared" si="6"/>
        <v>#VALUE!</v>
      </c>
      <c r="K33" s="22"/>
      <c r="L33" s="26" t="s">
        <v>51</v>
      </c>
      <c r="M33" s="29"/>
      <c r="N33" s="28" t="str">
        <f t="shared" si="2"/>
        <v/>
      </c>
      <c r="O33" s="22"/>
      <c r="P33" s="24"/>
      <c r="Q33" s="24">
        <v>48</v>
      </c>
      <c r="R33" s="25"/>
      <c r="S33" s="26"/>
      <c r="T33" s="26"/>
      <c r="U33" s="26"/>
      <c r="V33" s="24">
        <f t="shared" ref="V33:V34" si="10">40+75</f>
        <v>115</v>
      </c>
      <c r="W33" s="24" t="str">
        <f t="shared" si="4"/>
        <v xml:space="preserve"> </v>
      </c>
      <c r="X33" s="26" t="e">
        <f t="shared" si="5"/>
        <v>#VALUE!</v>
      </c>
      <c r="Y33" s="22"/>
      <c r="Z33" s="26" t="s">
        <v>51</v>
      </c>
      <c r="AA33" s="29"/>
      <c r="AB33" s="28" t="str">
        <f t="shared" si="7"/>
        <v/>
      </c>
      <c r="AC33" s="31"/>
    </row>
    <row r="34" spans="1:29" s="30" customFormat="1" ht="9.6" customHeight="1" x14ac:dyDescent="0.2">
      <c r="A34" s="22"/>
      <c r="B34" s="24"/>
      <c r="C34" s="23">
        <v>48</v>
      </c>
      <c r="D34" s="25"/>
      <c r="E34" s="26"/>
      <c r="F34" s="26"/>
      <c r="G34" s="26"/>
      <c r="H34" s="24">
        <f t="shared" ref="H34:H35" si="11">40+75</f>
        <v>115</v>
      </c>
      <c r="I34" s="24" t="str">
        <f t="shared" si="1"/>
        <v xml:space="preserve"> </v>
      </c>
      <c r="J34" s="26" t="e">
        <f t="shared" si="6"/>
        <v>#VALUE!</v>
      </c>
      <c r="K34" s="22"/>
      <c r="L34" s="26" t="s">
        <v>51</v>
      </c>
      <c r="M34" s="29"/>
      <c r="N34" s="28" t="str">
        <f t="shared" si="2"/>
        <v/>
      </c>
      <c r="O34" s="22"/>
      <c r="P34" s="24"/>
      <c r="Q34" s="24">
        <v>48</v>
      </c>
      <c r="R34" s="25"/>
      <c r="S34" s="26"/>
      <c r="T34" s="26"/>
      <c r="U34" s="26"/>
      <c r="V34" s="24">
        <f t="shared" si="10"/>
        <v>115</v>
      </c>
      <c r="W34" s="24" t="str">
        <f t="shared" si="4"/>
        <v xml:space="preserve"> </v>
      </c>
      <c r="X34" s="26" t="e">
        <f t="shared" si="5"/>
        <v>#VALUE!</v>
      </c>
      <c r="Y34" s="22"/>
      <c r="Z34" s="26" t="s">
        <v>51</v>
      </c>
      <c r="AA34" s="29"/>
      <c r="AB34" s="28" t="str">
        <f t="shared" si="7"/>
        <v/>
      </c>
      <c r="AC34" s="31"/>
    </row>
    <row r="35" spans="1:29" s="30" customFormat="1" ht="9.6" customHeight="1" x14ac:dyDescent="0.2">
      <c r="A35" s="22"/>
      <c r="B35" s="24"/>
      <c r="C35" s="24">
        <v>48</v>
      </c>
      <c r="D35" s="25"/>
      <c r="E35" s="26"/>
      <c r="F35" s="26"/>
      <c r="G35" s="26"/>
      <c r="H35" s="24">
        <f t="shared" si="11"/>
        <v>115</v>
      </c>
      <c r="I35" s="24" t="str">
        <f t="shared" si="1"/>
        <v xml:space="preserve"> </v>
      </c>
      <c r="J35" s="26" t="e">
        <f t="shared" si="6"/>
        <v>#VALUE!</v>
      </c>
      <c r="K35" s="22"/>
      <c r="L35" s="26" t="s">
        <v>51</v>
      </c>
      <c r="M35" s="29"/>
      <c r="N35" s="28" t="str">
        <f t="shared" si="2"/>
        <v/>
      </c>
      <c r="O35" s="22"/>
      <c r="P35" s="24"/>
      <c r="Q35" s="24">
        <v>48</v>
      </c>
      <c r="R35" s="25"/>
      <c r="S35" s="26"/>
      <c r="T35" s="26"/>
      <c r="U35" s="26"/>
      <c r="V35" s="23">
        <v>115</v>
      </c>
      <c r="W35" s="23" t="str">
        <f t="shared" si="4"/>
        <v xml:space="preserve"> </v>
      </c>
      <c r="X35" s="26" t="e">
        <f t="shared" si="5"/>
        <v>#VALUE!</v>
      </c>
      <c r="Y35" s="22"/>
      <c r="Z35" s="26" t="s">
        <v>51</v>
      </c>
      <c r="AA35" s="29"/>
      <c r="AB35" s="28" t="str">
        <f t="shared" si="7"/>
        <v/>
      </c>
      <c r="AC35" s="31"/>
    </row>
    <row r="36" spans="1:29" s="30" customFormat="1" ht="9.6" customHeight="1" x14ac:dyDescent="0.2">
      <c r="A36" s="22"/>
      <c r="B36" s="23"/>
      <c r="C36" s="23">
        <v>48</v>
      </c>
      <c r="D36" s="32"/>
      <c r="E36" s="26"/>
      <c r="F36" s="26"/>
      <c r="G36" s="26"/>
      <c r="H36" s="23">
        <v>115</v>
      </c>
      <c r="I36" s="23" t="str">
        <f t="shared" si="1"/>
        <v xml:space="preserve"> </v>
      </c>
      <c r="J36" s="26" t="e">
        <f t="shared" si="6"/>
        <v>#VALUE!</v>
      </c>
      <c r="K36" s="22"/>
      <c r="L36" s="26" t="s">
        <v>51</v>
      </c>
      <c r="M36" s="27"/>
      <c r="N36" s="28" t="str">
        <f t="shared" si="2"/>
        <v/>
      </c>
      <c r="O36" s="22"/>
      <c r="P36" s="24"/>
      <c r="Q36" s="24">
        <v>48</v>
      </c>
      <c r="R36" s="25"/>
      <c r="S36" s="26"/>
      <c r="T36" s="26"/>
      <c r="U36" s="26"/>
      <c r="V36" s="24">
        <v>115</v>
      </c>
      <c r="W36" s="24" t="str">
        <f t="shared" si="4"/>
        <v xml:space="preserve"> </v>
      </c>
      <c r="X36" s="26" t="e">
        <f t="shared" si="5"/>
        <v>#VALUE!</v>
      </c>
      <c r="Y36" s="22"/>
      <c r="Z36" s="26" t="s">
        <v>51</v>
      </c>
      <c r="AA36" s="29"/>
      <c r="AB36" s="28" t="str">
        <f t="shared" si="7"/>
        <v/>
      </c>
      <c r="AC36" s="31"/>
    </row>
    <row r="37" spans="1:29" s="30" customFormat="1" ht="9.6" customHeight="1" x14ac:dyDescent="0.2">
      <c r="A37" s="22"/>
      <c r="B37" s="24"/>
      <c r="C37" s="23">
        <v>48</v>
      </c>
      <c r="D37" s="25"/>
      <c r="E37" s="26"/>
      <c r="F37" s="26"/>
      <c r="G37" s="26"/>
      <c r="H37" s="24">
        <v>115</v>
      </c>
      <c r="I37" s="24" t="str">
        <f t="shared" si="1"/>
        <v xml:space="preserve"> </v>
      </c>
      <c r="J37" s="26" t="e">
        <f t="shared" si="6"/>
        <v>#VALUE!</v>
      </c>
      <c r="K37" s="22"/>
      <c r="L37" s="26" t="s">
        <v>51</v>
      </c>
      <c r="M37" s="29"/>
      <c r="N37" s="28" t="str">
        <f t="shared" si="2"/>
        <v/>
      </c>
      <c r="O37" s="22"/>
      <c r="P37" s="24"/>
      <c r="Q37" s="24">
        <v>48</v>
      </c>
      <c r="R37" s="25"/>
      <c r="S37" s="26"/>
      <c r="T37" s="26"/>
      <c r="U37" s="26"/>
      <c r="V37" s="24">
        <f t="shared" ref="V37:V38" si="12">40+75</f>
        <v>115</v>
      </c>
      <c r="W37" s="24" t="str">
        <f t="shared" si="4"/>
        <v xml:space="preserve"> </v>
      </c>
      <c r="X37" s="26" t="e">
        <f t="shared" si="5"/>
        <v>#VALUE!</v>
      </c>
      <c r="Y37" s="22"/>
      <c r="Z37" s="26" t="s">
        <v>51</v>
      </c>
      <c r="AA37" s="29"/>
      <c r="AB37" s="28" t="str">
        <f t="shared" si="7"/>
        <v/>
      </c>
      <c r="AC37" s="31"/>
    </row>
    <row r="38" spans="1:29" s="30" customFormat="1" ht="9.6" customHeight="1" x14ac:dyDescent="0.2">
      <c r="A38" s="22"/>
      <c r="B38" s="24"/>
      <c r="C38" s="24">
        <v>48</v>
      </c>
      <c r="D38" s="25"/>
      <c r="E38" s="26"/>
      <c r="F38" s="26"/>
      <c r="G38" s="26"/>
      <c r="H38" s="24">
        <f t="shared" ref="H38:H39" si="13">40+75</f>
        <v>115</v>
      </c>
      <c r="I38" s="24" t="str">
        <f t="shared" si="1"/>
        <v xml:space="preserve"> </v>
      </c>
      <c r="J38" s="26" t="e">
        <f t="shared" si="6"/>
        <v>#VALUE!</v>
      </c>
      <c r="K38" s="22"/>
      <c r="L38" s="26" t="s">
        <v>51</v>
      </c>
      <c r="M38" s="29"/>
      <c r="N38" s="28" t="str">
        <f t="shared" si="2"/>
        <v/>
      </c>
      <c r="O38" s="22"/>
      <c r="P38" s="24"/>
      <c r="Q38" s="24">
        <v>48</v>
      </c>
      <c r="R38" s="25"/>
      <c r="S38" s="26"/>
      <c r="T38" s="26"/>
      <c r="U38" s="26"/>
      <c r="V38" s="24">
        <f t="shared" si="12"/>
        <v>115</v>
      </c>
      <c r="W38" s="24" t="str">
        <f t="shared" si="4"/>
        <v xml:space="preserve"> </v>
      </c>
      <c r="X38" s="26" t="e">
        <f t="shared" si="5"/>
        <v>#VALUE!</v>
      </c>
      <c r="Y38" s="22"/>
      <c r="Z38" s="26" t="s">
        <v>51</v>
      </c>
      <c r="AA38" s="29"/>
      <c r="AB38" s="28" t="str">
        <f t="shared" si="7"/>
        <v/>
      </c>
      <c r="AC38" s="31"/>
    </row>
    <row r="39" spans="1:29" s="30" customFormat="1" ht="9.6" customHeight="1" x14ac:dyDescent="0.2">
      <c r="A39" s="22"/>
      <c r="B39" s="24"/>
      <c r="C39" s="23">
        <v>48</v>
      </c>
      <c r="D39" s="32"/>
      <c r="E39" s="26"/>
      <c r="F39" s="26"/>
      <c r="G39" s="26"/>
      <c r="H39" s="24">
        <f t="shared" si="13"/>
        <v>115</v>
      </c>
      <c r="I39" s="24" t="str">
        <f t="shared" si="1"/>
        <v xml:space="preserve"> </v>
      </c>
      <c r="J39" s="26" t="e">
        <f t="shared" si="6"/>
        <v>#VALUE!</v>
      </c>
      <c r="K39" s="22"/>
      <c r="L39" s="26" t="s">
        <v>51</v>
      </c>
      <c r="M39" s="29"/>
      <c r="N39" s="28" t="str">
        <f t="shared" si="2"/>
        <v/>
      </c>
      <c r="O39" s="22"/>
      <c r="P39" s="24"/>
      <c r="Q39" s="24">
        <v>48</v>
      </c>
      <c r="R39" s="25"/>
      <c r="S39" s="26"/>
      <c r="T39" s="26"/>
      <c r="U39" s="26"/>
      <c r="V39" s="23">
        <v>115</v>
      </c>
      <c r="W39" s="23" t="str">
        <f t="shared" si="4"/>
        <v xml:space="preserve"> </v>
      </c>
      <c r="X39" s="26" t="e">
        <f t="shared" si="5"/>
        <v>#VALUE!</v>
      </c>
      <c r="Y39" s="22"/>
      <c r="Z39" s="26" t="s">
        <v>51</v>
      </c>
      <c r="AA39" s="29"/>
      <c r="AB39" s="28" t="str">
        <f t="shared" si="7"/>
        <v/>
      </c>
      <c r="AC39" s="31"/>
    </row>
    <row r="40" spans="1:29" s="30" customFormat="1" ht="9.6" customHeight="1" x14ac:dyDescent="0.2">
      <c r="A40" s="22"/>
      <c r="B40" s="23"/>
      <c r="C40" s="23">
        <v>48</v>
      </c>
      <c r="D40" s="25"/>
      <c r="E40" s="26"/>
      <c r="F40" s="26"/>
      <c r="G40" s="26"/>
      <c r="H40" s="23">
        <v>115</v>
      </c>
      <c r="I40" s="23" t="str">
        <f t="shared" si="1"/>
        <v xml:space="preserve"> </v>
      </c>
      <c r="J40" s="26" t="e">
        <f t="shared" si="6"/>
        <v>#VALUE!</v>
      </c>
      <c r="K40" s="22"/>
      <c r="L40" s="26" t="s">
        <v>51</v>
      </c>
      <c r="M40" s="27"/>
      <c r="N40" s="28" t="str">
        <f t="shared" si="2"/>
        <v/>
      </c>
      <c r="O40" s="22"/>
      <c r="P40" s="24"/>
      <c r="Q40" s="24">
        <v>48</v>
      </c>
      <c r="R40" s="25"/>
      <c r="S40" s="26"/>
      <c r="T40" s="26"/>
      <c r="U40" s="26"/>
      <c r="V40" s="24">
        <v>115</v>
      </c>
      <c r="W40" s="24" t="str">
        <f t="shared" si="4"/>
        <v xml:space="preserve"> </v>
      </c>
      <c r="X40" s="26" t="e">
        <f t="shared" si="5"/>
        <v>#VALUE!</v>
      </c>
      <c r="Y40" s="22"/>
      <c r="Z40" s="26" t="s">
        <v>51</v>
      </c>
      <c r="AA40" s="29"/>
      <c r="AB40" s="28" t="str">
        <f t="shared" si="7"/>
        <v/>
      </c>
      <c r="AC40" s="31"/>
    </row>
    <row r="41" spans="1:29" s="30" customFormat="1" ht="9.6" customHeight="1" x14ac:dyDescent="0.2">
      <c r="A41" s="22"/>
      <c r="B41" s="24"/>
      <c r="C41" s="24">
        <v>48</v>
      </c>
      <c r="D41" s="25"/>
      <c r="E41" s="26"/>
      <c r="F41" s="26"/>
      <c r="G41" s="26"/>
      <c r="H41" s="24">
        <v>115</v>
      </c>
      <c r="I41" s="24" t="str">
        <f t="shared" si="1"/>
        <v xml:space="preserve"> </v>
      </c>
      <c r="J41" s="26" t="e">
        <f t="shared" si="6"/>
        <v>#VALUE!</v>
      </c>
      <c r="K41" s="22"/>
      <c r="L41" s="26" t="s">
        <v>51</v>
      </c>
      <c r="M41" s="29"/>
      <c r="N41" s="28" t="str">
        <f t="shared" si="2"/>
        <v/>
      </c>
      <c r="O41" s="22"/>
      <c r="P41" s="24"/>
      <c r="Q41" s="24">
        <v>48</v>
      </c>
      <c r="R41" s="25"/>
      <c r="S41" s="26"/>
      <c r="T41" s="26"/>
      <c r="U41" s="26"/>
      <c r="V41" s="24">
        <f t="shared" ref="V41:V42" si="14">40+75</f>
        <v>115</v>
      </c>
      <c r="W41" s="24" t="str">
        <f t="shared" si="4"/>
        <v xml:space="preserve"> </v>
      </c>
      <c r="X41" s="26" t="e">
        <f t="shared" si="5"/>
        <v>#VALUE!</v>
      </c>
      <c r="Y41" s="22"/>
      <c r="Z41" s="26" t="s">
        <v>51</v>
      </c>
      <c r="AA41" s="29"/>
      <c r="AB41" s="28" t="str">
        <f t="shared" si="7"/>
        <v/>
      </c>
      <c r="AC41" s="31"/>
    </row>
    <row r="42" spans="1:29" s="30" customFormat="1" ht="9.6" customHeight="1" x14ac:dyDescent="0.2">
      <c r="A42" s="22"/>
      <c r="B42" s="24"/>
      <c r="C42" s="23">
        <v>48</v>
      </c>
      <c r="D42" s="32"/>
      <c r="E42" s="26"/>
      <c r="F42" s="26"/>
      <c r="G42" s="26"/>
      <c r="H42" s="24">
        <f t="shared" ref="H42:H43" si="15">40+75</f>
        <v>115</v>
      </c>
      <c r="I42" s="24" t="str">
        <f t="shared" si="1"/>
        <v xml:space="preserve"> </v>
      </c>
      <c r="J42" s="26" t="e">
        <f t="shared" si="6"/>
        <v>#VALUE!</v>
      </c>
      <c r="K42" s="22"/>
      <c r="L42" s="26" t="s">
        <v>51</v>
      </c>
      <c r="M42" s="29"/>
      <c r="N42" s="28" t="str">
        <f t="shared" si="2"/>
        <v/>
      </c>
      <c r="O42" s="22"/>
      <c r="P42" s="24"/>
      <c r="Q42" s="24">
        <v>48</v>
      </c>
      <c r="R42" s="25"/>
      <c r="S42" s="26"/>
      <c r="T42" s="26"/>
      <c r="U42" s="26"/>
      <c r="V42" s="24">
        <f t="shared" si="14"/>
        <v>115</v>
      </c>
      <c r="W42" s="24" t="str">
        <f t="shared" si="4"/>
        <v xml:space="preserve"> </v>
      </c>
      <c r="X42" s="26" t="e">
        <f t="shared" si="5"/>
        <v>#VALUE!</v>
      </c>
      <c r="Y42" s="22"/>
      <c r="Z42" s="26" t="s">
        <v>51</v>
      </c>
      <c r="AA42" s="29"/>
      <c r="AB42" s="28" t="str">
        <f t="shared" si="7"/>
        <v/>
      </c>
      <c r="AC42" s="31"/>
    </row>
    <row r="43" spans="1:29" s="30" customFormat="1" ht="9.6" customHeight="1" x14ac:dyDescent="0.2">
      <c r="A43" s="22"/>
      <c r="B43" s="24"/>
      <c r="C43" s="23">
        <v>48</v>
      </c>
      <c r="D43" s="25"/>
      <c r="E43" s="26"/>
      <c r="F43" s="26"/>
      <c r="G43" s="26"/>
      <c r="H43" s="24">
        <f t="shared" si="15"/>
        <v>115</v>
      </c>
      <c r="I43" s="24" t="str">
        <f t="shared" si="1"/>
        <v xml:space="preserve"> </v>
      </c>
      <c r="J43" s="26" t="e">
        <f t="shared" si="6"/>
        <v>#VALUE!</v>
      </c>
      <c r="K43" s="22"/>
      <c r="L43" s="26" t="s">
        <v>51</v>
      </c>
      <c r="M43" s="29"/>
      <c r="N43" s="28" t="str">
        <f t="shared" si="2"/>
        <v/>
      </c>
      <c r="O43" s="22"/>
      <c r="P43" s="24"/>
      <c r="Q43" s="24">
        <v>48</v>
      </c>
      <c r="R43" s="25"/>
      <c r="S43" s="26"/>
      <c r="T43" s="26"/>
      <c r="U43" s="26"/>
      <c r="V43" s="23">
        <v>115</v>
      </c>
      <c r="W43" s="23" t="str">
        <f t="shared" si="4"/>
        <v xml:space="preserve"> </v>
      </c>
      <c r="X43" s="26" t="e">
        <f t="shared" si="5"/>
        <v>#VALUE!</v>
      </c>
      <c r="Y43" s="22"/>
      <c r="Z43" s="26" t="s">
        <v>51</v>
      </c>
      <c r="AA43" s="29"/>
      <c r="AB43" s="28" t="str">
        <f t="shared" si="7"/>
        <v/>
      </c>
      <c r="AC43" s="31"/>
    </row>
    <row r="44" spans="1:29" s="30" customFormat="1" ht="9.6" customHeight="1" x14ac:dyDescent="0.2">
      <c r="A44" s="22"/>
      <c r="B44" s="23"/>
      <c r="C44" s="24">
        <v>48</v>
      </c>
      <c r="D44" s="25"/>
      <c r="E44" s="26"/>
      <c r="F44" s="26"/>
      <c r="G44" s="26"/>
      <c r="H44" s="23">
        <v>115</v>
      </c>
      <c r="I44" s="23" t="str">
        <f t="shared" si="1"/>
        <v xml:space="preserve"> </v>
      </c>
      <c r="J44" s="26" t="e">
        <f t="shared" si="6"/>
        <v>#VALUE!</v>
      </c>
      <c r="K44" s="22"/>
      <c r="L44" s="26" t="s">
        <v>51</v>
      </c>
      <c r="M44" s="27"/>
      <c r="N44" s="28" t="str">
        <f t="shared" si="2"/>
        <v/>
      </c>
      <c r="O44" s="22"/>
      <c r="P44" s="24"/>
      <c r="Q44" s="24">
        <v>48</v>
      </c>
      <c r="R44" s="25"/>
      <c r="S44" s="26"/>
      <c r="T44" s="26"/>
      <c r="U44" s="26"/>
      <c r="V44" s="24">
        <v>115</v>
      </c>
      <c r="W44" s="24" t="str">
        <f t="shared" si="4"/>
        <v xml:space="preserve"> </v>
      </c>
      <c r="X44" s="26" t="e">
        <f t="shared" si="5"/>
        <v>#VALUE!</v>
      </c>
      <c r="Y44" s="22"/>
      <c r="Z44" s="26" t="s">
        <v>51</v>
      </c>
      <c r="AA44" s="29"/>
      <c r="AB44" s="28" t="str">
        <f t="shared" si="7"/>
        <v/>
      </c>
      <c r="AC44" s="31"/>
    </row>
    <row r="45" spans="1:29" s="30" customFormat="1" ht="9.6" customHeight="1" x14ac:dyDescent="0.2">
      <c r="A45" s="22"/>
      <c r="B45" s="24"/>
      <c r="C45" s="23">
        <v>48</v>
      </c>
      <c r="D45" s="32"/>
      <c r="E45" s="26"/>
      <c r="F45" s="26"/>
      <c r="G45" s="26"/>
      <c r="H45" s="24">
        <v>115</v>
      </c>
      <c r="I45" s="24" t="str">
        <f t="shared" si="1"/>
        <v xml:space="preserve"> </v>
      </c>
      <c r="J45" s="26" t="e">
        <f t="shared" si="6"/>
        <v>#VALUE!</v>
      </c>
      <c r="K45" s="22"/>
      <c r="L45" s="26" t="s">
        <v>51</v>
      </c>
      <c r="M45" s="29"/>
      <c r="N45" s="28" t="str">
        <f t="shared" si="2"/>
        <v/>
      </c>
      <c r="O45" s="22"/>
      <c r="P45" s="24"/>
      <c r="Q45" s="24">
        <v>48</v>
      </c>
      <c r="R45" s="25"/>
      <c r="S45" s="26"/>
      <c r="T45" s="26"/>
      <c r="U45" s="26"/>
      <c r="V45" s="24">
        <f t="shared" ref="V45:V46" si="16">40+75</f>
        <v>115</v>
      </c>
      <c r="W45" s="24" t="str">
        <f t="shared" si="4"/>
        <v xml:space="preserve"> </v>
      </c>
      <c r="X45" s="26" t="e">
        <f t="shared" si="5"/>
        <v>#VALUE!</v>
      </c>
      <c r="Y45" s="22"/>
      <c r="Z45" s="26" t="s">
        <v>51</v>
      </c>
      <c r="AA45" s="29"/>
      <c r="AB45" s="28" t="str">
        <f t="shared" si="7"/>
        <v/>
      </c>
      <c r="AC45" s="31"/>
    </row>
    <row r="46" spans="1:29" s="30" customFormat="1" ht="9.6" customHeight="1" x14ac:dyDescent="0.2">
      <c r="A46" s="22"/>
      <c r="B46" s="24"/>
      <c r="C46" s="23">
        <v>48</v>
      </c>
      <c r="D46" s="25"/>
      <c r="E46" s="26"/>
      <c r="F46" s="26"/>
      <c r="G46" s="26"/>
      <c r="H46" s="24">
        <f t="shared" ref="H46:H47" si="17">40+75</f>
        <v>115</v>
      </c>
      <c r="I46" s="24" t="str">
        <f t="shared" si="1"/>
        <v xml:space="preserve"> </v>
      </c>
      <c r="J46" s="26" t="e">
        <f t="shared" si="6"/>
        <v>#VALUE!</v>
      </c>
      <c r="K46" s="22"/>
      <c r="L46" s="26" t="s">
        <v>51</v>
      </c>
      <c r="M46" s="29"/>
      <c r="N46" s="28" t="str">
        <f t="shared" si="2"/>
        <v/>
      </c>
      <c r="O46" s="22"/>
      <c r="P46" s="24"/>
      <c r="Q46" s="24">
        <v>48</v>
      </c>
      <c r="R46" s="25"/>
      <c r="S46" s="26"/>
      <c r="T46" s="26"/>
      <c r="U46" s="26"/>
      <c r="V46" s="24">
        <f t="shared" si="16"/>
        <v>115</v>
      </c>
      <c r="W46" s="24" t="str">
        <f t="shared" si="4"/>
        <v xml:space="preserve"> </v>
      </c>
      <c r="X46" s="26" t="e">
        <f t="shared" si="5"/>
        <v>#VALUE!</v>
      </c>
      <c r="Y46" s="22"/>
      <c r="Z46" s="26" t="s">
        <v>51</v>
      </c>
      <c r="AA46" s="29"/>
      <c r="AB46" s="28" t="str">
        <f t="shared" si="7"/>
        <v/>
      </c>
      <c r="AC46" s="31"/>
    </row>
    <row r="47" spans="1:29" s="30" customFormat="1" ht="9.6" customHeight="1" x14ac:dyDescent="0.2">
      <c r="A47" s="22"/>
      <c r="B47" s="24"/>
      <c r="C47" s="24">
        <v>48</v>
      </c>
      <c r="D47" s="25"/>
      <c r="E47" s="26"/>
      <c r="F47" s="26"/>
      <c r="G47" s="26"/>
      <c r="H47" s="24">
        <f t="shared" si="17"/>
        <v>115</v>
      </c>
      <c r="I47" s="24" t="str">
        <f t="shared" si="1"/>
        <v xml:space="preserve"> </v>
      </c>
      <c r="J47" s="26" t="e">
        <f t="shared" si="6"/>
        <v>#VALUE!</v>
      </c>
      <c r="K47" s="22"/>
      <c r="L47" s="26" t="s">
        <v>51</v>
      </c>
      <c r="M47" s="29"/>
      <c r="N47" s="28" t="str">
        <f t="shared" si="2"/>
        <v/>
      </c>
      <c r="O47" s="22"/>
      <c r="P47" s="24"/>
      <c r="Q47" s="24">
        <v>48</v>
      </c>
      <c r="R47" s="25"/>
      <c r="S47" s="26"/>
      <c r="T47" s="26"/>
      <c r="U47" s="26"/>
      <c r="V47" s="23">
        <v>115</v>
      </c>
      <c r="W47" s="23" t="str">
        <f t="shared" si="4"/>
        <v xml:space="preserve"> </v>
      </c>
      <c r="X47" s="26" t="e">
        <f t="shared" si="5"/>
        <v>#VALUE!</v>
      </c>
      <c r="Y47" s="22"/>
      <c r="Z47" s="26" t="s">
        <v>51</v>
      </c>
      <c r="AA47" s="29"/>
      <c r="AB47" s="28" t="str">
        <f t="shared" si="7"/>
        <v/>
      </c>
      <c r="AC47" s="31"/>
    </row>
    <row r="48" spans="1:29" s="30" customFormat="1" ht="9.6" customHeight="1" x14ac:dyDescent="0.2">
      <c r="A48" s="22"/>
      <c r="B48" s="23"/>
      <c r="C48" s="23">
        <v>48</v>
      </c>
      <c r="D48" s="32"/>
      <c r="E48" s="26"/>
      <c r="F48" s="26"/>
      <c r="G48" s="26"/>
      <c r="H48" s="23">
        <v>115</v>
      </c>
      <c r="I48" s="23" t="str">
        <f t="shared" si="1"/>
        <v xml:space="preserve"> </v>
      </c>
      <c r="J48" s="26" t="e">
        <f t="shared" si="6"/>
        <v>#VALUE!</v>
      </c>
      <c r="K48" s="22"/>
      <c r="L48" s="26" t="s">
        <v>51</v>
      </c>
      <c r="M48" s="27"/>
      <c r="N48" s="28" t="str">
        <f t="shared" si="2"/>
        <v/>
      </c>
      <c r="O48" s="22"/>
      <c r="P48" s="24"/>
      <c r="Q48" s="24">
        <v>48</v>
      </c>
      <c r="R48" s="25"/>
      <c r="S48" s="26"/>
      <c r="T48" s="26"/>
      <c r="U48" s="26"/>
      <c r="V48" s="24">
        <v>115</v>
      </c>
      <c r="W48" s="24" t="str">
        <f t="shared" si="4"/>
        <v xml:space="preserve"> </v>
      </c>
      <c r="X48" s="26" t="e">
        <f t="shared" si="5"/>
        <v>#VALUE!</v>
      </c>
      <c r="Y48" s="22"/>
      <c r="Z48" s="26" t="s">
        <v>51</v>
      </c>
      <c r="AA48" s="29"/>
      <c r="AB48" s="28" t="str">
        <f t="shared" si="7"/>
        <v/>
      </c>
      <c r="AC48" s="31"/>
    </row>
    <row r="49" spans="1:29" s="30" customFormat="1" ht="9.6" customHeight="1" x14ac:dyDescent="0.2">
      <c r="A49" s="22"/>
      <c r="B49" s="24"/>
      <c r="C49" s="23">
        <v>48</v>
      </c>
      <c r="D49" s="25"/>
      <c r="E49" s="26"/>
      <c r="F49" s="26"/>
      <c r="G49" s="26"/>
      <c r="H49" s="24">
        <v>115</v>
      </c>
      <c r="I49" s="24" t="str">
        <f t="shared" si="1"/>
        <v xml:space="preserve"> </v>
      </c>
      <c r="J49" s="26" t="e">
        <f t="shared" si="6"/>
        <v>#VALUE!</v>
      </c>
      <c r="K49" s="22"/>
      <c r="L49" s="26" t="s">
        <v>51</v>
      </c>
      <c r="M49" s="29"/>
      <c r="N49" s="28" t="str">
        <f t="shared" si="2"/>
        <v/>
      </c>
      <c r="O49" s="22"/>
      <c r="P49" s="24"/>
      <c r="Q49" s="24">
        <v>48</v>
      </c>
      <c r="R49" s="25"/>
      <c r="S49" s="26"/>
      <c r="T49" s="26"/>
      <c r="U49" s="26"/>
      <c r="V49" s="24">
        <f t="shared" ref="V49:V50" si="18">40+75</f>
        <v>115</v>
      </c>
      <c r="W49" s="24" t="str">
        <f t="shared" si="4"/>
        <v xml:space="preserve"> </v>
      </c>
      <c r="X49" s="26" t="e">
        <f t="shared" si="5"/>
        <v>#VALUE!</v>
      </c>
      <c r="Y49" s="22"/>
      <c r="Z49" s="26" t="s">
        <v>51</v>
      </c>
      <c r="AA49" s="29"/>
      <c r="AB49" s="28" t="str">
        <f t="shared" si="7"/>
        <v/>
      </c>
      <c r="AC49" s="31"/>
    </row>
    <row r="50" spans="1:29" s="30" customFormat="1" ht="9.6" customHeight="1" x14ac:dyDescent="0.2">
      <c r="A50" s="22"/>
      <c r="B50" s="24"/>
      <c r="C50" s="24">
        <v>48</v>
      </c>
      <c r="D50" s="25"/>
      <c r="E50" s="26"/>
      <c r="F50" s="26"/>
      <c r="G50" s="26"/>
      <c r="H50" s="24">
        <f t="shared" ref="H50:H51" si="19">40+75</f>
        <v>115</v>
      </c>
      <c r="I50" s="24" t="str">
        <f t="shared" si="1"/>
        <v xml:space="preserve"> </v>
      </c>
      <c r="J50" s="26" t="e">
        <f t="shared" si="6"/>
        <v>#VALUE!</v>
      </c>
      <c r="K50" s="22"/>
      <c r="L50" s="26" t="s">
        <v>51</v>
      </c>
      <c r="M50" s="29"/>
      <c r="N50" s="28" t="str">
        <f t="shared" si="2"/>
        <v/>
      </c>
      <c r="O50" s="22"/>
      <c r="P50" s="24"/>
      <c r="Q50" s="24">
        <v>48</v>
      </c>
      <c r="R50" s="25"/>
      <c r="S50" s="26"/>
      <c r="T50" s="26"/>
      <c r="U50" s="26"/>
      <c r="V50" s="24">
        <f t="shared" si="18"/>
        <v>115</v>
      </c>
      <c r="W50" s="24" t="str">
        <f t="shared" si="4"/>
        <v xml:space="preserve"> </v>
      </c>
      <c r="X50" s="26" t="e">
        <f t="shared" si="5"/>
        <v>#VALUE!</v>
      </c>
      <c r="Y50" s="22"/>
      <c r="Z50" s="26" t="s">
        <v>51</v>
      </c>
      <c r="AA50" s="29"/>
      <c r="AB50" s="28" t="str">
        <f t="shared" si="7"/>
        <v/>
      </c>
      <c r="AC50" s="31"/>
    </row>
    <row r="51" spans="1:29" s="30" customFormat="1" ht="9.6" customHeight="1" x14ac:dyDescent="0.2">
      <c r="A51" s="22"/>
      <c r="B51" s="24"/>
      <c r="C51" s="23">
        <v>48</v>
      </c>
      <c r="D51" s="32"/>
      <c r="E51" s="26"/>
      <c r="F51" s="26"/>
      <c r="G51" s="26"/>
      <c r="H51" s="24">
        <f t="shared" si="19"/>
        <v>115</v>
      </c>
      <c r="I51" s="24" t="str">
        <f t="shared" si="1"/>
        <v xml:space="preserve"> </v>
      </c>
      <c r="J51" s="26" t="e">
        <f t="shared" si="6"/>
        <v>#VALUE!</v>
      </c>
      <c r="K51" s="22"/>
      <c r="L51" s="26" t="s">
        <v>51</v>
      </c>
      <c r="M51" s="29"/>
      <c r="N51" s="28" t="str">
        <f t="shared" si="2"/>
        <v/>
      </c>
      <c r="O51" s="22"/>
      <c r="P51" s="24"/>
      <c r="Q51" s="24">
        <v>48</v>
      </c>
      <c r="R51" s="25"/>
      <c r="S51" s="26"/>
      <c r="T51" s="26"/>
      <c r="U51" s="26"/>
      <c r="V51" s="23">
        <v>115</v>
      </c>
      <c r="W51" s="23" t="str">
        <f t="shared" si="4"/>
        <v xml:space="preserve"> </v>
      </c>
      <c r="X51" s="26" t="e">
        <f t="shared" si="5"/>
        <v>#VALUE!</v>
      </c>
      <c r="Y51" s="22"/>
      <c r="Z51" s="26" t="s">
        <v>51</v>
      </c>
      <c r="AA51" s="29"/>
      <c r="AB51" s="28" t="str">
        <f t="shared" si="7"/>
        <v/>
      </c>
      <c r="AC51" s="31"/>
    </row>
    <row r="52" spans="1:29" s="30" customFormat="1" ht="9.6" customHeight="1" x14ac:dyDescent="0.2">
      <c r="A52" s="22"/>
      <c r="B52" s="23"/>
      <c r="C52" s="23">
        <v>48</v>
      </c>
      <c r="D52" s="25"/>
      <c r="E52" s="26"/>
      <c r="F52" s="26"/>
      <c r="G52" s="26"/>
      <c r="H52" s="23">
        <v>115</v>
      </c>
      <c r="I52" s="23" t="str">
        <f t="shared" si="1"/>
        <v xml:space="preserve"> </v>
      </c>
      <c r="J52" s="26" t="e">
        <f t="shared" si="6"/>
        <v>#VALUE!</v>
      </c>
      <c r="K52" s="22"/>
      <c r="L52" s="26" t="s">
        <v>51</v>
      </c>
      <c r="M52" s="27"/>
      <c r="N52" s="28" t="str">
        <f t="shared" si="2"/>
        <v/>
      </c>
      <c r="O52" s="22"/>
      <c r="P52" s="24"/>
      <c r="Q52" s="24">
        <v>48</v>
      </c>
      <c r="R52" s="25"/>
      <c r="S52" s="26"/>
      <c r="T52" s="26"/>
      <c r="U52" s="26"/>
      <c r="V52" s="24">
        <v>115</v>
      </c>
      <c r="W52" s="24" t="str">
        <f t="shared" si="4"/>
        <v xml:space="preserve"> </v>
      </c>
      <c r="X52" s="26" t="e">
        <f t="shared" si="5"/>
        <v>#VALUE!</v>
      </c>
      <c r="Y52" s="22"/>
      <c r="Z52" s="26" t="s">
        <v>51</v>
      </c>
      <c r="AA52" s="29"/>
      <c r="AB52" s="28" t="str">
        <f t="shared" si="7"/>
        <v/>
      </c>
      <c r="AC52" s="31"/>
    </row>
    <row r="53" spans="1:29" s="30" customFormat="1" ht="9.6" customHeight="1" x14ac:dyDescent="0.2">
      <c r="A53" s="22"/>
      <c r="B53" s="24"/>
      <c r="C53" s="24">
        <v>48</v>
      </c>
      <c r="D53" s="25"/>
      <c r="E53" s="26"/>
      <c r="F53" s="26"/>
      <c r="G53" s="26"/>
      <c r="H53" s="24">
        <v>115</v>
      </c>
      <c r="I53" s="24" t="str">
        <f t="shared" si="1"/>
        <v xml:space="preserve"> </v>
      </c>
      <c r="J53" s="26" t="e">
        <f t="shared" si="6"/>
        <v>#VALUE!</v>
      </c>
      <c r="K53" s="22"/>
      <c r="L53" s="26" t="s">
        <v>51</v>
      </c>
      <c r="M53" s="29"/>
      <c r="N53" s="28" t="str">
        <f t="shared" si="2"/>
        <v/>
      </c>
      <c r="O53" s="22"/>
      <c r="P53" s="24"/>
      <c r="Q53" s="24">
        <v>48</v>
      </c>
      <c r="R53" s="32"/>
      <c r="S53" s="26"/>
      <c r="T53" s="26"/>
      <c r="U53" s="26"/>
      <c r="V53" s="23">
        <f t="shared" ref="V53:V55" si="20">40+75</f>
        <v>115</v>
      </c>
      <c r="W53" s="23" t="str">
        <f t="shared" si="4"/>
        <v xml:space="preserve"> </v>
      </c>
      <c r="X53" s="26" t="e">
        <f t="shared" si="5"/>
        <v>#VALUE!</v>
      </c>
      <c r="Y53" s="22"/>
      <c r="Z53" s="26" t="s">
        <v>51</v>
      </c>
      <c r="AA53" s="29"/>
      <c r="AB53" s="28" t="str">
        <f t="shared" si="7"/>
        <v/>
      </c>
      <c r="AC53" s="31"/>
    </row>
    <row r="54" spans="1:29" s="30" customFormat="1" ht="9.6" customHeight="1" x14ac:dyDescent="0.2">
      <c r="A54" s="22"/>
      <c r="B54" s="23"/>
      <c r="C54" s="23">
        <v>48</v>
      </c>
      <c r="D54" s="32"/>
      <c r="E54" s="26"/>
      <c r="F54" s="26"/>
      <c r="G54" s="26"/>
      <c r="H54" s="23">
        <f t="shared" ref="H54:H55" si="21">40+75</f>
        <v>115</v>
      </c>
      <c r="I54" s="23" t="str">
        <f t="shared" si="1"/>
        <v xml:space="preserve"> </v>
      </c>
      <c r="J54" s="26" t="e">
        <f t="shared" si="6"/>
        <v>#VALUE!</v>
      </c>
      <c r="K54" s="22"/>
      <c r="L54" s="26" t="s">
        <v>51</v>
      </c>
      <c r="M54" s="27"/>
      <c r="N54" s="28" t="str">
        <f t="shared" si="2"/>
        <v/>
      </c>
      <c r="O54" s="22"/>
      <c r="P54" s="23"/>
      <c r="Q54" s="23">
        <v>48</v>
      </c>
      <c r="R54" s="32"/>
      <c r="S54" s="26"/>
      <c r="T54" s="26"/>
      <c r="U54" s="26"/>
      <c r="V54" s="23">
        <v>115</v>
      </c>
      <c r="W54" s="23" t="str">
        <f t="shared" si="4"/>
        <v xml:space="preserve"> </v>
      </c>
      <c r="X54" s="26" t="e">
        <f t="shared" si="5"/>
        <v>#VALUE!</v>
      </c>
      <c r="Y54" s="22"/>
      <c r="Z54" s="26" t="s">
        <v>51</v>
      </c>
      <c r="AA54" s="27"/>
      <c r="AB54" s="28" t="str">
        <f t="shared" si="7"/>
        <v/>
      </c>
      <c r="AC54" s="31"/>
    </row>
    <row r="55" spans="1:29" s="30" customFormat="1" ht="9.6" customHeight="1" x14ac:dyDescent="0.2">
      <c r="A55" s="22"/>
      <c r="B55" s="23"/>
      <c r="C55" s="23">
        <v>48</v>
      </c>
      <c r="D55" s="32"/>
      <c r="E55" s="26"/>
      <c r="F55" s="26"/>
      <c r="G55" s="26"/>
      <c r="H55" s="23">
        <f t="shared" si="21"/>
        <v>115</v>
      </c>
      <c r="I55" s="23" t="str">
        <f t="shared" si="1"/>
        <v xml:space="preserve"> </v>
      </c>
      <c r="J55" s="26" t="e">
        <f t="shared" si="6"/>
        <v>#VALUE!</v>
      </c>
      <c r="K55" s="22"/>
      <c r="L55" s="26" t="s">
        <v>51</v>
      </c>
      <c r="M55" s="27"/>
      <c r="N55" s="28" t="str">
        <f t="shared" si="2"/>
        <v/>
      </c>
      <c r="O55" s="22"/>
      <c r="P55" s="24"/>
      <c r="Q55" s="24">
        <v>48</v>
      </c>
      <c r="R55" s="32"/>
      <c r="S55" s="26"/>
      <c r="T55" s="26"/>
      <c r="U55" s="26"/>
      <c r="V55" s="23">
        <f t="shared" si="20"/>
        <v>115</v>
      </c>
      <c r="W55" s="23" t="str">
        <f t="shared" si="4"/>
        <v xml:space="preserve"> </v>
      </c>
      <c r="X55" s="26" t="e">
        <f t="shared" si="5"/>
        <v>#VALUE!</v>
      </c>
      <c r="Y55" s="22"/>
      <c r="Z55" s="26" t="s">
        <v>51</v>
      </c>
      <c r="AA55" s="29"/>
      <c r="AB55" s="28" t="str">
        <f t="shared" si="7"/>
        <v/>
      </c>
      <c r="AC55" s="31"/>
    </row>
    <row r="56" spans="1:29" s="30" customFormat="1" ht="9.6" customHeight="1" x14ac:dyDescent="0.2">
      <c r="A56" s="22"/>
      <c r="B56" s="23"/>
      <c r="C56" s="23">
        <v>48</v>
      </c>
      <c r="D56" s="32"/>
      <c r="E56" s="26"/>
      <c r="F56" s="26"/>
      <c r="G56" s="26"/>
      <c r="H56" s="23">
        <v>115</v>
      </c>
      <c r="I56" s="23" t="str">
        <f t="shared" si="1"/>
        <v xml:space="preserve"> </v>
      </c>
      <c r="J56" s="26" t="e">
        <f t="shared" si="6"/>
        <v>#VALUE!</v>
      </c>
      <c r="K56" s="22"/>
      <c r="L56" s="26" t="s">
        <v>51</v>
      </c>
      <c r="M56" s="27"/>
      <c r="N56" s="28" t="str">
        <f t="shared" si="2"/>
        <v/>
      </c>
      <c r="O56" s="22"/>
      <c r="P56" s="24"/>
      <c r="Q56" s="24">
        <v>48</v>
      </c>
      <c r="R56" s="32"/>
      <c r="S56" s="26"/>
      <c r="T56" s="26"/>
      <c r="U56" s="26"/>
      <c r="V56" s="23">
        <v>115</v>
      </c>
      <c r="W56" s="23" t="str">
        <f t="shared" si="4"/>
        <v xml:space="preserve"> </v>
      </c>
      <c r="X56" s="26" t="e">
        <f t="shared" si="5"/>
        <v>#VALUE!</v>
      </c>
      <c r="Y56" s="22"/>
      <c r="Z56" s="26" t="s">
        <v>51</v>
      </c>
      <c r="AA56" s="29"/>
      <c r="AB56" s="28" t="str">
        <f t="shared" si="7"/>
        <v/>
      </c>
      <c r="AC56" s="31"/>
    </row>
    <row r="57" spans="1:29" s="30" customFormat="1" ht="9.6" customHeight="1" thickBot="1" x14ac:dyDescent="0.25">
      <c r="A57" s="22"/>
      <c r="B57" s="23"/>
      <c r="C57" s="23">
        <v>48</v>
      </c>
      <c r="D57" s="32"/>
      <c r="E57" s="26"/>
      <c r="F57" s="26"/>
      <c r="G57" s="26"/>
      <c r="H57" s="23">
        <v>115</v>
      </c>
      <c r="I57" s="23" t="str">
        <f t="shared" si="1"/>
        <v xml:space="preserve"> </v>
      </c>
      <c r="J57" s="26" t="e">
        <f t="shared" si="6"/>
        <v>#VALUE!</v>
      </c>
      <c r="K57" s="22"/>
      <c r="L57" s="26" t="s">
        <v>51</v>
      </c>
      <c r="M57" s="27"/>
      <c r="N57" s="28" t="str">
        <f t="shared" si="2"/>
        <v/>
      </c>
      <c r="O57" s="22"/>
      <c r="P57" s="23"/>
      <c r="Q57" s="23">
        <v>48</v>
      </c>
      <c r="R57" s="32"/>
      <c r="S57" s="26"/>
      <c r="T57" s="26"/>
      <c r="U57" s="26"/>
      <c r="V57" s="23">
        <v>115</v>
      </c>
      <c r="W57" s="23" t="str">
        <f t="shared" si="4"/>
        <v xml:space="preserve"> </v>
      </c>
      <c r="X57" s="26" t="e">
        <f t="shared" si="5"/>
        <v>#VALUE!</v>
      </c>
      <c r="Y57" s="22"/>
      <c r="Z57" s="26" t="s">
        <v>51</v>
      </c>
      <c r="AA57" s="27"/>
      <c r="AB57" s="28" t="str">
        <f t="shared" si="7"/>
        <v/>
      </c>
      <c r="AC57" s="31"/>
    </row>
    <row r="58" spans="1:29" s="30" customFormat="1" ht="10.35" customHeight="1" x14ac:dyDescent="0.2">
      <c r="A58" s="1"/>
      <c r="B58" s="33" t="s">
        <v>52</v>
      </c>
      <c r="C58" s="34" t="s">
        <v>53</v>
      </c>
      <c r="D58" s="34" t="s">
        <v>54</v>
      </c>
      <c r="E58" s="197" t="s">
        <v>2</v>
      </c>
      <c r="F58" s="198"/>
      <c r="G58" s="35"/>
      <c r="H58" s="199" t="s">
        <v>55</v>
      </c>
      <c r="I58" s="200" t="e">
        <f>SUM(J12:J57)</f>
        <v>#VALUE!</v>
      </c>
      <c r="J58" s="201"/>
      <c r="K58" s="204"/>
      <c r="L58" s="205"/>
      <c r="M58" s="208" t="s">
        <v>8</v>
      </c>
      <c r="N58" s="209"/>
      <c r="O58" s="1"/>
      <c r="P58" s="36"/>
      <c r="Q58" s="37" t="s">
        <v>53</v>
      </c>
      <c r="R58" s="37" t="s">
        <v>54</v>
      </c>
      <c r="S58" s="165" t="s">
        <v>2</v>
      </c>
      <c r="T58" s="166"/>
      <c r="U58" s="35"/>
      <c r="V58" s="167" t="s">
        <v>55</v>
      </c>
      <c r="W58" s="169" t="e">
        <f>SUM(X12:X57)</f>
        <v>#VALUE!</v>
      </c>
      <c r="X58" s="170"/>
      <c r="Y58" s="36"/>
      <c r="Z58" s="36"/>
      <c r="AA58" s="36"/>
      <c r="AB58" s="38"/>
      <c r="AC58" s="31"/>
    </row>
    <row r="59" spans="1:29" ht="10.35" customHeight="1" thickBot="1" x14ac:dyDescent="0.3">
      <c r="A59" s="1"/>
      <c r="B59" s="39"/>
      <c r="C59" s="40">
        <f>SUMIFS(J12:J57,K12:K57,"PLANTA")+Q59</f>
        <v>0</v>
      </c>
      <c r="D59" s="41" t="e">
        <f>SUMIFS(J12:J57,K12:K57,"&lt;&gt;PLANTA")+R59</f>
        <v>#VALUE!</v>
      </c>
      <c r="E59" s="173" t="e">
        <f>SUM(C59:D59)</f>
        <v>#VALUE!</v>
      </c>
      <c r="F59" s="174"/>
      <c r="G59" s="35"/>
      <c r="H59" s="168"/>
      <c r="I59" s="202"/>
      <c r="J59" s="203"/>
      <c r="K59" s="206"/>
      <c r="L59" s="207"/>
      <c r="M59" s="210"/>
      <c r="N59" s="211"/>
      <c r="O59" s="1"/>
      <c r="P59" s="36"/>
      <c r="Q59" s="42">
        <f>SUMIFS(X12:X57,Y12:Y57,"PLANTA")</f>
        <v>0</v>
      </c>
      <c r="R59" s="42" t="e">
        <f>SUMIFS(X12:X57,Y12:Y57,"&lt;&gt;PLANTA")</f>
        <v>#VALUE!</v>
      </c>
      <c r="S59" s="177" t="e">
        <f>SUM(Q59:R59)</f>
        <v>#VALUE!</v>
      </c>
      <c r="T59" s="178"/>
      <c r="U59" s="35"/>
      <c r="V59" s="168"/>
      <c r="W59" s="171"/>
      <c r="X59" s="172"/>
      <c r="Y59" s="36"/>
      <c r="Z59" s="36"/>
      <c r="AA59" s="36"/>
      <c r="AB59" s="38"/>
      <c r="AC59" s="38"/>
    </row>
    <row r="60" spans="1:29" ht="10.35" customHeight="1" x14ac:dyDescent="0.25">
      <c r="A60" s="1"/>
      <c r="B60" s="43"/>
      <c r="C60" s="44" t="s">
        <v>56</v>
      </c>
      <c r="D60" s="44" t="s">
        <v>56</v>
      </c>
      <c r="E60" s="175"/>
      <c r="F60" s="176"/>
      <c r="H60" s="181" t="s">
        <v>57</v>
      </c>
      <c r="I60" s="182"/>
      <c r="J60" s="183"/>
      <c r="K60" s="187" t="e">
        <f>SUM(I58+W58)</f>
        <v>#VALUE!</v>
      </c>
      <c r="L60" s="188"/>
      <c r="M60" s="189"/>
      <c r="N60" s="193" t="e">
        <f>IF(W58=0,"NO","SI")</f>
        <v>#VALUE!</v>
      </c>
      <c r="O60" s="1"/>
      <c r="Q60" s="44" t="s">
        <v>56</v>
      </c>
      <c r="R60" s="44" t="s">
        <v>56</v>
      </c>
      <c r="S60" s="179"/>
      <c r="T60" s="180"/>
      <c r="Y60" s="36"/>
      <c r="Z60" s="36"/>
      <c r="AA60" s="36"/>
      <c r="AB60" s="38"/>
      <c r="AC60" s="38"/>
    </row>
    <row r="61" spans="1:29" ht="10.35" customHeight="1" thickBot="1" x14ac:dyDescent="0.3">
      <c r="A61" s="1"/>
      <c r="B61" s="1"/>
      <c r="C61" s="45" t="e">
        <f>(C59/D72)*1</f>
        <v>#DIV/0!</v>
      </c>
      <c r="D61" s="45" t="e">
        <f>(D59/D72)*1</f>
        <v>#VALUE!</v>
      </c>
      <c r="E61" s="195" t="e">
        <f>SUM(C61:D61)</f>
        <v>#DIV/0!</v>
      </c>
      <c r="F61" s="196"/>
      <c r="H61" s="184"/>
      <c r="I61" s="185"/>
      <c r="J61" s="186"/>
      <c r="K61" s="190"/>
      <c r="L61" s="191"/>
      <c r="M61" s="192"/>
      <c r="N61" s="194"/>
      <c r="O61" s="1"/>
      <c r="Q61" s="45" t="e">
        <f>(Q59/R72)*1</f>
        <v>#DIV/0!</v>
      </c>
      <c r="R61" s="45" t="e">
        <f>(R59/R72)*1</f>
        <v>#VALUE!</v>
      </c>
      <c r="S61" s="195" t="e">
        <f>SUM(Q61:R61)</f>
        <v>#DIV/0!</v>
      </c>
      <c r="T61" s="196"/>
      <c r="V61" s="38"/>
      <c r="W61" s="38"/>
      <c r="Y61" s="36"/>
      <c r="Z61" s="36"/>
      <c r="AA61" s="36"/>
      <c r="AB61" s="38"/>
      <c r="AC61" s="38"/>
    </row>
    <row r="62" spans="1:29" ht="10.35" customHeight="1" thickBot="1" x14ac:dyDescent="0.3">
      <c r="A62" s="1"/>
      <c r="B62" s="162" t="s">
        <v>58</v>
      </c>
      <c r="C62" s="163"/>
      <c r="D62" s="163"/>
      <c r="E62" s="163"/>
      <c r="F62" s="164"/>
      <c r="G62" s="46" t="s">
        <v>59</v>
      </c>
      <c r="H62" s="47" t="s">
        <v>60</v>
      </c>
      <c r="I62" s="48" t="s">
        <v>40</v>
      </c>
      <c r="J62" s="49" t="s">
        <v>56</v>
      </c>
      <c r="K62" s="139" t="s">
        <v>61</v>
      </c>
      <c r="L62" s="140"/>
      <c r="M62" s="140"/>
      <c r="N62" s="141"/>
      <c r="O62" s="1"/>
      <c r="P62" s="142" t="s">
        <v>62</v>
      </c>
      <c r="Q62" s="143"/>
      <c r="R62" s="143"/>
      <c r="S62" s="143"/>
      <c r="T62" s="144"/>
      <c r="W62" s="139" t="s">
        <v>61</v>
      </c>
      <c r="X62" s="140"/>
      <c r="Y62" s="140"/>
      <c r="Z62" s="140"/>
      <c r="AA62" s="141"/>
      <c r="AB62" s="38"/>
      <c r="AC62" s="38"/>
    </row>
    <row r="63" spans="1:29" ht="10.35" customHeight="1" thickBot="1" x14ac:dyDescent="0.3">
      <c r="A63" s="50"/>
      <c r="B63" s="234" t="s">
        <v>63</v>
      </c>
      <c r="C63" s="235"/>
      <c r="D63" s="235"/>
      <c r="E63" s="235"/>
      <c r="F63" s="236"/>
      <c r="G63" s="51"/>
      <c r="H63" s="52"/>
      <c r="I63" s="93">
        <f>SUMIFS(J11:J57,K11:K57,H63)+SUMIFS(X10:X57,Y10:Y57,H63)</f>
        <v>0</v>
      </c>
      <c r="J63" s="53" t="e">
        <f>I63/E59*1</f>
        <v>#VALUE!</v>
      </c>
      <c r="K63" s="145"/>
      <c r="L63" s="146"/>
      <c r="M63" s="146"/>
      <c r="N63" s="147"/>
      <c r="O63" s="50"/>
      <c r="P63" s="237" t="s">
        <v>63</v>
      </c>
      <c r="Q63" s="238"/>
      <c r="R63" s="238"/>
      <c r="S63" s="238"/>
      <c r="T63" s="239"/>
      <c r="W63" s="240" t="s">
        <v>0</v>
      </c>
      <c r="X63" s="241"/>
      <c r="Y63" s="241"/>
      <c r="Z63" s="241"/>
      <c r="AA63" s="242"/>
      <c r="AB63" s="38"/>
      <c r="AC63" s="38"/>
    </row>
    <row r="64" spans="1:29" ht="10.35" customHeight="1" x14ac:dyDescent="0.25">
      <c r="A64" s="54"/>
      <c r="B64" s="55">
        <v>3.5</v>
      </c>
      <c r="C64" s="56" t="e">
        <f>(D64/D72)*1</f>
        <v>#DIV/0!</v>
      </c>
      <c r="D64" s="57">
        <f>SUMIFS(J12:J57,D12:D57,3.5)+R64</f>
        <v>0</v>
      </c>
      <c r="E64" s="154" t="e">
        <f>SUM(D64:D71)/D72*1</f>
        <v>#DIV/0!</v>
      </c>
      <c r="F64" s="155"/>
      <c r="G64" s="51"/>
      <c r="H64" s="58"/>
      <c r="I64" s="94">
        <f>SUMIFS(J11:J57,K11:K57,H64)+SUMIFS(X10:X57,Y10:Y57,H64)</f>
        <v>0</v>
      </c>
      <c r="J64" s="59" t="e">
        <f>I64/E59*1</f>
        <v>#VALUE!</v>
      </c>
      <c r="K64" s="148"/>
      <c r="L64" s="149"/>
      <c r="M64" s="149"/>
      <c r="N64" s="150"/>
      <c r="O64" s="54"/>
      <c r="P64" s="60">
        <v>3.5</v>
      </c>
      <c r="Q64" s="56" t="e">
        <f>(R64/R72)*1</f>
        <v>#DIV/0!</v>
      </c>
      <c r="R64" s="23">
        <f>SUMIFS(X12:X57,R12:R57,3.5)</f>
        <v>0</v>
      </c>
      <c r="S64" s="154" t="e">
        <f>SUM(R64:R71)/R72*1</f>
        <v>#DIV/0!</v>
      </c>
      <c r="T64" s="155"/>
      <c r="W64" s="243"/>
      <c r="X64" s="244"/>
      <c r="Y64" s="244"/>
      <c r="Z64" s="244"/>
      <c r="AA64" s="245"/>
      <c r="AB64" s="38"/>
      <c r="AC64" s="38"/>
    </row>
    <row r="65" spans="1:29" ht="10.35" customHeight="1" x14ac:dyDescent="0.25">
      <c r="A65" s="54" t="s">
        <v>64</v>
      </c>
      <c r="B65" s="55">
        <v>3</v>
      </c>
      <c r="C65" s="61" t="e">
        <f>(D65/D72)*1</f>
        <v>#DIV/0!</v>
      </c>
      <c r="D65" s="62">
        <f>SUMIFS(J12:J57,D12:D57,3)+R65</f>
        <v>0</v>
      </c>
      <c r="E65" s="156"/>
      <c r="F65" s="157"/>
      <c r="G65" s="51"/>
      <c r="H65" s="58"/>
      <c r="I65" s="94">
        <f>SUMIFS(J11:J57,K11:K57,H65)+SUMIFS(X10:X57,Y10:Y57,H65)</f>
        <v>0</v>
      </c>
      <c r="J65" s="59" t="e">
        <f>I65/E59*1</f>
        <v>#VALUE!</v>
      </c>
      <c r="K65" s="148"/>
      <c r="L65" s="149"/>
      <c r="M65" s="149"/>
      <c r="N65" s="150"/>
      <c r="O65" s="54" t="s">
        <v>64</v>
      </c>
      <c r="P65" s="63">
        <v>3</v>
      </c>
      <c r="Q65" s="61" t="e">
        <f>(R65/R72)*1</f>
        <v>#DIV/0!</v>
      </c>
      <c r="R65" s="64">
        <f>SUMIFS(X12:X57,R12:R57,3)</f>
        <v>0</v>
      </c>
      <c r="S65" s="156"/>
      <c r="T65" s="157"/>
      <c r="W65" s="243"/>
      <c r="X65" s="244"/>
      <c r="Y65" s="244"/>
      <c r="Z65" s="244"/>
      <c r="AA65" s="245"/>
      <c r="AB65" s="38"/>
      <c r="AC65" s="38"/>
    </row>
    <row r="66" spans="1:29" ht="10.35" customHeight="1" x14ac:dyDescent="0.25">
      <c r="A66" s="54" t="s">
        <v>65</v>
      </c>
      <c r="B66" s="55">
        <v>2.5</v>
      </c>
      <c r="C66" s="56" t="e">
        <f>(D66/D72)*1</f>
        <v>#DIV/0!</v>
      </c>
      <c r="D66" s="57">
        <f>SUMIFS(J12:J57,D12:D57,2.5)+R66</f>
        <v>0</v>
      </c>
      <c r="E66" s="156"/>
      <c r="F66" s="157"/>
      <c r="G66" s="51"/>
      <c r="H66" s="58"/>
      <c r="I66" s="94">
        <f>SUMIFS(J11:J57,K11:K57,H66)+SUMIFS(X10:X57,Y10:Y57,H66)</f>
        <v>0</v>
      </c>
      <c r="J66" s="59" t="e">
        <f>I66/E59*1</f>
        <v>#VALUE!</v>
      </c>
      <c r="K66" s="148"/>
      <c r="L66" s="149"/>
      <c r="M66" s="149"/>
      <c r="N66" s="150"/>
      <c r="O66" s="54" t="s">
        <v>65</v>
      </c>
      <c r="P66" s="60">
        <v>2.5</v>
      </c>
      <c r="Q66" s="56" t="e">
        <f>(R66/R72)*1</f>
        <v>#DIV/0!</v>
      </c>
      <c r="R66" s="23">
        <f>SUMIFS(X12:X57,R12:R57,2.5)</f>
        <v>0</v>
      </c>
      <c r="S66" s="156"/>
      <c r="T66" s="157"/>
      <c r="W66" s="246"/>
      <c r="X66" s="247"/>
      <c r="Y66" s="247"/>
      <c r="Z66" s="247"/>
      <c r="AA66" s="248"/>
      <c r="AB66" s="38"/>
      <c r="AC66" s="38"/>
    </row>
    <row r="67" spans="1:29" ht="10.35" customHeight="1" x14ac:dyDescent="0.25">
      <c r="A67" s="54" t="s">
        <v>66</v>
      </c>
      <c r="B67" s="55">
        <v>2</v>
      </c>
      <c r="C67" s="61" t="e">
        <f>(D67/D72)*1</f>
        <v>#DIV/0!</v>
      </c>
      <c r="D67" s="62">
        <f>SUMIFS(J12:J57,D12:D57,2)+R67</f>
        <v>0</v>
      </c>
      <c r="E67" s="156"/>
      <c r="F67" s="157"/>
      <c r="G67" s="51"/>
      <c r="H67" s="58"/>
      <c r="I67" s="94">
        <f>SUMIFS(J11:J57,K11:K57,H67)+SUMIFS(X10:X57,Y10:Y57,H67)</f>
        <v>0</v>
      </c>
      <c r="J67" s="59" t="e">
        <f>I67/E59*1</f>
        <v>#VALUE!</v>
      </c>
      <c r="K67" s="148"/>
      <c r="L67" s="149"/>
      <c r="M67" s="149"/>
      <c r="N67" s="150"/>
      <c r="O67" s="54" t="s">
        <v>66</v>
      </c>
      <c r="P67" s="63">
        <v>2</v>
      </c>
      <c r="Q67" s="61" t="e">
        <f>(R67/R72)*1</f>
        <v>#DIV/0!</v>
      </c>
      <c r="R67" s="64">
        <f>SUMIFS(X12:X57,R12:R57,2)</f>
        <v>0</v>
      </c>
      <c r="S67" s="156"/>
      <c r="T67" s="157"/>
      <c r="W67" s="243"/>
      <c r="X67" s="244"/>
      <c r="Y67" s="244"/>
      <c r="Z67" s="244"/>
      <c r="AA67" s="245"/>
      <c r="AB67" s="38"/>
      <c r="AC67" s="38"/>
    </row>
    <row r="68" spans="1:29" ht="10.35" customHeight="1" x14ac:dyDescent="0.25">
      <c r="A68" s="54" t="s">
        <v>67</v>
      </c>
      <c r="B68" s="55">
        <v>1.5</v>
      </c>
      <c r="C68" s="56" t="e">
        <f>(D68/D72)*1</f>
        <v>#DIV/0!</v>
      </c>
      <c r="D68" s="57">
        <f>SUMIFS(J12:J57,D12:D57,1.5)+R68</f>
        <v>0</v>
      </c>
      <c r="E68" s="156"/>
      <c r="F68" s="157"/>
      <c r="G68" s="51"/>
      <c r="H68" s="58"/>
      <c r="I68" s="94">
        <f>SUMIFS(J11:J57,K11:K57,H68)+SUMIFS(X10:X57,Y10:Y57,H68)</f>
        <v>0</v>
      </c>
      <c r="J68" s="59" t="e">
        <f>I68/E59*1</f>
        <v>#VALUE!</v>
      </c>
      <c r="K68" s="148"/>
      <c r="L68" s="149"/>
      <c r="M68" s="149"/>
      <c r="N68" s="150"/>
      <c r="O68" s="54" t="s">
        <v>67</v>
      </c>
      <c r="P68" s="60">
        <v>1.5</v>
      </c>
      <c r="Q68" s="56" t="e">
        <f>(R68/R72)*1</f>
        <v>#DIV/0!</v>
      </c>
      <c r="R68" s="23">
        <f>SUMIFS(X12:X57,R12:R57,1.5)</f>
        <v>0</v>
      </c>
      <c r="S68" s="156"/>
      <c r="T68" s="157"/>
      <c r="W68" s="231"/>
      <c r="X68" s="232"/>
      <c r="Y68" s="232"/>
      <c r="Z68" s="232"/>
      <c r="AA68" s="233"/>
      <c r="AC68" s="38"/>
    </row>
    <row r="69" spans="1:29" ht="10.35" customHeight="1" x14ac:dyDescent="0.25">
      <c r="A69" s="54" t="s">
        <v>68</v>
      </c>
      <c r="B69" s="55">
        <v>1</v>
      </c>
      <c r="C69" s="61" t="e">
        <f>(D69/D72)*1</f>
        <v>#DIV/0!</v>
      </c>
      <c r="D69" s="62">
        <f>SUMIFS(J12:J57,D12:D57,1)+R69</f>
        <v>0</v>
      </c>
      <c r="E69" s="156"/>
      <c r="F69" s="157"/>
      <c r="G69" s="51"/>
      <c r="H69" s="58"/>
      <c r="I69" s="94">
        <f>SUMIFS(J11:J57,K11:K57,H69)+SUMIFS(X10:X57,Y10:Y57,H69)</f>
        <v>0</v>
      </c>
      <c r="J69" s="59" t="e">
        <f>I69/E59*1</f>
        <v>#VALUE!</v>
      </c>
      <c r="K69" s="148"/>
      <c r="L69" s="149"/>
      <c r="M69" s="149"/>
      <c r="N69" s="150"/>
      <c r="O69" s="54" t="s">
        <v>68</v>
      </c>
      <c r="P69" s="63">
        <v>1</v>
      </c>
      <c r="Q69" s="61" t="e">
        <f>(R69/R72)*1</f>
        <v>#DIV/0!</v>
      </c>
      <c r="R69" s="64">
        <f>SUMIFS(X12:X57,R12:R57,1)</f>
        <v>0</v>
      </c>
      <c r="S69" s="156"/>
      <c r="T69" s="157"/>
      <c r="V69" s="65"/>
      <c r="W69" s="231"/>
      <c r="X69" s="232"/>
      <c r="Y69" s="232"/>
      <c r="Z69" s="232"/>
      <c r="AA69" s="233"/>
    </row>
    <row r="70" spans="1:29" ht="10.35" customHeight="1" thickBot="1" x14ac:dyDescent="0.3">
      <c r="A70" s="54" t="s">
        <v>65</v>
      </c>
      <c r="B70" s="55">
        <v>0.875</v>
      </c>
      <c r="C70" s="56" t="e">
        <f>(D70/D72)*1</f>
        <v>#DIV/0!</v>
      </c>
      <c r="D70" s="57">
        <f>SUMIFS(J12:J57,D12:D57,7/8)+R70</f>
        <v>0</v>
      </c>
      <c r="E70" s="156"/>
      <c r="F70" s="157"/>
      <c r="G70" s="51"/>
      <c r="H70" s="58"/>
      <c r="I70" s="94">
        <f>SUMIFS(J11:J57,K11:K57,H70)+SUMIFS(X10:X57,Y10:Y57,H70)</f>
        <v>0</v>
      </c>
      <c r="J70" s="59" t="e">
        <f>I70/E59*1</f>
        <v>#VALUE!</v>
      </c>
      <c r="K70" s="151"/>
      <c r="L70" s="152"/>
      <c r="M70" s="152"/>
      <c r="N70" s="153"/>
      <c r="O70" s="54" t="s">
        <v>65</v>
      </c>
      <c r="P70" s="60">
        <v>0.875</v>
      </c>
      <c r="Q70" s="56" t="e">
        <f>(R70/R72)*1</f>
        <v>#DIV/0!</v>
      </c>
      <c r="R70" s="23">
        <f>SUMIFS(X11:X57,R11:R57,7/8)</f>
        <v>0</v>
      </c>
      <c r="S70" s="156"/>
      <c r="T70" s="157"/>
      <c r="V70" s="65"/>
      <c r="W70" s="231"/>
      <c r="X70" s="232"/>
      <c r="Y70" s="232"/>
      <c r="Z70" s="232"/>
      <c r="AA70" s="233"/>
    </row>
    <row r="71" spans="1:29" ht="10.35" customHeight="1" thickBot="1" x14ac:dyDescent="0.3">
      <c r="A71" s="54" t="s">
        <v>51</v>
      </c>
      <c r="B71" s="55">
        <v>0.75</v>
      </c>
      <c r="C71" s="56" t="e">
        <f>(D71/D72)*1</f>
        <v>#DIV/0!</v>
      </c>
      <c r="D71" s="66">
        <f>SUMIFS(J12:J57,D12:D57,3/4)+R71</f>
        <v>0</v>
      </c>
      <c r="E71" s="158"/>
      <c r="F71" s="159"/>
      <c r="G71" s="51"/>
      <c r="H71" s="58"/>
      <c r="I71" s="94">
        <f>SUMIFS(J11:J57,K11:K57,H71)+SUMIFS(X10:X57,Y10:Y57,H71)</f>
        <v>0</v>
      </c>
      <c r="J71" s="59" t="e">
        <f>I71/E59*1</f>
        <v>#VALUE!</v>
      </c>
      <c r="K71" s="67" t="s">
        <v>12</v>
      </c>
      <c r="L71" s="68">
        <f>SUMIFS(J12:J57,M12:M57,K71)+SUMIFS(X12:X57,AA12:AA57,K71)</f>
        <v>0</v>
      </c>
      <c r="M71" s="69" t="s">
        <v>69</v>
      </c>
      <c r="N71" s="70">
        <f>SUMIFS(J12:J57,L12:L57,M71)+SUMIFS(X12:X57,Z12:Z57,M71)</f>
        <v>0</v>
      </c>
      <c r="O71" s="54" t="s">
        <v>51</v>
      </c>
      <c r="P71" s="71">
        <v>0.75</v>
      </c>
      <c r="Q71" s="56" t="e">
        <f>(R71/R72)*1</f>
        <v>#DIV/0!</v>
      </c>
      <c r="R71" s="23">
        <f>SUMIFS(X12:X57,R12:R57,3/4)</f>
        <v>0</v>
      </c>
      <c r="S71" s="160"/>
      <c r="T71" s="161"/>
      <c r="V71" s="65"/>
      <c r="W71" s="225"/>
      <c r="X71" s="226"/>
      <c r="Y71" s="226"/>
      <c r="Z71" s="226"/>
      <c r="AA71" s="227"/>
    </row>
    <row r="72" spans="1:29" ht="10.35" customHeight="1" thickBot="1" x14ac:dyDescent="0.3">
      <c r="A72" s="1"/>
      <c r="B72" s="249" t="s">
        <v>2</v>
      </c>
      <c r="C72" s="106" t="e">
        <f>SUM(C64:C71)</f>
        <v>#DIV/0!</v>
      </c>
      <c r="D72" s="251">
        <f>SUM(D64:D71)</f>
        <v>0</v>
      </c>
      <c r="E72" s="252"/>
      <c r="F72" s="253"/>
      <c r="G72" s="51"/>
      <c r="H72" s="58"/>
      <c r="I72" s="94">
        <f>SUMIFS(J11:J57,K11:K57,H72)+SUMIFS(X10:X57,Y10:Y57,H72)</f>
        <v>0</v>
      </c>
      <c r="J72" s="59" t="e">
        <f>I72/E59*1</f>
        <v>#VALUE!</v>
      </c>
      <c r="K72" s="257"/>
      <c r="L72" s="258"/>
      <c r="M72" s="72" t="s">
        <v>51</v>
      </c>
      <c r="N72" s="95" t="e">
        <f>SUMIFS(J12:J57,L12:L57,M72)+SUMIFS(X12:X57,Z12:Z57,M72)</f>
        <v>#VALUE!</v>
      </c>
      <c r="O72" s="1"/>
      <c r="P72" s="259" t="s">
        <v>2</v>
      </c>
      <c r="Q72" s="106" t="e">
        <f>SUM(Q64:Q71)</f>
        <v>#DIV/0!</v>
      </c>
      <c r="R72" s="108">
        <f>SUM(R64:R71)</f>
        <v>0</v>
      </c>
      <c r="S72" s="110"/>
      <c r="T72" s="111"/>
      <c r="W72" s="228"/>
      <c r="X72" s="229"/>
      <c r="Y72" s="229"/>
      <c r="Z72" s="229"/>
      <c r="AA72" s="230"/>
    </row>
    <row r="73" spans="1:29" ht="10.35" customHeight="1" thickBot="1" x14ac:dyDescent="0.3">
      <c r="A73" s="1"/>
      <c r="B73" s="250"/>
      <c r="C73" s="107"/>
      <c r="D73" s="254"/>
      <c r="E73" s="255"/>
      <c r="F73" s="256"/>
      <c r="G73" s="51"/>
      <c r="H73" s="58"/>
      <c r="I73" s="94">
        <f>SUMIFS(J11:J57,K11:K57,H73)+SUMIFS(X10:X57,Y10:Y57,H73)</f>
        <v>0</v>
      </c>
      <c r="J73" s="59" t="e">
        <f>I73/E59*1</f>
        <v>#VALUE!</v>
      </c>
      <c r="K73" s="73" t="s">
        <v>25</v>
      </c>
      <c r="L73" s="74">
        <f>SUMIFS(J12:J57,N12:N57,K73)+SUMIFS(X12:X57,AB12:AB57,K73)</f>
        <v>0</v>
      </c>
      <c r="M73" s="75" t="s">
        <v>70</v>
      </c>
      <c r="N73" s="76">
        <f>SUMIFS(J12:J57,L12:L57,M73)+SUMIFS(X12:X57,Z12:Z57,M73)</f>
        <v>0</v>
      </c>
      <c r="O73" s="1"/>
      <c r="P73" s="260"/>
      <c r="Q73" s="107"/>
      <c r="R73" s="109"/>
      <c r="S73" s="112"/>
      <c r="T73" s="113"/>
      <c r="Y73" s="4"/>
    </row>
    <row r="74" spans="1:29" ht="10.35" customHeight="1" thickBot="1" x14ac:dyDescent="0.3">
      <c r="A74" s="1"/>
      <c r="B74" s="114" t="s">
        <v>71</v>
      </c>
      <c r="C74" s="115"/>
      <c r="D74" s="116">
        <f>H7</f>
        <v>0</v>
      </c>
      <c r="E74" s="117"/>
      <c r="F74" s="118"/>
      <c r="G74" s="51"/>
      <c r="H74" s="58"/>
      <c r="I74" s="94">
        <f>SUMIFS(J11:J57,K11:K57,H74)+SUMIFS(X10:X57,Y10:Y57,H74)</f>
        <v>0</v>
      </c>
      <c r="J74" s="59" t="e">
        <f>I74/E59*1</f>
        <v>#VALUE!</v>
      </c>
      <c r="K74" s="77" t="s">
        <v>30</v>
      </c>
      <c r="L74" s="78" t="e">
        <f>SUM(K60-L73)</f>
        <v>#VALUE!</v>
      </c>
      <c r="M74" s="119" t="s">
        <v>2</v>
      </c>
      <c r="N74" s="121" t="e">
        <f>SUM(N71:N73)</f>
        <v>#VALUE!</v>
      </c>
      <c r="O74" s="1"/>
      <c r="Y74" s="4"/>
    </row>
    <row r="75" spans="1:29" ht="10.35" customHeight="1" x14ac:dyDescent="0.25">
      <c r="A75" s="1"/>
      <c r="B75" s="129" t="s">
        <v>72</v>
      </c>
      <c r="C75" s="130"/>
      <c r="D75" s="131">
        <f>A12</f>
        <v>0</v>
      </c>
      <c r="E75" s="132"/>
      <c r="F75" s="133"/>
      <c r="G75" s="51"/>
      <c r="H75" s="58"/>
      <c r="I75" s="96">
        <f>SUMIFS(J11:J57,K11:K57,H75)+SUMIFS(X10:X57,Y10:Y57,H75)</f>
        <v>0</v>
      </c>
      <c r="J75" s="59" t="e">
        <f>I75/E59*1</f>
        <v>#VALUE!</v>
      </c>
      <c r="K75" s="123" t="s">
        <v>73</v>
      </c>
      <c r="L75" s="125" t="e">
        <f>SUM(L73:L74)</f>
        <v>#VALUE!</v>
      </c>
      <c r="M75" s="120"/>
      <c r="N75" s="122"/>
      <c r="O75" s="1"/>
      <c r="S75" s="79"/>
      <c r="T75" s="79"/>
      <c r="U75" s="79"/>
      <c r="V75" s="79"/>
      <c r="W75" s="80"/>
      <c r="X75" s="81"/>
      <c r="Y75" s="4"/>
      <c r="AA75" s="79"/>
      <c r="AB75" s="79"/>
    </row>
    <row r="76" spans="1:29" ht="10.35" customHeight="1" thickBot="1" x14ac:dyDescent="0.3">
      <c r="A76" s="1"/>
      <c r="B76" s="134" t="s">
        <v>74</v>
      </c>
      <c r="C76" s="135"/>
      <c r="D76" s="136">
        <f>M9</f>
        <v>0</v>
      </c>
      <c r="E76" s="137"/>
      <c r="F76" s="138"/>
      <c r="G76" s="51"/>
      <c r="H76" s="58"/>
      <c r="I76" s="94">
        <f>SUMIFS(J11:J57,K11:K57,H76)+SUMIFS(X10:X57,Y10:Y57,H76)</f>
        <v>0</v>
      </c>
      <c r="J76" s="59" t="e">
        <f>I76/E59*1</f>
        <v>#VALUE!</v>
      </c>
      <c r="K76" s="124"/>
      <c r="L76" s="126"/>
      <c r="M76" s="127" t="e">
        <f>IF(L75=N74,"APROBACION")</f>
        <v>#VALUE!</v>
      </c>
      <c r="N76" s="128"/>
      <c r="Y76" s="4"/>
      <c r="AA76" s="79"/>
      <c r="AB76" s="79"/>
      <c r="AC76" s="79"/>
    </row>
    <row r="77" spans="1:29" ht="10.35" customHeight="1" x14ac:dyDescent="0.25">
      <c r="A77" s="1"/>
      <c r="B77" s="82"/>
      <c r="G77" s="51"/>
      <c r="H77" s="83"/>
      <c r="I77" s="96">
        <f>SUMIFS(J11:J57,K11:K57,H77)+SUMIFS(X10:X57,Y10:Y57,H77)</f>
        <v>0</v>
      </c>
      <c r="J77" s="59" t="e">
        <f>I77/E59*1</f>
        <v>#VALUE!</v>
      </c>
      <c r="O77" s="1"/>
      <c r="P77" s="87" t="s">
        <v>76</v>
      </c>
      <c r="Q77" s="89"/>
      <c r="R77" s="87"/>
      <c r="S77" s="3"/>
      <c r="T77" s="3"/>
      <c r="U77" s="3"/>
      <c r="V77" s="3"/>
      <c r="W77" s="87" t="s">
        <v>77</v>
      </c>
      <c r="X77" s="88"/>
    </row>
    <row r="78" spans="1:29" ht="10.35" customHeight="1" thickBot="1" x14ac:dyDescent="0.3">
      <c r="A78" s="1"/>
      <c r="G78" s="51"/>
      <c r="H78" s="83"/>
      <c r="I78" s="96">
        <f>SUMIFS(J11:J57,K11:K57,H78)+SUMIFS(X10:X57,Y10:Y57,H78)</f>
        <v>0</v>
      </c>
      <c r="J78" s="84" t="e">
        <f>I78/E59*1</f>
        <v>#VALUE!</v>
      </c>
      <c r="O78" s="1"/>
      <c r="P78" s="89" t="s">
        <v>78</v>
      </c>
      <c r="Q78" s="3"/>
      <c r="R78" s="3"/>
      <c r="S78" s="3"/>
      <c r="T78" s="3"/>
      <c r="U78" s="3"/>
      <c r="V78" s="3"/>
      <c r="W78" s="89" t="s">
        <v>79</v>
      </c>
      <c r="X78" s="90"/>
      <c r="AC78" s="79"/>
    </row>
    <row r="79" spans="1:29" ht="10.35" customHeight="1" thickBot="1" x14ac:dyDescent="0.3">
      <c r="A79" s="1"/>
      <c r="G79" s="104" t="s">
        <v>75</v>
      </c>
      <c r="H79" s="105"/>
      <c r="I79" s="85">
        <f>SUM(I63:I78)</f>
        <v>0</v>
      </c>
      <c r="J79" s="86" t="e">
        <f>SUM(J63:J78)</f>
        <v>#VALUE!</v>
      </c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 s="79"/>
    </row>
    <row r="80" spans="1:29" ht="10.35" customHeight="1" x14ac:dyDescent="0.25">
      <c r="B80" s="87" t="s">
        <v>76</v>
      </c>
      <c r="C80" s="87"/>
      <c r="D80" s="3"/>
      <c r="L80" s="87" t="s">
        <v>77</v>
      </c>
      <c r="M80" s="88"/>
      <c r="AC80" s="79"/>
    </row>
    <row r="81" spans="1:14" ht="10.35" customHeight="1" x14ac:dyDescent="0.25">
      <c r="B81" s="89" t="s">
        <v>78</v>
      </c>
      <c r="C81" s="89"/>
      <c r="D81" s="87"/>
      <c r="L81" s="89" t="s">
        <v>79</v>
      </c>
      <c r="M81" s="90"/>
    </row>
    <row r="82" spans="1:14" ht="10.35" customHeight="1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</row>
  </sheetData>
  <sheetProtection selectLockedCells="1"/>
  <mergeCells count="88">
    <mergeCell ref="B2:D2"/>
    <mergeCell ref="E2:J3"/>
    <mergeCell ref="K2:N5"/>
    <mergeCell ref="C3:D3"/>
    <mergeCell ref="P2:U9"/>
    <mergeCell ref="C4:D5"/>
    <mergeCell ref="E4:J5"/>
    <mergeCell ref="B6:C6"/>
    <mergeCell ref="E6:G6"/>
    <mergeCell ref="H6:J6"/>
    <mergeCell ref="K6:N7"/>
    <mergeCell ref="B7:C7"/>
    <mergeCell ref="M8:N8"/>
    <mergeCell ref="B9:C9"/>
    <mergeCell ref="H9:J10"/>
    <mergeCell ref="K9:K10"/>
    <mergeCell ref="B10:C10"/>
    <mergeCell ref="H7:J8"/>
    <mergeCell ref="B8:C8"/>
    <mergeCell ref="E8:E9"/>
    <mergeCell ref="F8:F9"/>
    <mergeCell ref="G8:G9"/>
    <mergeCell ref="W72:AA72"/>
    <mergeCell ref="W70:AA70"/>
    <mergeCell ref="B63:F63"/>
    <mergeCell ref="P63:T63"/>
    <mergeCell ref="W63:AA63"/>
    <mergeCell ref="W64:AA64"/>
    <mergeCell ref="W65:AA65"/>
    <mergeCell ref="W66:AA66"/>
    <mergeCell ref="W67:AA67"/>
    <mergeCell ref="W68:AA68"/>
    <mergeCell ref="W69:AA69"/>
    <mergeCell ref="B72:B73"/>
    <mergeCell ref="C72:C73"/>
    <mergeCell ref="D72:F73"/>
    <mergeCell ref="K72:L72"/>
    <mergeCell ref="P72:P73"/>
    <mergeCell ref="Y10:AB10"/>
    <mergeCell ref="Y6:AB9"/>
    <mergeCell ref="Y5:AB5"/>
    <mergeCell ref="Y2:AB4"/>
    <mergeCell ref="W71:AA71"/>
    <mergeCell ref="S10:W10"/>
    <mergeCell ref="V2:X9"/>
    <mergeCell ref="V58:V59"/>
    <mergeCell ref="W58:X59"/>
    <mergeCell ref="E59:F60"/>
    <mergeCell ref="S59:T60"/>
    <mergeCell ref="H60:J61"/>
    <mergeCell ref="K60:M61"/>
    <mergeCell ref="N60:N61"/>
    <mergeCell ref="E61:F61"/>
    <mergeCell ref="S61:T61"/>
    <mergeCell ref="E58:F58"/>
    <mergeCell ref="H58:H59"/>
    <mergeCell ref="I58:J59"/>
    <mergeCell ref="K58:L59"/>
    <mergeCell ref="M58:N59"/>
    <mergeCell ref="W62:AA62"/>
    <mergeCell ref="K63:N70"/>
    <mergeCell ref="E64:F71"/>
    <mergeCell ref="S64:T71"/>
    <mergeCell ref="B62:F62"/>
    <mergeCell ref="B74:C74"/>
    <mergeCell ref="D74:F74"/>
    <mergeCell ref="M74:M75"/>
    <mergeCell ref="N74:N75"/>
    <mergeCell ref="K75:K76"/>
    <mergeCell ref="L75:L76"/>
    <mergeCell ref="M76:N76"/>
    <mergeCell ref="B75:C75"/>
    <mergeCell ref="D75:F75"/>
    <mergeCell ref="B76:C76"/>
    <mergeCell ref="D76:F76"/>
    <mergeCell ref="K1:N1"/>
    <mergeCell ref="G79:H79"/>
    <mergeCell ref="Q72:Q73"/>
    <mergeCell ref="R72:R73"/>
    <mergeCell ref="S72:T73"/>
    <mergeCell ref="K62:N62"/>
    <mergeCell ref="P62:T62"/>
    <mergeCell ref="S58:T58"/>
    <mergeCell ref="R10:R11"/>
    <mergeCell ref="M9:N10"/>
    <mergeCell ref="O10:O11"/>
    <mergeCell ref="E11:I11"/>
    <mergeCell ref="Q10:Q11"/>
  </mergeCells>
  <conditionalFormatting sqref="AC39:AC58">
    <cfRule type="cellIs" dxfId="375" priority="687" operator="equal">
      <formula>"AZUL"</formula>
    </cfRule>
    <cfRule type="cellIs" dxfId="374" priority="688" operator="equal">
      <formula>"RECUP"</formula>
    </cfRule>
    <cfRule type="cellIs" dxfId="373" priority="689" operator="equal">
      <formula>"RAMAS"</formula>
    </cfRule>
    <cfRule type="cellIs" dxfId="372" priority="690" operator="equal">
      <formula>"PESADA"</formula>
    </cfRule>
  </conditionalFormatting>
  <conditionalFormatting sqref="AC39:AC58">
    <cfRule type="cellIs" dxfId="371" priority="686" operator="equal">
      <formula>"CORT"</formula>
    </cfRule>
  </conditionalFormatting>
  <conditionalFormatting sqref="AC14:AC30 AC33:AC35">
    <cfRule type="cellIs" dxfId="370" priority="576" operator="equal">
      <formula>"AZUL"</formula>
    </cfRule>
    <cfRule type="cellIs" dxfId="369" priority="577" operator="equal">
      <formula>"RECUP"</formula>
    </cfRule>
    <cfRule type="cellIs" dxfId="368" priority="578" operator="equal">
      <formula>"RAMAS"</formula>
    </cfRule>
    <cfRule type="cellIs" dxfId="367" priority="579" operator="equal">
      <formula>"PESADA"</formula>
    </cfRule>
  </conditionalFormatting>
  <conditionalFormatting sqref="AC14:AC30 AC33:AC35">
    <cfRule type="cellIs" dxfId="366" priority="575" operator="equal">
      <formula>"CORT"</formula>
    </cfRule>
  </conditionalFormatting>
  <conditionalFormatting sqref="AC31:AC32">
    <cfRule type="cellIs" dxfId="365" priority="545" operator="equal">
      <formula>"AZUL"</formula>
    </cfRule>
    <cfRule type="cellIs" dxfId="364" priority="546" operator="equal">
      <formula>"RECUP"</formula>
    </cfRule>
    <cfRule type="cellIs" dxfId="363" priority="547" operator="equal">
      <formula>"RAMAS"</formula>
    </cfRule>
    <cfRule type="cellIs" dxfId="362" priority="548" operator="equal">
      <formula>"PESADA"</formula>
    </cfRule>
  </conditionalFormatting>
  <conditionalFormatting sqref="AC31:AC32">
    <cfRule type="cellIs" dxfId="361" priority="544" operator="equal">
      <formula>"CORT"</formula>
    </cfRule>
  </conditionalFormatting>
  <conditionalFormatting sqref="AC36:AC38">
    <cfRule type="cellIs" dxfId="360" priority="512" operator="equal">
      <formula>"AZUL"</formula>
    </cfRule>
    <cfRule type="cellIs" dxfId="359" priority="513" operator="equal">
      <formula>"RECUP"</formula>
    </cfRule>
    <cfRule type="cellIs" dxfId="358" priority="514" operator="equal">
      <formula>"RAMAS"</formula>
    </cfRule>
    <cfRule type="cellIs" dxfId="357" priority="515" operator="equal">
      <formula>"PESADA"</formula>
    </cfRule>
  </conditionalFormatting>
  <conditionalFormatting sqref="AC36:AC38">
    <cfRule type="cellIs" dxfId="356" priority="511" operator="equal">
      <formula>"CORT"</formula>
    </cfRule>
  </conditionalFormatting>
  <conditionalFormatting sqref="AB12:AB28">
    <cfRule type="cellIs" dxfId="355" priority="165" operator="equal">
      <formula>"AZUL"</formula>
    </cfRule>
    <cfRule type="cellIs" dxfId="354" priority="166" operator="equal">
      <formula>"RECUP"</formula>
    </cfRule>
    <cfRule type="cellIs" dxfId="353" priority="167" operator="equal">
      <formula>"RAMAS"</formula>
    </cfRule>
    <cfRule type="cellIs" dxfId="352" priority="168" operator="equal">
      <formula>"PESADA"</formula>
    </cfRule>
  </conditionalFormatting>
  <conditionalFormatting sqref="AB12:AB28">
    <cfRule type="cellIs" dxfId="351" priority="164" operator="equal">
      <formula>"CORT"</formula>
    </cfRule>
  </conditionalFormatting>
  <conditionalFormatting sqref="Q12:Q17">
    <cfRule type="cellIs" dxfId="350" priority="160" operator="equal">
      <formula>24</formula>
    </cfRule>
    <cfRule type="cellIs" dxfId="349" priority="161" operator="equal">
      <formula>36</formula>
    </cfRule>
    <cfRule type="cellIs" dxfId="348" priority="162" operator="equal">
      <formula>39</formula>
    </cfRule>
    <cfRule type="cellIs" dxfId="347" priority="163" operator="equal">
      <formula>42</formula>
    </cfRule>
  </conditionalFormatting>
  <conditionalFormatting sqref="X12:X53">
    <cfRule type="cellIs" dxfId="346" priority="158" operator="lessThan">
      <formula>0</formula>
    </cfRule>
  </conditionalFormatting>
  <conditionalFormatting sqref="X12:X53">
    <cfRule type="cellIs" dxfId="345" priority="159" operator="equal">
      <formula>0</formula>
    </cfRule>
  </conditionalFormatting>
  <conditionalFormatting sqref="Z12:Z53">
    <cfRule type="cellIs" dxfId="344" priority="157" operator="equal">
      <formula>"P"</formula>
    </cfRule>
  </conditionalFormatting>
  <conditionalFormatting sqref="Z12:Z53">
    <cfRule type="cellIs" dxfId="343" priority="153" operator="equal">
      <formula>"P"</formula>
    </cfRule>
    <cfRule type="cellIs" dxfId="342" priority="154" operator="equal">
      <formula>"N"</formula>
    </cfRule>
    <cfRule type="cellIs" dxfId="341" priority="155" operator="equal">
      <formula>"N"</formula>
    </cfRule>
    <cfRule type="cellIs" dxfId="340" priority="156" operator="equal">
      <formula>"L"</formula>
    </cfRule>
  </conditionalFormatting>
  <conditionalFormatting sqref="X12:X53">
    <cfRule type="cellIs" dxfId="339" priority="152" operator="greaterThan">
      <formula>0</formula>
    </cfRule>
  </conditionalFormatting>
  <conditionalFormatting sqref="X12:X53">
    <cfRule type="cellIs" dxfId="338" priority="151" operator="equal">
      <formula>FALSE</formula>
    </cfRule>
  </conditionalFormatting>
  <conditionalFormatting sqref="AB37:AB53 AB55:AB57">
    <cfRule type="cellIs" dxfId="337" priority="147" operator="equal">
      <formula>"AZUL"</formula>
    </cfRule>
    <cfRule type="cellIs" dxfId="336" priority="148" operator="equal">
      <formula>"RECUP"</formula>
    </cfRule>
    <cfRule type="cellIs" dxfId="335" priority="149" operator="equal">
      <formula>"RAMAS"</formula>
    </cfRule>
    <cfRule type="cellIs" dxfId="334" priority="150" operator="equal">
      <formula>"PESADA"</formula>
    </cfRule>
  </conditionalFormatting>
  <conditionalFormatting sqref="AB37:AB53 AB55:AB57">
    <cfRule type="cellIs" dxfId="333" priority="146" operator="equal">
      <formula>"CORT"</formula>
    </cfRule>
  </conditionalFormatting>
  <conditionalFormatting sqref="Q57">
    <cfRule type="cellIs" dxfId="332" priority="126" operator="equal">
      <formula>24</formula>
    </cfRule>
    <cfRule type="cellIs" dxfId="331" priority="127" operator="equal">
      <formula>36</formula>
    </cfRule>
    <cfRule type="cellIs" dxfId="330" priority="128" operator="equal">
      <formula>39</formula>
    </cfRule>
    <cfRule type="cellIs" dxfId="329" priority="129" operator="equal">
      <formula>42</formula>
    </cfRule>
  </conditionalFormatting>
  <conditionalFormatting sqref="Q20:Q24 Q50:Q51">
    <cfRule type="cellIs" dxfId="328" priority="120" operator="equal">
      <formula>24</formula>
    </cfRule>
    <cfRule type="cellIs" dxfId="327" priority="121" operator="equal">
      <formula>36</formula>
    </cfRule>
    <cfRule type="cellIs" dxfId="326" priority="122" operator="equal">
      <formula>39</formula>
    </cfRule>
    <cfRule type="cellIs" dxfId="325" priority="123" operator="equal">
      <formula>42</formula>
    </cfRule>
  </conditionalFormatting>
  <conditionalFormatting sqref="Q52:Q53">
    <cfRule type="cellIs" dxfId="324" priority="116" operator="equal">
      <formula>24</formula>
    </cfRule>
    <cfRule type="cellIs" dxfId="323" priority="117" operator="equal">
      <formula>36</formula>
    </cfRule>
    <cfRule type="cellIs" dxfId="322" priority="118" operator="equal">
      <formula>39</formula>
    </cfRule>
    <cfRule type="cellIs" dxfId="321" priority="119" operator="equal">
      <formula>42</formula>
    </cfRule>
  </conditionalFormatting>
  <conditionalFormatting sqref="Q43:Q44">
    <cfRule type="cellIs" dxfId="320" priority="108" operator="equal">
      <formula>24</formula>
    </cfRule>
    <cfRule type="cellIs" dxfId="319" priority="109" operator="equal">
      <formula>36</formula>
    </cfRule>
    <cfRule type="cellIs" dxfId="318" priority="110" operator="equal">
      <formula>39</formula>
    </cfRule>
    <cfRule type="cellIs" dxfId="317" priority="111" operator="equal">
      <formula>42</formula>
    </cfRule>
  </conditionalFormatting>
  <conditionalFormatting sqref="Q45:Q49">
    <cfRule type="cellIs" dxfId="316" priority="98" operator="equal">
      <formula>24</formula>
    </cfRule>
    <cfRule type="cellIs" dxfId="315" priority="99" operator="equal">
      <formula>36</formula>
    </cfRule>
    <cfRule type="cellIs" dxfId="314" priority="100" operator="equal">
      <formula>39</formula>
    </cfRule>
    <cfRule type="cellIs" dxfId="313" priority="101" operator="equal">
      <formula>42</formula>
    </cfRule>
  </conditionalFormatting>
  <conditionalFormatting sqref="Q26:Q28 Q31">
    <cfRule type="cellIs" dxfId="312" priority="94" operator="equal">
      <formula>24</formula>
    </cfRule>
    <cfRule type="cellIs" dxfId="311" priority="95" operator="equal">
      <formula>36</formula>
    </cfRule>
    <cfRule type="cellIs" dxfId="310" priority="96" operator="equal">
      <formula>39</formula>
    </cfRule>
    <cfRule type="cellIs" dxfId="309" priority="97" operator="equal">
      <formula>42</formula>
    </cfRule>
  </conditionalFormatting>
  <conditionalFormatting sqref="Q32">
    <cfRule type="cellIs" dxfId="308" priority="80" operator="equal">
      <formula>24</formula>
    </cfRule>
    <cfRule type="cellIs" dxfId="307" priority="81" operator="equal">
      <formula>36</formula>
    </cfRule>
    <cfRule type="cellIs" dxfId="306" priority="82" operator="equal">
      <formula>39</formula>
    </cfRule>
    <cfRule type="cellIs" dxfId="305" priority="83" operator="equal">
      <formula>42</formula>
    </cfRule>
  </conditionalFormatting>
  <conditionalFormatting sqref="Q33">
    <cfRule type="cellIs" dxfId="304" priority="76" operator="equal">
      <formula>24</formula>
    </cfRule>
    <cfRule type="cellIs" dxfId="303" priority="77" operator="equal">
      <formula>36</formula>
    </cfRule>
    <cfRule type="cellIs" dxfId="302" priority="78" operator="equal">
      <formula>39</formula>
    </cfRule>
    <cfRule type="cellIs" dxfId="301" priority="79" operator="equal">
      <formula>42</formula>
    </cfRule>
  </conditionalFormatting>
  <conditionalFormatting sqref="Q37">
    <cfRule type="cellIs" dxfId="300" priority="72" operator="equal">
      <formula>24</formula>
    </cfRule>
    <cfRule type="cellIs" dxfId="299" priority="73" operator="equal">
      <formula>36</formula>
    </cfRule>
    <cfRule type="cellIs" dxfId="298" priority="74" operator="equal">
      <formula>39</formula>
    </cfRule>
    <cfRule type="cellIs" dxfId="297" priority="75" operator="equal">
      <formula>42</formula>
    </cfRule>
  </conditionalFormatting>
  <conditionalFormatting sqref="Q29">
    <cfRule type="cellIs" dxfId="296" priority="58" operator="equal">
      <formula>24</formula>
    </cfRule>
    <cfRule type="cellIs" dxfId="295" priority="59" operator="equal">
      <formula>36</formula>
    </cfRule>
    <cfRule type="cellIs" dxfId="294" priority="60" operator="equal">
      <formula>39</formula>
    </cfRule>
    <cfRule type="cellIs" dxfId="293" priority="61" operator="equal">
      <formula>42</formula>
    </cfRule>
  </conditionalFormatting>
  <conditionalFormatting sqref="Q30">
    <cfRule type="cellIs" dxfId="292" priority="54" operator="equal">
      <formula>24</formula>
    </cfRule>
    <cfRule type="cellIs" dxfId="291" priority="55" operator="equal">
      <formula>36</formula>
    </cfRule>
    <cfRule type="cellIs" dxfId="290" priority="56" operator="equal">
      <formula>39</formula>
    </cfRule>
    <cfRule type="cellIs" dxfId="289" priority="57" operator="equal">
      <formula>42</formula>
    </cfRule>
  </conditionalFormatting>
  <conditionalFormatting sqref="AB29:AB30">
    <cfRule type="cellIs" dxfId="288" priority="50" operator="equal">
      <formula>"AZUL"</formula>
    </cfRule>
    <cfRule type="cellIs" dxfId="287" priority="51" operator="equal">
      <formula>"RECUP"</formula>
    </cfRule>
    <cfRule type="cellIs" dxfId="286" priority="52" operator="equal">
      <formula>"RAMAS"</formula>
    </cfRule>
    <cfRule type="cellIs" dxfId="285" priority="53" operator="equal">
      <formula>"PESADA"</formula>
    </cfRule>
  </conditionalFormatting>
  <conditionalFormatting sqref="AB29:AB30">
    <cfRule type="cellIs" dxfId="284" priority="49" operator="equal">
      <formula>"CORT"</formula>
    </cfRule>
  </conditionalFormatting>
  <conditionalFormatting sqref="Q34">
    <cfRule type="cellIs" dxfId="283" priority="45" operator="equal">
      <formula>24</formula>
    </cfRule>
    <cfRule type="cellIs" dxfId="282" priority="46" operator="equal">
      <formula>36</formula>
    </cfRule>
    <cfRule type="cellIs" dxfId="281" priority="47" operator="equal">
      <formula>39</formula>
    </cfRule>
    <cfRule type="cellIs" dxfId="280" priority="48" operator="equal">
      <formula>42</formula>
    </cfRule>
  </conditionalFormatting>
  <conditionalFormatting sqref="Q35">
    <cfRule type="cellIs" dxfId="279" priority="41" operator="equal">
      <formula>24</formula>
    </cfRule>
    <cfRule type="cellIs" dxfId="278" priority="42" operator="equal">
      <formula>36</formula>
    </cfRule>
    <cfRule type="cellIs" dxfId="277" priority="43" operator="equal">
      <formula>39</formula>
    </cfRule>
    <cfRule type="cellIs" dxfId="276" priority="44" operator="equal">
      <formula>42</formula>
    </cfRule>
  </conditionalFormatting>
  <conditionalFormatting sqref="Q36">
    <cfRule type="cellIs" dxfId="275" priority="37" operator="equal">
      <formula>24</formula>
    </cfRule>
    <cfRule type="cellIs" dxfId="274" priority="38" operator="equal">
      <formula>36</formula>
    </cfRule>
    <cfRule type="cellIs" dxfId="273" priority="39" operator="equal">
      <formula>39</formula>
    </cfRule>
    <cfRule type="cellIs" dxfId="272" priority="40" operator="equal">
      <formula>42</formula>
    </cfRule>
  </conditionalFormatting>
  <conditionalFormatting sqref="AB34:AB36">
    <cfRule type="cellIs" dxfId="271" priority="33" operator="equal">
      <formula>"AZUL"</formula>
    </cfRule>
    <cfRule type="cellIs" dxfId="270" priority="34" operator="equal">
      <formula>"RECUP"</formula>
    </cfRule>
    <cfRule type="cellIs" dxfId="269" priority="35" operator="equal">
      <formula>"RAMAS"</formula>
    </cfRule>
    <cfRule type="cellIs" dxfId="268" priority="36" operator="equal">
      <formula>"PESADA"</formula>
    </cfRule>
  </conditionalFormatting>
  <conditionalFormatting sqref="AB34:AB36">
    <cfRule type="cellIs" dxfId="267" priority="32" operator="equal">
      <formula>"CORT"</formula>
    </cfRule>
  </conditionalFormatting>
  <conditionalFormatting sqref="V30:V31 V34:V35 V38:V39 V42:V43 V46:V47 V50:V51 V55:V56 V12:V13 V18:V19 V24:V25 V16 V22 V28">
    <cfRule type="cellIs" dxfId="266" priority="23" operator="greaterThan">
      <formula>115</formula>
    </cfRule>
    <cfRule type="cellIs" dxfId="265" priority="24" operator="lessThan">
      <formula>115</formula>
    </cfRule>
  </conditionalFormatting>
  <conditionalFormatting sqref="AB54">
    <cfRule type="cellIs" dxfId="264" priority="17" operator="equal">
      <formula>"AZUL"</formula>
    </cfRule>
    <cfRule type="cellIs" dxfId="263" priority="18" operator="equal">
      <formula>"RECUP"</formula>
    </cfRule>
    <cfRule type="cellIs" dxfId="262" priority="19" operator="equal">
      <formula>"RAMAS"</formula>
    </cfRule>
    <cfRule type="cellIs" dxfId="261" priority="20" operator="equal">
      <formula>"PESADA"</formula>
    </cfRule>
  </conditionalFormatting>
  <conditionalFormatting sqref="AB54">
    <cfRule type="cellIs" dxfId="260" priority="16" operator="equal">
      <formula>"CORT"</formula>
    </cfRule>
  </conditionalFormatting>
  <conditionalFormatting sqref="Q54">
    <cfRule type="cellIs" dxfId="259" priority="12" operator="equal">
      <formula>24</formula>
    </cfRule>
    <cfRule type="cellIs" dxfId="258" priority="13" operator="equal">
      <formula>36</formula>
    </cfRule>
    <cfRule type="cellIs" dxfId="257" priority="14" operator="equal">
      <formula>39</formula>
    </cfRule>
    <cfRule type="cellIs" dxfId="256" priority="15" operator="equal">
      <formula>42</formula>
    </cfRule>
  </conditionalFormatting>
  <conditionalFormatting sqref="X54">
    <cfRule type="cellIs" dxfId="255" priority="10" operator="lessThan">
      <formula>0</formula>
    </cfRule>
  </conditionalFormatting>
  <conditionalFormatting sqref="X54">
    <cfRule type="cellIs" dxfId="254" priority="11" operator="equal">
      <formula>0</formula>
    </cfRule>
  </conditionalFormatting>
  <conditionalFormatting sqref="Z54">
    <cfRule type="cellIs" dxfId="253" priority="9" operator="equal">
      <formula>"P"</formula>
    </cfRule>
  </conditionalFormatting>
  <conditionalFormatting sqref="Z54">
    <cfRule type="cellIs" dxfId="252" priority="5" operator="equal">
      <formula>"P"</formula>
    </cfRule>
    <cfRule type="cellIs" dxfId="251" priority="6" operator="equal">
      <formula>"N"</formula>
    </cfRule>
    <cfRule type="cellIs" dxfId="250" priority="7" operator="equal">
      <formula>"N"</formula>
    </cfRule>
    <cfRule type="cellIs" dxfId="249" priority="8" operator="equal">
      <formula>"L"</formula>
    </cfRule>
  </conditionalFormatting>
  <conditionalFormatting sqref="X54">
    <cfRule type="cellIs" dxfId="248" priority="4" operator="greaterThan">
      <formula>0</formula>
    </cfRule>
  </conditionalFormatting>
  <conditionalFormatting sqref="X54">
    <cfRule type="cellIs" dxfId="247" priority="3" operator="equal">
      <formula>FALSE</formula>
    </cfRule>
  </conditionalFormatting>
  <conditionalFormatting sqref="V54">
    <cfRule type="cellIs" dxfId="246" priority="1" operator="greaterThan">
      <formula>115</formula>
    </cfRule>
    <cfRule type="cellIs" dxfId="245" priority="2" operator="lessThan">
      <formula>115</formula>
    </cfRule>
  </conditionalFormatting>
  <conditionalFormatting sqref="Y6:Y9 AA6:AB9">
    <cfRule type="cellIs" dxfId="244" priority="142" operator="equal">
      <formula>0</formula>
    </cfRule>
    <cfRule type="cellIs" dxfId="243" priority="143" operator="greaterThan">
      <formula>0</formula>
    </cfRule>
    <cfRule type="cellIs" dxfId="242" priority="144" operator="equal">
      <formula>"SI"</formula>
    </cfRule>
    <cfRule type="cellIs" dxfId="241" priority="145" operator="equal">
      <formula>"NO"</formula>
    </cfRule>
  </conditionalFormatting>
  <conditionalFormatting sqref="E8:E9">
    <cfRule type="cellIs" dxfId="240" priority="141" operator="equal">
      <formula>"x"</formula>
    </cfRule>
  </conditionalFormatting>
  <conditionalFormatting sqref="F8:F9">
    <cfRule type="cellIs" dxfId="239" priority="140" operator="equal">
      <formula>"x"</formula>
    </cfRule>
  </conditionalFormatting>
  <conditionalFormatting sqref="G8:G9">
    <cfRule type="cellIs" dxfId="238" priority="139" operator="equal">
      <formula>"x"</formula>
    </cfRule>
  </conditionalFormatting>
  <conditionalFormatting sqref="Q18:Q19 Q55:Q56">
    <cfRule type="cellIs" dxfId="237" priority="135" operator="equal">
      <formula>24</formula>
    </cfRule>
    <cfRule type="cellIs" dxfId="236" priority="136" operator="equal">
      <formula>36</formula>
    </cfRule>
    <cfRule type="cellIs" dxfId="235" priority="137" operator="equal">
      <formula>39</formula>
    </cfRule>
    <cfRule type="cellIs" dxfId="234" priority="138" operator="equal">
      <formula>42</formula>
    </cfRule>
  </conditionalFormatting>
  <conditionalFormatting sqref="N12:N57">
    <cfRule type="cellIs" dxfId="233" priority="131" operator="equal">
      <formula>"AZUL"</formula>
    </cfRule>
    <cfRule type="cellIs" dxfId="232" priority="132" operator="equal">
      <formula>"RECUP"</formula>
    </cfRule>
    <cfRule type="cellIs" dxfId="231" priority="133" operator="equal">
      <formula>"RAMAS"</formula>
    </cfRule>
    <cfRule type="cellIs" dxfId="230" priority="134" operator="equal">
      <formula>"PESADA"</formula>
    </cfRule>
  </conditionalFormatting>
  <conditionalFormatting sqref="N12:N57">
    <cfRule type="cellIs" dxfId="229" priority="130" operator="equal">
      <formula>"CORT"</formula>
    </cfRule>
  </conditionalFormatting>
  <conditionalFormatting sqref="J12:J57 X55:X57">
    <cfRule type="cellIs" dxfId="228" priority="124" operator="lessThan">
      <formula>0</formula>
    </cfRule>
  </conditionalFormatting>
  <conditionalFormatting sqref="J12:J57 X55:X57">
    <cfRule type="cellIs" dxfId="227" priority="125" operator="equal">
      <formula>0</formula>
    </cfRule>
  </conditionalFormatting>
  <conditionalFormatting sqref="Q25 Q38:Q42">
    <cfRule type="cellIs" dxfId="226" priority="112" operator="equal">
      <formula>24</formula>
    </cfRule>
    <cfRule type="cellIs" dxfId="225" priority="113" operator="equal">
      <formula>36</formula>
    </cfRule>
    <cfRule type="cellIs" dxfId="224" priority="114" operator="equal">
      <formula>39</formula>
    </cfRule>
    <cfRule type="cellIs" dxfId="223" priority="115" operator="equal">
      <formula>42</formula>
    </cfRule>
  </conditionalFormatting>
  <conditionalFormatting sqref="C54 C14 C17 C20 C23 C26 C29 C32 C35 C38 C41 C44 C47 C50">
    <cfRule type="cellIs" dxfId="222" priority="102" operator="equal">
      <formula>24</formula>
    </cfRule>
    <cfRule type="cellIs" dxfId="221" priority="103" operator="equal">
      <formula>36</formula>
    </cfRule>
    <cfRule type="cellIs" dxfId="220" priority="104" operator="equal">
      <formula>39</formula>
    </cfRule>
    <cfRule type="cellIs" dxfId="219" priority="105" operator="equal">
      <formula>42</formula>
    </cfRule>
  </conditionalFormatting>
  <conditionalFormatting sqref="H30 H34 H38 H42 H46 H50 H54 H12 H18 H24 H16 H22 H28">
    <cfRule type="cellIs" dxfId="218" priority="106" operator="greaterThan">
      <formula>115</formula>
    </cfRule>
    <cfRule type="cellIs" dxfId="217" priority="107" operator="lessThan">
      <formula>115</formula>
    </cfRule>
  </conditionalFormatting>
  <conditionalFormatting sqref="C55:C57 C12:C13 C15:C16 C18:C19 C21:C22 C24:C25 C27:C28 C30:C31 C33:C34 C36:C37 C39:C40 C42:C43 C45:C46 C48:C49 C51:C53">
    <cfRule type="cellIs" dxfId="216" priority="84" operator="equal">
      <formula>24</formula>
    </cfRule>
    <cfRule type="cellIs" dxfId="215" priority="85" operator="equal">
      <formula>36</formula>
    </cfRule>
    <cfRule type="cellIs" dxfId="214" priority="86" operator="equal">
      <formula>39</formula>
    </cfRule>
    <cfRule type="cellIs" dxfId="213" priority="87" operator="equal">
      <formula>42</formula>
    </cfRule>
  </conditionalFormatting>
  <conditionalFormatting sqref="H33 H37 H41 H45 H49 H53 H57 H15 H21 H27">
    <cfRule type="cellIs" dxfId="212" priority="92" operator="greaterThan">
      <formula>115</formula>
    </cfRule>
    <cfRule type="cellIs" dxfId="211" priority="93" operator="lessThan">
      <formula>115</formula>
    </cfRule>
  </conditionalFormatting>
  <conditionalFormatting sqref="H31:H32 H35:H36 H39:H40 H43:H44 H47:H48 H51:H52 H55:H56 H13:H14 H19:H20 H25:H26 H17 H23 H29">
    <cfRule type="cellIs" dxfId="210" priority="90" operator="greaterThan">
      <formula>115</formula>
    </cfRule>
    <cfRule type="cellIs" dxfId="209" priority="91" operator="lessThan">
      <formula>115</formula>
    </cfRule>
  </conditionalFormatting>
  <conditionalFormatting sqref="I32 I36 I40 I44 I48 I52 I56 I14 I20 I26">
    <cfRule type="cellIs" dxfId="208" priority="89" operator="lessThan">
      <formula>0</formula>
    </cfRule>
  </conditionalFormatting>
  <conditionalFormatting sqref="I32 I36 I40 I44 I48 I52 I56 I14 I20 I26">
    <cfRule type="cellIs" dxfId="207" priority="88" operator="equal">
      <formula>0</formula>
    </cfRule>
  </conditionalFormatting>
  <conditionalFormatting sqref="AB31:AB33">
    <cfRule type="cellIs" dxfId="206" priority="68" operator="equal">
      <formula>"AZUL"</formula>
    </cfRule>
    <cfRule type="cellIs" dxfId="205" priority="69" operator="equal">
      <formula>"RECUP"</formula>
    </cfRule>
    <cfRule type="cellIs" dxfId="204" priority="70" operator="equal">
      <formula>"RAMAS"</formula>
    </cfRule>
    <cfRule type="cellIs" dxfId="203" priority="71" operator="equal">
      <formula>"PESADA"</formula>
    </cfRule>
  </conditionalFormatting>
  <conditionalFormatting sqref="AB31:AB33">
    <cfRule type="cellIs" dxfId="202" priority="67" operator="equal">
      <formula>"CORT"</formula>
    </cfRule>
  </conditionalFormatting>
  <conditionalFormatting sqref="L12:L57 Z55:Z57">
    <cfRule type="cellIs" dxfId="201" priority="66" operator="equal">
      <formula>"P"</formula>
    </cfRule>
  </conditionalFormatting>
  <conditionalFormatting sqref="L12:L57 Z55:Z57">
    <cfRule type="cellIs" dxfId="200" priority="62" operator="equal">
      <formula>"P"</formula>
    </cfRule>
    <cfRule type="cellIs" dxfId="199" priority="63" operator="equal">
      <formula>"N"</formula>
    </cfRule>
    <cfRule type="cellIs" dxfId="198" priority="64" operator="equal">
      <formula>"N"</formula>
    </cfRule>
    <cfRule type="cellIs" dxfId="197" priority="65" operator="equal">
      <formula>"L"</formula>
    </cfRule>
  </conditionalFormatting>
  <conditionalFormatting sqref="J12:J57 X55:X57">
    <cfRule type="cellIs" dxfId="196" priority="31" operator="greaterThan">
      <formula>0</formula>
    </cfRule>
  </conditionalFormatting>
  <conditionalFormatting sqref="J12:J57 X55:X57">
    <cfRule type="cellIs" dxfId="195" priority="30" operator="equal">
      <formula>FALSE</formula>
    </cfRule>
  </conditionalFormatting>
  <conditionalFormatting sqref="M76:N76">
    <cfRule type="cellIs" dxfId="194" priority="29" operator="equal">
      <formula>"APROBACION"</formula>
    </cfRule>
  </conditionalFormatting>
  <conditionalFormatting sqref="V29 V33 V37 V41 V45 V49 V53 V17 V23 V15 V21 V27">
    <cfRule type="cellIs" dxfId="193" priority="27" operator="greaterThan">
      <formula>115</formula>
    </cfRule>
    <cfRule type="cellIs" dxfId="192" priority="28" operator="lessThan">
      <formula>115</formula>
    </cfRule>
  </conditionalFormatting>
  <conditionalFormatting sqref="V32 V36 V40 V44 V48 V52 V57 V14 V20 V26">
    <cfRule type="cellIs" dxfId="191" priority="25" operator="greaterThan">
      <formula>115</formula>
    </cfRule>
    <cfRule type="cellIs" dxfId="190" priority="26" operator="lessThan">
      <formula>115</formula>
    </cfRule>
  </conditionalFormatting>
  <conditionalFormatting sqref="W31 W35 W39 W43 W47 W51 W56 W13 W19 W25">
    <cfRule type="cellIs" dxfId="189" priority="22" operator="lessThan">
      <formula>0</formula>
    </cfRule>
  </conditionalFormatting>
  <conditionalFormatting sqref="W31 W35 W39 W43 W47 W51 W56 W13 W19 W25">
    <cfRule type="cellIs" dxfId="188" priority="21" operator="equal">
      <formula>0</formula>
    </cfRule>
  </conditionalFormatting>
  <pageMargins left="0.23622047244094488" right="0.23622047244094488" top="0.39370078740157483" bottom="0.3937007874015748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1BAF-4D66-4466-8C59-6E8AE411B302}">
  <dimension ref="A1:AC82"/>
  <sheetViews>
    <sheetView view="pageLayout" zoomScaleNormal="100" workbookViewId="0">
      <selection activeCell="D12" sqref="D12"/>
    </sheetView>
  </sheetViews>
  <sheetFormatPr baseColWidth="10" defaultColWidth="11.42578125" defaultRowHeight="10.35" customHeight="1" x14ac:dyDescent="0.25"/>
  <cols>
    <col min="1" max="1" width="4.5703125" style="2" customWidth="1"/>
    <col min="2" max="2" width="5.28515625" style="2" customWidth="1"/>
    <col min="3" max="3" width="6" style="2" customWidth="1"/>
    <col min="4" max="4" width="7.28515625" style="2" customWidth="1"/>
    <col min="5" max="6" width="4.140625" style="2" customWidth="1"/>
    <col min="7" max="7" width="6.42578125" style="2" customWidth="1"/>
    <col min="8" max="8" width="10.85546875" style="2" customWidth="1"/>
    <col min="9" max="9" width="7.42578125" style="2" customWidth="1"/>
    <col min="10" max="10" width="9.28515625" style="2" customWidth="1"/>
    <col min="11" max="11" width="11.85546875" style="2" customWidth="1"/>
    <col min="12" max="12" width="7.28515625" style="2" customWidth="1"/>
    <col min="13" max="13" width="6.140625" style="2" customWidth="1"/>
    <col min="14" max="14" width="7.5703125" style="2" customWidth="1"/>
    <col min="15" max="15" width="4.5703125" style="2" customWidth="1"/>
    <col min="16" max="16" width="5.28515625" style="2" customWidth="1"/>
    <col min="17" max="17" width="6" style="2" customWidth="1"/>
    <col min="18" max="18" width="8.85546875" style="2" customWidth="1"/>
    <col min="19" max="20" width="4.140625" style="2" customWidth="1"/>
    <col min="21" max="21" width="6.42578125" style="2" customWidth="1"/>
    <col min="22" max="22" width="10.85546875" style="2" customWidth="1"/>
    <col min="23" max="23" width="7.5703125" style="2" customWidth="1"/>
    <col min="24" max="24" width="9.140625" style="2" customWidth="1"/>
    <col min="25" max="25" width="11.85546875" style="2" customWidth="1"/>
    <col min="26" max="26" width="7.28515625" style="2" customWidth="1"/>
    <col min="27" max="27" width="7.140625" style="2" customWidth="1"/>
    <col min="28" max="28" width="6.28515625" style="2" customWidth="1"/>
    <col min="29" max="29" width="4.7109375" style="2" customWidth="1"/>
    <col min="30" max="16384" width="11.42578125" style="2"/>
  </cols>
  <sheetData>
    <row r="1" spans="1:29" ht="13.5" customHeight="1" thickBot="1" x14ac:dyDescent="0.3">
      <c r="K1" s="103" t="s">
        <v>80</v>
      </c>
      <c r="L1" s="103"/>
      <c r="M1" s="103"/>
      <c r="N1" s="103"/>
    </row>
    <row r="2" spans="1:29" ht="10.35" customHeight="1" thickBot="1" x14ac:dyDescent="0.3">
      <c r="A2" s="1"/>
      <c r="B2" s="298" t="s">
        <v>3</v>
      </c>
      <c r="C2" s="299"/>
      <c r="D2" s="300"/>
      <c r="E2" s="301" t="s">
        <v>4</v>
      </c>
      <c r="F2" s="302"/>
      <c r="G2" s="302"/>
      <c r="H2" s="302"/>
      <c r="I2" s="302"/>
      <c r="J2" s="303"/>
      <c r="K2" s="307" t="s">
        <v>5</v>
      </c>
      <c r="L2" s="308"/>
      <c r="M2" s="308"/>
      <c r="N2" s="309"/>
      <c r="O2" s="1"/>
      <c r="P2" s="318" t="s">
        <v>8</v>
      </c>
      <c r="Q2" s="319"/>
      <c r="R2" s="319"/>
      <c r="S2" s="319"/>
      <c r="T2" s="319"/>
      <c r="U2" s="320"/>
      <c r="V2" s="272">
        <f>M9</f>
        <v>0</v>
      </c>
      <c r="W2" s="273"/>
      <c r="X2" s="274"/>
      <c r="Y2" s="215"/>
      <c r="Z2" s="216"/>
      <c r="AA2" s="216"/>
      <c r="AB2" s="217"/>
    </row>
    <row r="3" spans="1:29" ht="10.35" customHeight="1" x14ac:dyDescent="0.25">
      <c r="A3" s="1"/>
      <c r="B3" s="5" t="s">
        <v>6</v>
      </c>
      <c r="C3" s="316" t="s">
        <v>7</v>
      </c>
      <c r="D3" s="317"/>
      <c r="E3" s="304"/>
      <c r="F3" s="305"/>
      <c r="G3" s="305"/>
      <c r="H3" s="305"/>
      <c r="I3" s="305"/>
      <c r="J3" s="306"/>
      <c r="K3" s="310"/>
      <c r="L3" s="311"/>
      <c r="M3" s="311"/>
      <c r="N3" s="312"/>
      <c r="O3" s="1"/>
      <c r="P3" s="321"/>
      <c r="Q3" s="322"/>
      <c r="R3" s="322"/>
      <c r="S3" s="322"/>
      <c r="T3" s="322"/>
      <c r="U3" s="323"/>
      <c r="V3" s="275"/>
      <c r="W3" s="276"/>
      <c r="X3" s="277"/>
      <c r="Y3" s="218"/>
      <c r="Z3" s="219"/>
      <c r="AA3" s="219"/>
      <c r="AB3" s="220"/>
    </row>
    <row r="4" spans="1:29" ht="10.35" customHeight="1" x14ac:dyDescent="0.25">
      <c r="A4" s="1"/>
      <c r="B4" s="6" t="s">
        <v>9</v>
      </c>
      <c r="C4" s="327" t="s">
        <v>10</v>
      </c>
      <c r="D4" s="328"/>
      <c r="E4" s="331" t="s">
        <v>11</v>
      </c>
      <c r="F4" s="332"/>
      <c r="G4" s="332"/>
      <c r="H4" s="332"/>
      <c r="I4" s="332"/>
      <c r="J4" s="333"/>
      <c r="K4" s="310"/>
      <c r="L4" s="311"/>
      <c r="M4" s="311"/>
      <c r="N4" s="312"/>
      <c r="O4" s="1"/>
      <c r="P4" s="321"/>
      <c r="Q4" s="322"/>
      <c r="R4" s="322"/>
      <c r="S4" s="322"/>
      <c r="T4" s="322"/>
      <c r="U4" s="323"/>
      <c r="V4" s="275"/>
      <c r="W4" s="276"/>
      <c r="X4" s="277"/>
      <c r="Y4" s="221"/>
      <c r="Z4" s="222"/>
      <c r="AA4" s="222"/>
      <c r="AB4" s="223"/>
    </row>
    <row r="5" spans="1:29" ht="10.35" customHeight="1" thickBot="1" x14ac:dyDescent="0.3">
      <c r="A5" s="1"/>
      <c r="B5" s="7" t="s">
        <v>13</v>
      </c>
      <c r="C5" s="329"/>
      <c r="D5" s="330"/>
      <c r="E5" s="334"/>
      <c r="F5" s="335"/>
      <c r="G5" s="335"/>
      <c r="H5" s="335"/>
      <c r="I5" s="335"/>
      <c r="J5" s="336"/>
      <c r="K5" s="313"/>
      <c r="L5" s="314"/>
      <c r="M5" s="314"/>
      <c r="N5" s="315"/>
      <c r="O5" s="1"/>
      <c r="P5" s="321"/>
      <c r="Q5" s="322"/>
      <c r="R5" s="322"/>
      <c r="S5" s="322"/>
      <c r="T5" s="322"/>
      <c r="U5" s="323"/>
      <c r="V5" s="275"/>
      <c r="W5" s="276"/>
      <c r="X5" s="277"/>
      <c r="Y5" s="224" t="s">
        <v>19</v>
      </c>
      <c r="Z5" s="213"/>
      <c r="AA5" s="213"/>
      <c r="AB5" s="214"/>
    </row>
    <row r="6" spans="1:29" ht="10.35" customHeight="1" x14ac:dyDescent="0.25">
      <c r="A6" s="1"/>
      <c r="B6" s="337" t="s">
        <v>14</v>
      </c>
      <c r="C6" s="338"/>
      <c r="D6" s="8" t="s">
        <v>15</v>
      </c>
      <c r="E6" s="339" t="s">
        <v>16</v>
      </c>
      <c r="F6" s="340"/>
      <c r="G6" s="341"/>
      <c r="H6" s="342" t="s">
        <v>17</v>
      </c>
      <c r="I6" s="343"/>
      <c r="J6" s="344"/>
      <c r="K6" s="345" t="s">
        <v>18</v>
      </c>
      <c r="L6" s="346"/>
      <c r="M6" s="346"/>
      <c r="N6" s="347"/>
      <c r="O6" s="1"/>
      <c r="P6" s="321"/>
      <c r="Q6" s="322"/>
      <c r="R6" s="322"/>
      <c r="S6" s="322"/>
      <c r="T6" s="322"/>
      <c r="U6" s="323"/>
      <c r="V6" s="275"/>
      <c r="W6" s="276"/>
      <c r="X6" s="277"/>
      <c r="Y6" s="215">
        <f>M9</f>
        <v>0</v>
      </c>
      <c r="Z6" s="216"/>
      <c r="AA6" s="216"/>
      <c r="AB6" s="217"/>
    </row>
    <row r="7" spans="1:29" ht="10.35" customHeight="1" thickBot="1" x14ac:dyDescent="0.3">
      <c r="A7" s="1"/>
      <c r="B7" s="351" t="s">
        <v>20</v>
      </c>
      <c r="C7" s="352"/>
      <c r="D7" s="9" t="s">
        <v>21</v>
      </c>
      <c r="E7" s="91" t="s">
        <v>22</v>
      </c>
      <c r="F7" s="91" t="s">
        <v>23</v>
      </c>
      <c r="G7" s="91" t="s">
        <v>24</v>
      </c>
      <c r="H7" s="288"/>
      <c r="I7" s="289"/>
      <c r="J7" s="290"/>
      <c r="K7" s="348"/>
      <c r="L7" s="349"/>
      <c r="M7" s="349"/>
      <c r="N7" s="350"/>
      <c r="O7" s="1"/>
      <c r="P7" s="321"/>
      <c r="Q7" s="322"/>
      <c r="R7" s="322"/>
      <c r="S7" s="322"/>
      <c r="T7" s="322"/>
      <c r="U7" s="323"/>
      <c r="V7" s="275"/>
      <c r="W7" s="276"/>
      <c r="X7" s="277"/>
      <c r="Y7" s="218"/>
      <c r="Z7" s="219"/>
      <c r="AA7" s="219"/>
      <c r="AB7" s="220"/>
    </row>
    <row r="8" spans="1:29" ht="10.35" customHeight="1" thickBot="1" x14ac:dyDescent="0.3">
      <c r="A8" s="1"/>
      <c r="B8" s="294"/>
      <c r="C8" s="295"/>
      <c r="D8" s="9" t="s">
        <v>26</v>
      </c>
      <c r="E8" s="296"/>
      <c r="F8" s="296"/>
      <c r="G8" s="296"/>
      <c r="H8" s="291"/>
      <c r="I8" s="292"/>
      <c r="J8" s="293"/>
      <c r="K8" s="10" t="s">
        <v>27</v>
      </c>
      <c r="L8" s="11" t="s">
        <v>28</v>
      </c>
      <c r="M8" s="353" t="s">
        <v>29</v>
      </c>
      <c r="N8" s="354"/>
      <c r="O8" s="1"/>
      <c r="P8" s="321"/>
      <c r="Q8" s="322"/>
      <c r="R8" s="322"/>
      <c r="S8" s="322"/>
      <c r="T8" s="322"/>
      <c r="U8" s="323"/>
      <c r="V8" s="275"/>
      <c r="W8" s="276"/>
      <c r="X8" s="277"/>
      <c r="Y8" s="218"/>
      <c r="Z8" s="219"/>
      <c r="AA8" s="219"/>
      <c r="AB8" s="220"/>
    </row>
    <row r="9" spans="1:29" ht="10.35" customHeight="1" thickBot="1" x14ac:dyDescent="0.3">
      <c r="A9" s="1"/>
      <c r="B9" s="355" t="s">
        <v>31</v>
      </c>
      <c r="C9" s="356"/>
      <c r="D9" s="12" t="s">
        <v>32</v>
      </c>
      <c r="E9" s="297"/>
      <c r="F9" s="297"/>
      <c r="G9" s="297"/>
      <c r="H9" s="357" t="s">
        <v>33</v>
      </c>
      <c r="I9" s="302"/>
      <c r="J9" s="303"/>
      <c r="K9" s="359"/>
      <c r="L9" s="13" t="s">
        <v>34</v>
      </c>
      <c r="M9" s="266"/>
      <c r="N9" s="267"/>
      <c r="O9" s="1"/>
      <c r="P9" s="324"/>
      <c r="Q9" s="325"/>
      <c r="R9" s="325"/>
      <c r="S9" s="325"/>
      <c r="T9" s="325"/>
      <c r="U9" s="326"/>
      <c r="V9" s="278"/>
      <c r="W9" s="279"/>
      <c r="X9" s="280"/>
      <c r="Y9" s="221"/>
      <c r="Z9" s="222"/>
      <c r="AA9" s="222"/>
      <c r="AB9" s="223"/>
    </row>
    <row r="10" spans="1:29" ht="10.35" customHeight="1" thickBot="1" x14ac:dyDescent="0.3">
      <c r="A10" s="1"/>
      <c r="B10" s="286">
        <f>IF(E8="X",B8+8,IF(F8="X",B8+6,IF(G8="X",B8+8)))+IF(D68&gt;0,1)</f>
        <v>0</v>
      </c>
      <c r="C10" s="287"/>
      <c r="D10" s="14"/>
      <c r="E10" s="14"/>
      <c r="F10" s="14"/>
      <c r="G10" s="92"/>
      <c r="H10" s="358"/>
      <c r="I10" s="305"/>
      <c r="J10" s="306"/>
      <c r="K10" s="360"/>
      <c r="L10" s="15" t="s">
        <v>35</v>
      </c>
      <c r="M10" s="268"/>
      <c r="N10" s="269"/>
      <c r="O10" s="270" t="s">
        <v>36</v>
      </c>
      <c r="P10" s="17" t="s">
        <v>37</v>
      </c>
      <c r="Q10" s="284" t="s">
        <v>38</v>
      </c>
      <c r="R10" s="261" t="s">
        <v>16</v>
      </c>
      <c r="S10" s="263" t="s">
        <v>39</v>
      </c>
      <c r="T10" s="264"/>
      <c r="U10" s="264"/>
      <c r="V10" s="264"/>
      <c r="W10" s="265"/>
      <c r="X10" s="102" t="s">
        <v>40</v>
      </c>
      <c r="Y10" s="212" t="s">
        <v>41</v>
      </c>
      <c r="Z10" s="213"/>
      <c r="AA10" s="213"/>
      <c r="AB10" s="214"/>
    </row>
    <row r="11" spans="1:29" ht="10.35" customHeight="1" x14ac:dyDescent="0.25">
      <c r="A11" s="97" t="s">
        <v>36</v>
      </c>
      <c r="B11" s="16" t="s">
        <v>37</v>
      </c>
      <c r="C11" s="98" t="s">
        <v>38</v>
      </c>
      <c r="D11" s="100" t="s">
        <v>16</v>
      </c>
      <c r="E11" s="281" t="s">
        <v>39</v>
      </c>
      <c r="F11" s="282"/>
      <c r="G11" s="282"/>
      <c r="H11" s="282"/>
      <c r="I11" s="283"/>
      <c r="J11" s="99" t="s">
        <v>40</v>
      </c>
      <c r="K11" s="18" t="s">
        <v>1</v>
      </c>
      <c r="L11" s="21" t="s">
        <v>48</v>
      </c>
      <c r="M11" s="18" t="s">
        <v>49</v>
      </c>
      <c r="N11" s="19" t="s">
        <v>50</v>
      </c>
      <c r="O11" s="271"/>
      <c r="P11" s="102" t="s">
        <v>42</v>
      </c>
      <c r="Q11" s="285"/>
      <c r="R11" s="262"/>
      <c r="S11" s="20" t="s">
        <v>43</v>
      </c>
      <c r="T11" s="20" t="s">
        <v>44</v>
      </c>
      <c r="U11" s="20" t="s">
        <v>45</v>
      </c>
      <c r="V11" s="20" t="s">
        <v>46</v>
      </c>
      <c r="W11" s="20" t="s">
        <v>47</v>
      </c>
      <c r="X11" s="20" t="s">
        <v>2</v>
      </c>
      <c r="Y11" s="18" t="s">
        <v>1</v>
      </c>
      <c r="Z11" s="21" t="s">
        <v>48</v>
      </c>
      <c r="AA11" s="18" t="s">
        <v>49</v>
      </c>
      <c r="AB11" s="19" t="s">
        <v>50</v>
      </c>
    </row>
    <row r="12" spans="1:29" ht="9.6" customHeight="1" x14ac:dyDescent="0.25">
      <c r="A12" s="22"/>
      <c r="B12" s="23"/>
      <c r="C12" s="23">
        <v>48</v>
      </c>
      <c r="D12" s="32"/>
      <c r="E12" s="26"/>
      <c r="F12" s="26"/>
      <c r="G12" s="26"/>
      <c r="H12" s="24">
        <f t="shared" ref="H12:H25" si="0">40+75</f>
        <v>115</v>
      </c>
      <c r="I12" s="24" t="str">
        <f t="shared" ref="I12:I57" si="1">IF(D12=4,40,IF(D12=3.5,40,IF(D12=3,40,IF(D12=2.5,40,IF(D12=2,31,IF(D12=1.5,26,IF(D12=1,21,IF(D12=7/8,16,IF(D12=3/4,16," ")))))))))</f>
        <v xml:space="preserve"> </v>
      </c>
      <c r="J12" s="26" t="e">
        <f>(((((E12*H12)+(F12*I12)+G12)*C12)*D12)/144)*-10%+(((((E12*H12)+(F12*I12)+G12)*C12)*D12)/144)</f>
        <v>#VALUE!</v>
      </c>
      <c r="K12" s="22"/>
      <c r="L12" s="26" t="s">
        <v>51</v>
      </c>
      <c r="M12" s="27"/>
      <c r="N12" s="28" t="str">
        <f t="shared" ref="N12:N57" si="2">IF(C12=42,"CORT",IF(C12=39,"CORT",IF(C12=36,"CORT",IF(C12=24,"CORT",IF(C12=48,"",)))))</f>
        <v/>
      </c>
      <c r="O12" s="22"/>
      <c r="P12" s="24"/>
      <c r="Q12" s="24">
        <v>48</v>
      </c>
      <c r="R12" s="25"/>
      <c r="S12" s="26"/>
      <c r="T12" s="26"/>
      <c r="U12" s="26"/>
      <c r="V12" s="24">
        <f t="shared" ref="V12:V24" si="3">40+75</f>
        <v>115</v>
      </c>
      <c r="W12" s="24" t="str">
        <f t="shared" ref="W12:W57" si="4">IF(R12=4,40,IF(R12=3.5,40,IF(R12=3,40,IF(R12=2.5,40,IF(R12=2,31,IF(R12=1.5,26,IF(R12=1,21,IF(R12=7/8,16,IF(R12=3/4,16," ")))))))))</f>
        <v xml:space="preserve"> </v>
      </c>
      <c r="X12" s="26" t="e">
        <f t="shared" ref="X12:X57" si="5">(((((S12*V12)+(T12*W12)+U12)*Q12)*R12)/144)*-10%+(((((S12*V12)+(T12*W12)+U12)*Q12)*R12)/144)</f>
        <v>#VALUE!</v>
      </c>
      <c r="Y12" s="22"/>
      <c r="Z12" s="26" t="s">
        <v>51</v>
      </c>
      <c r="AA12" s="29"/>
      <c r="AB12" s="28" t="str">
        <f>IF(Q12=42,"CORT",IF(Q12=39,"CORT",IF(Q12=36,"CORT",IF(Q12=24,"CORT",IF(Q12=48,"",)))))</f>
        <v/>
      </c>
    </row>
    <row r="13" spans="1:29" s="30" customFormat="1" ht="9.6" customHeight="1" x14ac:dyDescent="0.2">
      <c r="A13" s="22"/>
      <c r="B13" s="23"/>
      <c r="C13" s="23">
        <v>48</v>
      </c>
      <c r="D13" s="25"/>
      <c r="E13" s="26"/>
      <c r="F13" s="26"/>
      <c r="G13" s="26"/>
      <c r="H13" s="24">
        <f t="shared" si="0"/>
        <v>115</v>
      </c>
      <c r="I13" s="24" t="str">
        <f t="shared" si="1"/>
        <v xml:space="preserve"> </v>
      </c>
      <c r="J13" s="26" t="e">
        <f t="shared" ref="J13:J57" si="6">(((((E13*H13)+(F13*I13)+G13)*C13)*D13)/144)*-10%+(((((E13*H13)+(F13*I13)+G13)*C13)*D13)/144)</f>
        <v>#VALUE!</v>
      </c>
      <c r="K13" s="22"/>
      <c r="L13" s="26" t="s">
        <v>51</v>
      </c>
      <c r="M13" s="27"/>
      <c r="N13" s="28" t="str">
        <f t="shared" si="2"/>
        <v/>
      </c>
      <c r="O13" s="22"/>
      <c r="P13" s="24"/>
      <c r="Q13" s="24">
        <v>48</v>
      </c>
      <c r="R13" s="25"/>
      <c r="S13" s="26"/>
      <c r="T13" s="26"/>
      <c r="U13" s="26"/>
      <c r="V13" s="23">
        <v>115</v>
      </c>
      <c r="W13" s="23" t="str">
        <f t="shared" si="4"/>
        <v xml:space="preserve"> </v>
      </c>
      <c r="X13" s="26" t="e">
        <f t="shared" si="5"/>
        <v>#VALUE!</v>
      </c>
      <c r="Y13" s="22"/>
      <c r="Z13" s="26" t="s">
        <v>51</v>
      </c>
      <c r="AA13" s="29"/>
      <c r="AB13" s="28" t="str">
        <f>IF(Q13=42,"CORT",IF(Q13=39,"CORT",IF(Q13=36,"CORT",IF(Q13=24,"CORT",IF(Q13=48,"",)))))</f>
        <v/>
      </c>
    </row>
    <row r="14" spans="1:29" s="30" customFormat="1" ht="9.6" customHeight="1" x14ac:dyDescent="0.2">
      <c r="A14" s="22"/>
      <c r="B14" s="23"/>
      <c r="C14" s="24">
        <v>48</v>
      </c>
      <c r="D14" s="25"/>
      <c r="E14" s="26"/>
      <c r="F14" s="26"/>
      <c r="G14" s="26"/>
      <c r="H14" s="23">
        <v>115</v>
      </c>
      <c r="I14" s="23" t="str">
        <f t="shared" si="1"/>
        <v xml:space="preserve"> </v>
      </c>
      <c r="J14" s="26" t="e">
        <f t="shared" si="6"/>
        <v>#VALUE!</v>
      </c>
      <c r="K14" s="22"/>
      <c r="L14" s="26" t="s">
        <v>51</v>
      </c>
      <c r="M14" s="27"/>
      <c r="N14" s="28" t="str">
        <f t="shared" si="2"/>
        <v/>
      </c>
      <c r="O14" s="22"/>
      <c r="P14" s="24"/>
      <c r="Q14" s="24">
        <v>48</v>
      </c>
      <c r="R14" s="25"/>
      <c r="S14" s="26"/>
      <c r="T14" s="26"/>
      <c r="U14" s="26"/>
      <c r="V14" s="24">
        <v>115</v>
      </c>
      <c r="W14" s="24" t="str">
        <f t="shared" si="4"/>
        <v xml:space="preserve"> </v>
      </c>
      <c r="X14" s="26" t="e">
        <f t="shared" si="5"/>
        <v>#VALUE!</v>
      </c>
      <c r="Y14" s="22"/>
      <c r="Z14" s="26" t="s">
        <v>51</v>
      </c>
      <c r="AA14" s="29"/>
      <c r="AB14" s="28" t="str">
        <f t="shared" ref="AB14:AB57" si="7">IF(Q14=42,"CORT",IF(Q14=39,"CORT",IF(Q14=36,"CORT",IF(Q14=24,"CORT",IF(Q14=48,"",)))))</f>
        <v/>
      </c>
      <c r="AC14" s="31"/>
    </row>
    <row r="15" spans="1:29" s="30" customFormat="1" ht="9.6" customHeight="1" x14ac:dyDescent="0.2">
      <c r="A15" s="22"/>
      <c r="B15" s="23"/>
      <c r="C15" s="23">
        <v>48</v>
      </c>
      <c r="D15" s="32"/>
      <c r="E15" s="26"/>
      <c r="F15" s="26"/>
      <c r="G15" s="26"/>
      <c r="H15" s="24">
        <v>115</v>
      </c>
      <c r="I15" s="24" t="str">
        <f t="shared" si="1"/>
        <v xml:space="preserve"> </v>
      </c>
      <c r="J15" s="26" t="e">
        <f t="shared" si="6"/>
        <v>#VALUE!</v>
      </c>
      <c r="K15" s="22"/>
      <c r="L15" s="26" t="s">
        <v>51</v>
      </c>
      <c r="M15" s="27"/>
      <c r="N15" s="28" t="str">
        <f t="shared" si="2"/>
        <v/>
      </c>
      <c r="O15" s="22"/>
      <c r="P15" s="24"/>
      <c r="Q15" s="24">
        <v>48</v>
      </c>
      <c r="R15" s="25"/>
      <c r="S15" s="26"/>
      <c r="T15" s="26"/>
      <c r="U15" s="26"/>
      <c r="V15" s="24">
        <f t="shared" ref="V15:V30" si="8">40+75</f>
        <v>115</v>
      </c>
      <c r="W15" s="24" t="str">
        <f t="shared" si="4"/>
        <v xml:space="preserve"> </v>
      </c>
      <c r="X15" s="26" t="e">
        <f t="shared" si="5"/>
        <v>#VALUE!</v>
      </c>
      <c r="Y15" s="22"/>
      <c r="Z15" s="26" t="s">
        <v>51</v>
      </c>
      <c r="AA15" s="29"/>
      <c r="AB15" s="28" t="str">
        <f t="shared" si="7"/>
        <v/>
      </c>
      <c r="AC15" s="31"/>
    </row>
    <row r="16" spans="1:29" s="30" customFormat="1" ht="9.6" customHeight="1" x14ac:dyDescent="0.2">
      <c r="A16" s="22"/>
      <c r="B16" s="23"/>
      <c r="C16" s="23">
        <v>48</v>
      </c>
      <c r="D16" s="25"/>
      <c r="E16" s="26"/>
      <c r="F16" s="26"/>
      <c r="G16" s="26"/>
      <c r="H16" s="24">
        <f t="shared" ref="H16:H31" si="9">40+75</f>
        <v>115</v>
      </c>
      <c r="I16" s="24" t="str">
        <f t="shared" si="1"/>
        <v xml:space="preserve"> </v>
      </c>
      <c r="J16" s="26" t="e">
        <f t="shared" si="6"/>
        <v>#VALUE!</v>
      </c>
      <c r="K16" s="22"/>
      <c r="L16" s="26" t="s">
        <v>51</v>
      </c>
      <c r="M16" s="27"/>
      <c r="N16" s="28" t="str">
        <f t="shared" si="2"/>
        <v/>
      </c>
      <c r="O16" s="22"/>
      <c r="P16" s="24"/>
      <c r="Q16" s="24">
        <v>48</v>
      </c>
      <c r="R16" s="25"/>
      <c r="S16" s="26"/>
      <c r="T16" s="26"/>
      <c r="U16" s="26"/>
      <c r="V16" s="24">
        <f t="shared" si="8"/>
        <v>115</v>
      </c>
      <c r="W16" s="24" t="str">
        <f t="shared" si="4"/>
        <v xml:space="preserve"> </v>
      </c>
      <c r="X16" s="26" t="e">
        <f t="shared" si="5"/>
        <v>#VALUE!</v>
      </c>
      <c r="Y16" s="22"/>
      <c r="Z16" s="26" t="s">
        <v>51</v>
      </c>
      <c r="AA16" s="29"/>
      <c r="AB16" s="28" t="str">
        <f t="shared" si="7"/>
        <v/>
      </c>
      <c r="AC16" s="31"/>
    </row>
    <row r="17" spans="1:29" s="30" customFormat="1" ht="9.6" customHeight="1" x14ac:dyDescent="0.2">
      <c r="A17" s="22"/>
      <c r="B17" s="23"/>
      <c r="C17" s="24">
        <v>48</v>
      </c>
      <c r="D17" s="25"/>
      <c r="E17" s="26"/>
      <c r="F17" s="26"/>
      <c r="G17" s="26"/>
      <c r="H17" s="24">
        <f t="shared" si="9"/>
        <v>115</v>
      </c>
      <c r="I17" s="24" t="str">
        <f t="shared" si="1"/>
        <v xml:space="preserve"> </v>
      </c>
      <c r="J17" s="26" t="e">
        <f t="shared" si="6"/>
        <v>#VALUE!</v>
      </c>
      <c r="K17" s="22"/>
      <c r="L17" s="26" t="s">
        <v>51</v>
      </c>
      <c r="M17" s="27"/>
      <c r="N17" s="28" t="str">
        <f t="shared" si="2"/>
        <v/>
      </c>
      <c r="O17" s="22"/>
      <c r="P17" s="24"/>
      <c r="Q17" s="24">
        <v>48</v>
      </c>
      <c r="R17" s="25"/>
      <c r="S17" s="26"/>
      <c r="T17" s="26"/>
      <c r="U17" s="26"/>
      <c r="V17" s="24">
        <f t="shared" si="3"/>
        <v>115</v>
      </c>
      <c r="W17" s="24" t="str">
        <f t="shared" si="4"/>
        <v xml:space="preserve"> </v>
      </c>
      <c r="X17" s="26" t="e">
        <f t="shared" si="5"/>
        <v>#VALUE!</v>
      </c>
      <c r="Y17" s="22"/>
      <c r="Z17" s="26" t="s">
        <v>51</v>
      </c>
      <c r="AA17" s="29"/>
      <c r="AB17" s="28" t="str">
        <f t="shared" si="7"/>
        <v/>
      </c>
      <c r="AC17" s="31"/>
    </row>
    <row r="18" spans="1:29" s="30" customFormat="1" ht="9.6" customHeight="1" x14ac:dyDescent="0.2">
      <c r="A18" s="22"/>
      <c r="B18" s="23"/>
      <c r="C18" s="23">
        <v>48</v>
      </c>
      <c r="D18" s="32"/>
      <c r="E18" s="26"/>
      <c r="F18" s="26"/>
      <c r="G18" s="26"/>
      <c r="H18" s="24">
        <f t="shared" si="0"/>
        <v>115</v>
      </c>
      <c r="I18" s="24" t="str">
        <f t="shared" si="1"/>
        <v xml:space="preserve"> </v>
      </c>
      <c r="J18" s="26" t="e">
        <f t="shared" si="6"/>
        <v>#VALUE!</v>
      </c>
      <c r="K18" s="22"/>
      <c r="L18" s="26" t="s">
        <v>51</v>
      </c>
      <c r="M18" s="27"/>
      <c r="N18" s="28" t="str">
        <f t="shared" si="2"/>
        <v/>
      </c>
      <c r="O18" s="22"/>
      <c r="P18" s="24"/>
      <c r="Q18" s="24">
        <v>48</v>
      </c>
      <c r="R18" s="25"/>
      <c r="S18" s="26"/>
      <c r="T18" s="26"/>
      <c r="U18" s="26"/>
      <c r="V18" s="24">
        <f t="shared" si="3"/>
        <v>115</v>
      </c>
      <c r="W18" s="24" t="str">
        <f t="shared" si="4"/>
        <v xml:space="preserve"> </v>
      </c>
      <c r="X18" s="26" t="e">
        <f t="shared" si="5"/>
        <v>#VALUE!</v>
      </c>
      <c r="Y18" s="22"/>
      <c r="Z18" s="26" t="s">
        <v>51</v>
      </c>
      <c r="AA18" s="29"/>
      <c r="AB18" s="28" t="str">
        <f t="shared" si="7"/>
        <v/>
      </c>
      <c r="AC18" s="31"/>
    </row>
    <row r="19" spans="1:29" s="30" customFormat="1" ht="9.6" customHeight="1" x14ac:dyDescent="0.2">
      <c r="A19" s="22"/>
      <c r="B19" s="23"/>
      <c r="C19" s="23">
        <v>48</v>
      </c>
      <c r="D19" s="25"/>
      <c r="E19" s="26"/>
      <c r="F19" s="26"/>
      <c r="G19" s="26"/>
      <c r="H19" s="24">
        <f t="shared" si="0"/>
        <v>115</v>
      </c>
      <c r="I19" s="24" t="str">
        <f t="shared" si="1"/>
        <v xml:space="preserve"> </v>
      </c>
      <c r="J19" s="26" t="e">
        <f t="shared" si="6"/>
        <v>#VALUE!</v>
      </c>
      <c r="K19" s="22"/>
      <c r="L19" s="26" t="s">
        <v>51</v>
      </c>
      <c r="M19" s="27"/>
      <c r="N19" s="28" t="str">
        <f t="shared" si="2"/>
        <v/>
      </c>
      <c r="O19" s="22"/>
      <c r="P19" s="24"/>
      <c r="Q19" s="24">
        <v>48</v>
      </c>
      <c r="R19" s="25"/>
      <c r="S19" s="26"/>
      <c r="T19" s="26"/>
      <c r="U19" s="26"/>
      <c r="V19" s="23">
        <v>115</v>
      </c>
      <c r="W19" s="23" t="str">
        <f t="shared" si="4"/>
        <v xml:space="preserve"> </v>
      </c>
      <c r="X19" s="26" t="e">
        <f t="shared" si="5"/>
        <v>#VALUE!</v>
      </c>
      <c r="Y19" s="22"/>
      <c r="Z19" s="26" t="s">
        <v>51</v>
      </c>
      <c r="AA19" s="29"/>
      <c r="AB19" s="28" t="str">
        <f t="shared" si="7"/>
        <v/>
      </c>
      <c r="AC19" s="31"/>
    </row>
    <row r="20" spans="1:29" s="30" customFormat="1" ht="9.6" customHeight="1" x14ac:dyDescent="0.2">
      <c r="A20" s="22"/>
      <c r="B20" s="23"/>
      <c r="C20" s="24">
        <v>48</v>
      </c>
      <c r="D20" s="25"/>
      <c r="E20" s="26"/>
      <c r="F20" s="26"/>
      <c r="G20" s="26"/>
      <c r="H20" s="23">
        <v>115</v>
      </c>
      <c r="I20" s="23" t="str">
        <f t="shared" si="1"/>
        <v xml:space="preserve"> </v>
      </c>
      <c r="J20" s="26" t="e">
        <f t="shared" si="6"/>
        <v>#VALUE!</v>
      </c>
      <c r="K20" s="22"/>
      <c r="L20" s="26" t="s">
        <v>51</v>
      </c>
      <c r="M20" s="27"/>
      <c r="N20" s="28" t="str">
        <f t="shared" si="2"/>
        <v/>
      </c>
      <c r="O20" s="22"/>
      <c r="P20" s="24"/>
      <c r="Q20" s="24">
        <v>48</v>
      </c>
      <c r="R20" s="25"/>
      <c r="S20" s="26"/>
      <c r="T20" s="26"/>
      <c r="U20" s="26"/>
      <c r="V20" s="24">
        <v>115</v>
      </c>
      <c r="W20" s="24" t="str">
        <f t="shared" si="4"/>
        <v xml:space="preserve"> </v>
      </c>
      <c r="X20" s="26" t="e">
        <f t="shared" si="5"/>
        <v>#VALUE!</v>
      </c>
      <c r="Y20" s="22"/>
      <c r="Z20" s="26" t="s">
        <v>51</v>
      </c>
      <c r="AA20" s="29"/>
      <c r="AB20" s="28" t="str">
        <f t="shared" si="7"/>
        <v/>
      </c>
      <c r="AC20" s="31"/>
    </row>
    <row r="21" spans="1:29" s="30" customFormat="1" ht="9.6" customHeight="1" x14ac:dyDescent="0.2">
      <c r="A21" s="22"/>
      <c r="B21" s="24"/>
      <c r="C21" s="23">
        <v>48</v>
      </c>
      <c r="D21" s="32"/>
      <c r="E21" s="26"/>
      <c r="F21" s="26"/>
      <c r="G21" s="26"/>
      <c r="H21" s="24">
        <v>115</v>
      </c>
      <c r="I21" s="24" t="str">
        <f t="shared" si="1"/>
        <v xml:space="preserve"> </v>
      </c>
      <c r="J21" s="26" t="e">
        <f t="shared" si="6"/>
        <v>#VALUE!</v>
      </c>
      <c r="K21" s="22"/>
      <c r="L21" s="26" t="s">
        <v>51</v>
      </c>
      <c r="M21" s="29"/>
      <c r="N21" s="28" t="str">
        <f t="shared" si="2"/>
        <v/>
      </c>
      <c r="O21" s="22"/>
      <c r="P21" s="24"/>
      <c r="Q21" s="24">
        <v>48</v>
      </c>
      <c r="R21" s="25"/>
      <c r="S21" s="26"/>
      <c r="T21" s="26"/>
      <c r="U21" s="26"/>
      <c r="V21" s="24">
        <f t="shared" si="8"/>
        <v>115</v>
      </c>
      <c r="W21" s="24" t="str">
        <f t="shared" si="4"/>
        <v xml:space="preserve"> </v>
      </c>
      <c r="X21" s="26" t="e">
        <f t="shared" si="5"/>
        <v>#VALUE!</v>
      </c>
      <c r="Y21" s="22"/>
      <c r="Z21" s="26" t="s">
        <v>51</v>
      </c>
      <c r="AA21" s="29"/>
      <c r="AB21" s="28" t="str">
        <f t="shared" si="7"/>
        <v/>
      </c>
      <c r="AC21" s="31"/>
    </row>
    <row r="22" spans="1:29" s="30" customFormat="1" ht="9.6" customHeight="1" x14ac:dyDescent="0.2">
      <c r="A22" s="22"/>
      <c r="B22" s="24"/>
      <c r="C22" s="23">
        <v>48</v>
      </c>
      <c r="D22" s="25"/>
      <c r="E22" s="26"/>
      <c r="F22" s="26"/>
      <c r="G22" s="26"/>
      <c r="H22" s="24">
        <f t="shared" si="9"/>
        <v>115</v>
      </c>
      <c r="I22" s="24" t="str">
        <f t="shared" si="1"/>
        <v xml:space="preserve"> </v>
      </c>
      <c r="J22" s="26" t="e">
        <f t="shared" si="6"/>
        <v>#VALUE!</v>
      </c>
      <c r="K22" s="22"/>
      <c r="L22" s="26" t="s">
        <v>51</v>
      </c>
      <c r="M22" s="29"/>
      <c r="N22" s="28" t="str">
        <f t="shared" si="2"/>
        <v/>
      </c>
      <c r="O22" s="22"/>
      <c r="P22" s="24"/>
      <c r="Q22" s="24">
        <v>48</v>
      </c>
      <c r="R22" s="25"/>
      <c r="S22" s="26"/>
      <c r="T22" s="26"/>
      <c r="U22" s="26"/>
      <c r="V22" s="24">
        <f t="shared" si="8"/>
        <v>115</v>
      </c>
      <c r="W22" s="24" t="str">
        <f t="shared" si="4"/>
        <v xml:space="preserve"> </v>
      </c>
      <c r="X22" s="26" t="e">
        <f t="shared" si="5"/>
        <v>#VALUE!</v>
      </c>
      <c r="Y22" s="22"/>
      <c r="Z22" s="26" t="s">
        <v>51</v>
      </c>
      <c r="AA22" s="29"/>
      <c r="AB22" s="28" t="str">
        <f t="shared" si="7"/>
        <v/>
      </c>
      <c r="AC22" s="31"/>
    </row>
    <row r="23" spans="1:29" s="30" customFormat="1" ht="9.6" customHeight="1" x14ac:dyDescent="0.2">
      <c r="A23" s="22"/>
      <c r="B23" s="23"/>
      <c r="C23" s="24">
        <v>48</v>
      </c>
      <c r="D23" s="25"/>
      <c r="E23" s="26"/>
      <c r="F23" s="26"/>
      <c r="G23" s="26"/>
      <c r="H23" s="24">
        <f t="shared" si="9"/>
        <v>115</v>
      </c>
      <c r="I23" s="24" t="str">
        <f t="shared" si="1"/>
        <v xml:space="preserve"> </v>
      </c>
      <c r="J23" s="26" t="e">
        <f t="shared" si="6"/>
        <v>#VALUE!</v>
      </c>
      <c r="K23" s="22"/>
      <c r="L23" s="26" t="s">
        <v>51</v>
      </c>
      <c r="M23" s="27"/>
      <c r="N23" s="28" t="str">
        <f t="shared" si="2"/>
        <v/>
      </c>
      <c r="O23" s="22"/>
      <c r="P23" s="24"/>
      <c r="Q23" s="24">
        <v>48</v>
      </c>
      <c r="R23" s="25"/>
      <c r="S23" s="26"/>
      <c r="T23" s="26"/>
      <c r="U23" s="26"/>
      <c r="V23" s="24">
        <f t="shared" si="3"/>
        <v>115</v>
      </c>
      <c r="W23" s="24" t="str">
        <f t="shared" si="4"/>
        <v xml:space="preserve"> </v>
      </c>
      <c r="X23" s="26" t="e">
        <f t="shared" si="5"/>
        <v>#VALUE!</v>
      </c>
      <c r="Y23" s="22"/>
      <c r="Z23" s="26" t="s">
        <v>51</v>
      </c>
      <c r="AA23" s="29"/>
      <c r="AB23" s="28" t="str">
        <f t="shared" si="7"/>
        <v/>
      </c>
      <c r="AC23" s="31"/>
    </row>
    <row r="24" spans="1:29" s="30" customFormat="1" ht="9.6" customHeight="1" x14ac:dyDescent="0.2">
      <c r="A24" s="22"/>
      <c r="B24" s="24"/>
      <c r="C24" s="23">
        <v>48</v>
      </c>
      <c r="D24" s="32"/>
      <c r="E24" s="26"/>
      <c r="F24" s="26"/>
      <c r="G24" s="26"/>
      <c r="H24" s="24">
        <f t="shared" si="0"/>
        <v>115</v>
      </c>
      <c r="I24" s="24" t="str">
        <f t="shared" si="1"/>
        <v xml:space="preserve"> </v>
      </c>
      <c r="J24" s="26" t="e">
        <f t="shared" si="6"/>
        <v>#VALUE!</v>
      </c>
      <c r="K24" s="22"/>
      <c r="L24" s="26" t="s">
        <v>51</v>
      </c>
      <c r="M24" s="29"/>
      <c r="N24" s="28" t="str">
        <f t="shared" si="2"/>
        <v/>
      </c>
      <c r="O24" s="22"/>
      <c r="P24" s="24"/>
      <c r="Q24" s="24">
        <v>48</v>
      </c>
      <c r="R24" s="25"/>
      <c r="S24" s="26"/>
      <c r="T24" s="26"/>
      <c r="U24" s="26"/>
      <c r="V24" s="24">
        <f t="shared" si="3"/>
        <v>115</v>
      </c>
      <c r="W24" s="24" t="str">
        <f t="shared" si="4"/>
        <v xml:space="preserve"> </v>
      </c>
      <c r="X24" s="26" t="e">
        <f t="shared" si="5"/>
        <v>#VALUE!</v>
      </c>
      <c r="Y24" s="22"/>
      <c r="Z24" s="26" t="s">
        <v>51</v>
      </c>
      <c r="AA24" s="29"/>
      <c r="AB24" s="28" t="str">
        <f t="shared" si="7"/>
        <v/>
      </c>
      <c r="AC24" s="31"/>
    </row>
    <row r="25" spans="1:29" s="30" customFormat="1" ht="9.6" customHeight="1" x14ac:dyDescent="0.2">
      <c r="A25" s="22"/>
      <c r="B25" s="24"/>
      <c r="C25" s="23">
        <v>48</v>
      </c>
      <c r="D25" s="25"/>
      <c r="E25" s="26"/>
      <c r="F25" s="26"/>
      <c r="G25" s="26"/>
      <c r="H25" s="24">
        <f t="shared" si="0"/>
        <v>115</v>
      </c>
      <c r="I25" s="24" t="str">
        <f t="shared" si="1"/>
        <v xml:space="preserve"> </v>
      </c>
      <c r="J25" s="26" t="e">
        <f t="shared" si="6"/>
        <v>#VALUE!</v>
      </c>
      <c r="K25" s="22"/>
      <c r="L25" s="26" t="s">
        <v>51</v>
      </c>
      <c r="M25" s="29"/>
      <c r="N25" s="28" t="str">
        <f t="shared" si="2"/>
        <v/>
      </c>
      <c r="O25" s="22"/>
      <c r="P25" s="24"/>
      <c r="Q25" s="24">
        <v>48</v>
      </c>
      <c r="R25" s="25"/>
      <c r="S25" s="26"/>
      <c r="T25" s="26"/>
      <c r="U25" s="26"/>
      <c r="V25" s="23">
        <v>115</v>
      </c>
      <c r="W25" s="23" t="str">
        <f t="shared" si="4"/>
        <v xml:space="preserve"> </v>
      </c>
      <c r="X25" s="26" t="e">
        <f t="shared" si="5"/>
        <v>#VALUE!</v>
      </c>
      <c r="Y25" s="22"/>
      <c r="Z25" s="26" t="s">
        <v>51</v>
      </c>
      <c r="AA25" s="29"/>
      <c r="AB25" s="28" t="str">
        <f t="shared" si="7"/>
        <v/>
      </c>
      <c r="AC25" s="31"/>
    </row>
    <row r="26" spans="1:29" s="30" customFormat="1" ht="9.6" customHeight="1" x14ac:dyDescent="0.2">
      <c r="A26" s="22"/>
      <c r="B26" s="24"/>
      <c r="C26" s="24">
        <v>48</v>
      </c>
      <c r="D26" s="25"/>
      <c r="E26" s="26"/>
      <c r="F26" s="26"/>
      <c r="G26" s="26"/>
      <c r="H26" s="23">
        <v>115</v>
      </c>
      <c r="I26" s="23" t="str">
        <f t="shared" si="1"/>
        <v xml:space="preserve"> </v>
      </c>
      <c r="J26" s="26" t="e">
        <f t="shared" si="6"/>
        <v>#VALUE!</v>
      </c>
      <c r="K26" s="22"/>
      <c r="L26" s="26" t="s">
        <v>51</v>
      </c>
      <c r="M26" s="29"/>
      <c r="N26" s="28" t="str">
        <f t="shared" si="2"/>
        <v/>
      </c>
      <c r="O26" s="22"/>
      <c r="P26" s="24"/>
      <c r="Q26" s="24">
        <v>48</v>
      </c>
      <c r="R26" s="25"/>
      <c r="S26" s="26"/>
      <c r="T26" s="26"/>
      <c r="U26" s="26"/>
      <c r="V26" s="24">
        <v>115</v>
      </c>
      <c r="W26" s="24" t="str">
        <f t="shared" si="4"/>
        <v xml:space="preserve"> </v>
      </c>
      <c r="X26" s="26" t="e">
        <f t="shared" si="5"/>
        <v>#VALUE!</v>
      </c>
      <c r="Y26" s="22"/>
      <c r="Z26" s="26" t="s">
        <v>51</v>
      </c>
      <c r="AA26" s="29"/>
      <c r="AB26" s="28" t="str">
        <f t="shared" si="7"/>
        <v/>
      </c>
      <c r="AC26" s="31"/>
    </row>
    <row r="27" spans="1:29" s="30" customFormat="1" ht="9.6" customHeight="1" x14ac:dyDescent="0.2">
      <c r="A27" s="22"/>
      <c r="B27" s="24"/>
      <c r="C27" s="23">
        <v>48</v>
      </c>
      <c r="D27" s="32"/>
      <c r="E27" s="26"/>
      <c r="F27" s="26"/>
      <c r="G27" s="26"/>
      <c r="H27" s="24">
        <v>115</v>
      </c>
      <c r="I27" s="24" t="str">
        <f t="shared" si="1"/>
        <v xml:space="preserve"> </v>
      </c>
      <c r="J27" s="26" t="e">
        <f t="shared" si="6"/>
        <v>#VALUE!</v>
      </c>
      <c r="K27" s="22"/>
      <c r="L27" s="26" t="s">
        <v>51</v>
      </c>
      <c r="M27" s="29"/>
      <c r="N27" s="28" t="str">
        <f t="shared" si="2"/>
        <v/>
      </c>
      <c r="O27" s="22"/>
      <c r="P27" s="24"/>
      <c r="Q27" s="24">
        <v>48</v>
      </c>
      <c r="R27" s="25"/>
      <c r="S27" s="26"/>
      <c r="T27" s="26"/>
      <c r="U27" s="26"/>
      <c r="V27" s="24">
        <f t="shared" si="8"/>
        <v>115</v>
      </c>
      <c r="W27" s="24" t="str">
        <f t="shared" si="4"/>
        <v xml:space="preserve"> </v>
      </c>
      <c r="X27" s="26" t="e">
        <f t="shared" si="5"/>
        <v>#VALUE!</v>
      </c>
      <c r="Y27" s="22"/>
      <c r="Z27" s="26" t="s">
        <v>51</v>
      </c>
      <c r="AA27" s="29"/>
      <c r="AB27" s="28" t="str">
        <f t="shared" si="7"/>
        <v/>
      </c>
      <c r="AC27" s="31"/>
    </row>
    <row r="28" spans="1:29" s="30" customFormat="1" ht="9.6" customHeight="1" x14ac:dyDescent="0.2">
      <c r="A28" s="22"/>
      <c r="B28" s="23"/>
      <c r="C28" s="23">
        <v>48</v>
      </c>
      <c r="D28" s="25"/>
      <c r="E28" s="26"/>
      <c r="F28" s="26"/>
      <c r="G28" s="26"/>
      <c r="H28" s="24">
        <f t="shared" si="9"/>
        <v>115</v>
      </c>
      <c r="I28" s="24" t="str">
        <f t="shared" si="1"/>
        <v xml:space="preserve"> </v>
      </c>
      <c r="J28" s="26" t="e">
        <f t="shared" si="6"/>
        <v>#VALUE!</v>
      </c>
      <c r="K28" s="22"/>
      <c r="L28" s="26" t="s">
        <v>51</v>
      </c>
      <c r="M28" s="27"/>
      <c r="N28" s="28" t="str">
        <f t="shared" si="2"/>
        <v/>
      </c>
      <c r="O28" s="22"/>
      <c r="P28" s="24"/>
      <c r="Q28" s="24">
        <v>48</v>
      </c>
      <c r="R28" s="25"/>
      <c r="S28" s="26"/>
      <c r="T28" s="26"/>
      <c r="U28" s="26"/>
      <c r="V28" s="24">
        <f t="shared" si="8"/>
        <v>115</v>
      </c>
      <c r="W28" s="24" t="str">
        <f t="shared" si="4"/>
        <v xml:space="preserve"> </v>
      </c>
      <c r="X28" s="26" t="e">
        <f t="shared" si="5"/>
        <v>#VALUE!</v>
      </c>
      <c r="Y28" s="22"/>
      <c r="Z28" s="26" t="s">
        <v>51</v>
      </c>
      <c r="AA28" s="29"/>
      <c r="AB28" s="28" t="str">
        <f t="shared" si="7"/>
        <v/>
      </c>
      <c r="AC28" s="31"/>
    </row>
    <row r="29" spans="1:29" s="30" customFormat="1" ht="9.6" customHeight="1" x14ac:dyDescent="0.2">
      <c r="A29" s="22"/>
      <c r="B29" s="24"/>
      <c r="C29" s="24">
        <v>48</v>
      </c>
      <c r="D29" s="25"/>
      <c r="E29" s="26"/>
      <c r="F29" s="26"/>
      <c r="G29" s="26"/>
      <c r="H29" s="24">
        <f t="shared" si="9"/>
        <v>115</v>
      </c>
      <c r="I29" s="24" t="str">
        <f t="shared" si="1"/>
        <v xml:space="preserve"> </v>
      </c>
      <c r="J29" s="26" t="e">
        <f t="shared" si="6"/>
        <v>#VALUE!</v>
      </c>
      <c r="K29" s="22"/>
      <c r="L29" s="26" t="s">
        <v>51</v>
      </c>
      <c r="M29" s="29"/>
      <c r="N29" s="28" t="str">
        <f t="shared" si="2"/>
        <v/>
      </c>
      <c r="O29" s="22"/>
      <c r="P29" s="24"/>
      <c r="Q29" s="24">
        <v>48</v>
      </c>
      <c r="R29" s="25"/>
      <c r="S29" s="26"/>
      <c r="T29" s="26"/>
      <c r="U29" s="26"/>
      <c r="V29" s="24">
        <f t="shared" si="8"/>
        <v>115</v>
      </c>
      <c r="W29" s="24" t="str">
        <f t="shared" si="4"/>
        <v xml:space="preserve"> </v>
      </c>
      <c r="X29" s="26" t="e">
        <f t="shared" si="5"/>
        <v>#VALUE!</v>
      </c>
      <c r="Y29" s="22"/>
      <c r="Z29" s="26" t="s">
        <v>51</v>
      </c>
      <c r="AA29" s="29"/>
      <c r="AB29" s="28" t="str">
        <f t="shared" si="7"/>
        <v/>
      </c>
      <c r="AC29" s="31"/>
    </row>
    <row r="30" spans="1:29" s="30" customFormat="1" ht="9.6" customHeight="1" x14ac:dyDescent="0.2">
      <c r="A30" s="22"/>
      <c r="B30" s="24"/>
      <c r="C30" s="23">
        <v>48</v>
      </c>
      <c r="D30" s="32"/>
      <c r="E30" s="26"/>
      <c r="F30" s="26"/>
      <c r="G30" s="26"/>
      <c r="H30" s="24">
        <f t="shared" si="9"/>
        <v>115</v>
      </c>
      <c r="I30" s="24" t="str">
        <f t="shared" si="1"/>
        <v xml:space="preserve"> </v>
      </c>
      <c r="J30" s="26" t="e">
        <f t="shared" si="6"/>
        <v>#VALUE!</v>
      </c>
      <c r="K30" s="22"/>
      <c r="L30" s="26" t="s">
        <v>51</v>
      </c>
      <c r="M30" s="29"/>
      <c r="N30" s="28" t="str">
        <f t="shared" si="2"/>
        <v/>
      </c>
      <c r="O30" s="22"/>
      <c r="P30" s="24"/>
      <c r="Q30" s="24">
        <v>48</v>
      </c>
      <c r="R30" s="25"/>
      <c r="S30" s="26"/>
      <c r="T30" s="26"/>
      <c r="U30" s="26"/>
      <c r="V30" s="24">
        <f t="shared" si="8"/>
        <v>115</v>
      </c>
      <c r="W30" s="24" t="str">
        <f t="shared" si="4"/>
        <v xml:space="preserve"> </v>
      </c>
      <c r="X30" s="26" t="e">
        <f t="shared" si="5"/>
        <v>#VALUE!</v>
      </c>
      <c r="Y30" s="22"/>
      <c r="Z30" s="26" t="s">
        <v>51</v>
      </c>
      <c r="AA30" s="29"/>
      <c r="AB30" s="28" t="str">
        <f t="shared" si="7"/>
        <v/>
      </c>
      <c r="AC30" s="31"/>
    </row>
    <row r="31" spans="1:29" s="30" customFormat="1" ht="9.6" customHeight="1" x14ac:dyDescent="0.2">
      <c r="A31" s="22"/>
      <c r="B31" s="24"/>
      <c r="C31" s="23">
        <v>48</v>
      </c>
      <c r="D31" s="25"/>
      <c r="E31" s="26"/>
      <c r="F31" s="26"/>
      <c r="G31" s="26"/>
      <c r="H31" s="24">
        <f t="shared" si="9"/>
        <v>115</v>
      </c>
      <c r="I31" s="24" t="str">
        <f t="shared" si="1"/>
        <v xml:space="preserve"> </v>
      </c>
      <c r="J31" s="26" t="e">
        <f t="shared" si="6"/>
        <v>#VALUE!</v>
      </c>
      <c r="K31" s="22"/>
      <c r="L31" s="26" t="s">
        <v>51</v>
      </c>
      <c r="M31" s="29"/>
      <c r="N31" s="28" t="str">
        <f t="shared" si="2"/>
        <v/>
      </c>
      <c r="O31" s="22"/>
      <c r="P31" s="24"/>
      <c r="Q31" s="24">
        <v>48</v>
      </c>
      <c r="R31" s="25"/>
      <c r="S31" s="26"/>
      <c r="T31" s="26"/>
      <c r="U31" s="26"/>
      <c r="V31" s="23">
        <v>115</v>
      </c>
      <c r="W31" s="23" t="str">
        <f t="shared" si="4"/>
        <v xml:space="preserve"> </v>
      </c>
      <c r="X31" s="26" t="e">
        <f t="shared" si="5"/>
        <v>#VALUE!</v>
      </c>
      <c r="Y31" s="22"/>
      <c r="Z31" s="26" t="s">
        <v>51</v>
      </c>
      <c r="AA31" s="29"/>
      <c r="AB31" s="28" t="str">
        <f t="shared" si="7"/>
        <v/>
      </c>
      <c r="AC31" s="31"/>
    </row>
    <row r="32" spans="1:29" s="30" customFormat="1" ht="9.6" customHeight="1" x14ac:dyDescent="0.2">
      <c r="A32" s="22"/>
      <c r="B32" s="23"/>
      <c r="C32" s="24">
        <v>48</v>
      </c>
      <c r="D32" s="25"/>
      <c r="E32" s="26"/>
      <c r="F32" s="26"/>
      <c r="G32" s="26"/>
      <c r="H32" s="23">
        <v>115</v>
      </c>
      <c r="I32" s="23" t="str">
        <f t="shared" si="1"/>
        <v xml:space="preserve"> </v>
      </c>
      <c r="J32" s="26" t="e">
        <f t="shared" si="6"/>
        <v>#VALUE!</v>
      </c>
      <c r="K32" s="22"/>
      <c r="L32" s="26" t="s">
        <v>51</v>
      </c>
      <c r="M32" s="27"/>
      <c r="N32" s="28" t="str">
        <f t="shared" si="2"/>
        <v/>
      </c>
      <c r="O32" s="22"/>
      <c r="P32" s="24"/>
      <c r="Q32" s="24">
        <v>48</v>
      </c>
      <c r="R32" s="25"/>
      <c r="S32" s="26"/>
      <c r="T32" s="26"/>
      <c r="U32" s="26"/>
      <c r="V32" s="24">
        <v>115</v>
      </c>
      <c r="W32" s="24" t="str">
        <f t="shared" si="4"/>
        <v xml:space="preserve"> </v>
      </c>
      <c r="X32" s="26" t="e">
        <f t="shared" si="5"/>
        <v>#VALUE!</v>
      </c>
      <c r="Y32" s="22"/>
      <c r="Z32" s="26" t="s">
        <v>51</v>
      </c>
      <c r="AA32" s="29"/>
      <c r="AB32" s="28" t="str">
        <f t="shared" si="7"/>
        <v/>
      </c>
      <c r="AC32" s="31"/>
    </row>
    <row r="33" spans="1:29" s="30" customFormat="1" ht="9.6" customHeight="1" x14ac:dyDescent="0.2">
      <c r="A33" s="22"/>
      <c r="B33" s="24"/>
      <c r="C33" s="23">
        <v>48</v>
      </c>
      <c r="D33" s="32"/>
      <c r="E33" s="26"/>
      <c r="F33" s="26"/>
      <c r="G33" s="26"/>
      <c r="H33" s="24">
        <v>115</v>
      </c>
      <c r="I33" s="24" t="str">
        <f t="shared" si="1"/>
        <v xml:space="preserve"> </v>
      </c>
      <c r="J33" s="26" t="e">
        <f t="shared" si="6"/>
        <v>#VALUE!</v>
      </c>
      <c r="K33" s="22"/>
      <c r="L33" s="26" t="s">
        <v>51</v>
      </c>
      <c r="M33" s="29"/>
      <c r="N33" s="28" t="str">
        <f t="shared" si="2"/>
        <v/>
      </c>
      <c r="O33" s="22"/>
      <c r="P33" s="24"/>
      <c r="Q33" s="24">
        <v>48</v>
      </c>
      <c r="R33" s="25"/>
      <c r="S33" s="26"/>
      <c r="T33" s="26"/>
      <c r="U33" s="26"/>
      <c r="V33" s="24">
        <f t="shared" ref="V33:V34" si="10">40+75</f>
        <v>115</v>
      </c>
      <c r="W33" s="24" t="str">
        <f t="shared" si="4"/>
        <v xml:space="preserve"> </v>
      </c>
      <c r="X33" s="26" t="e">
        <f t="shared" si="5"/>
        <v>#VALUE!</v>
      </c>
      <c r="Y33" s="22"/>
      <c r="Z33" s="26" t="s">
        <v>51</v>
      </c>
      <c r="AA33" s="29"/>
      <c r="AB33" s="28" t="str">
        <f t="shared" si="7"/>
        <v/>
      </c>
      <c r="AC33" s="31"/>
    </row>
    <row r="34" spans="1:29" s="30" customFormat="1" ht="9.6" customHeight="1" x14ac:dyDescent="0.2">
      <c r="A34" s="22"/>
      <c r="B34" s="24"/>
      <c r="C34" s="23">
        <v>48</v>
      </c>
      <c r="D34" s="25"/>
      <c r="E34" s="26"/>
      <c r="F34" s="26"/>
      <c r="G34" s="26"/>
      <c r="H34" s="24">
        <f t="shared" ref="H34:H35" si="11">40+75</f>
        <v>115</v>
      </c>
      <c r="I34" s="24" t="str">
        <f t="shared" si="1"/>
        <v xml:space="preserve"> </v>
      </c>
      <c r="J34" s="26" t="e">
        <f t="shared" si="6"/>
        <v>#VALUE!</v>
      </c>
      <c r="K34" s="22"/>
      <c r="L34" s="26" t="s">
        <v>51</v>
      </c>
      <c r="M34" s="29"/>
      <c r="N34" s="28" t="str">
        <f t="shared" si="2"/>
        <v/>
      </c>
      <c r="O34" s="22"/>
      <c r="P34" s="24"/>
      <c r="Q34" s="24">
        <v>48</v>
      </c>
      <c r="R34" s="25"/>
      <c r="S34" s="26"/>
      <c r="T34" s="26"/>
      <c r="U34" s="26"/>
      <c r="V34" s="24">
        <f t="shared" si="10"/>
        <v>115</v>
      </c>
      <c r="W34" s="24" t="str">
        <f t="shared" si="4"/>
        <v xml:space="preserve"> </v>
      </c>
      <c r="X34" s="26" t="e">
        <f t="shared" si="5"/>
        <v>#VALUE!</v>
      </c>
      <c r="Y34" s="22"/>
      <c r="Z34" s="26" t="s">
        <v>51</v>
      </c>
      <c r="AA34" s="29"/>
      <c r="AB34" s="28" t="str">
        <f t="shared" si="7"/>
        <v/>
      </c>
      <c r="AC34" s="31"/>
    </row>
    <row r="35" spans="1:29" s="30" customFormat="1" ht="9.6" customHeight="1" x14ac:dyDescent="0.2">
      <c r="A35" s="22"/>
      <c r="B35" s="24"/>
      <c r="C35" s="24">
        <v>48</v>
      </c>
      <c r="D35" s="25"/>
      <c r="E35" s="26"/>
      <c r="F35" s="26"/>
      <c r="G35" s="26"/>
      <c r="H35" s="24">
        <f t="shared" si="11"/>
        <v>115</v>
      </c>
      <c r="I35" s="24" t="str">
        <f t="shared" si="1"/>
        <v xml:space="preserve"> </v>
      </c>
      <c r="J35" s="26" t="e">
        <f t="shared" si="6"/>
        <v>#VALUE!</v>
      </c>
      <c r="K35" s="22"/>
      <c r="L35" s="26" t="s">
        <v>51</v>
      </c>
      <c r="M35" s="29"/>
      <c r="N35" s="28" t="str">
        <f t="shared" si="2"/>
        <v/>
      </c>
      <c r="O35" s="22"/>
      <c r="P35" s="24"/>
      <c r="Q35" s="24">
        <v>48</v>
      </c>
      <c r="R35" s="25"/>
      <c r="S35" s="26"/>
      <c r="T35" s="26"/>
      <c r="U35" s="26"/>
      <c r="V35" s="23">
        <v>115</v>
      </c>
      <c r="W35" s="23" t="str">
        <f t="shared" si="4"/>
        <v xml:space="preserve"> </v>
      </c>
      <c r="X35" s="26" t="e">
        <f t="shared" si="5"/>
        <v>#VALUE!</v>
      </c>
      <c r="Y35" s="22"/>
      <c r="Z35" s="26" t="s">
        <v>51</v>
      </c>
      <c r="AA35" s="29"/>
      <c r="AB35" s="28" t="str">
        <f t="shared" si="7"/>
        <v/>
      </c>
      <c r="AC35" s="31"/>
    </row>
    <row r="36" spans="1:29" s="30" customFormat="1" ht="9.6" customHeight="1" x14ac:dyDescent="0.2">
      <c r="A36" s="22"/>
      <c r="B36" s="23"/>
      <c r="C36" s="23">
        <v>48</v>
      </c>
      <c r="D36" s="32"/>
      <c r="E36" s="26"/>
      <c r="F36" s="26"/>
      <c r="G36" s="26"/>
      <c r="H36" s="23">
        <v>115</v>
      </c>
      <c r="I36" s="23" t="str">
        <f t="shared" si="1"/>
        <v xml:space="preserve"> </v>
      </c>
      <c r="J36" s="26" t="e">
        <f t="shared" si="6"/>
        <v>#VALUE!</v>
      </c>
      <c r="K36" s="22"/>
      <c r="L36" s="26" t="s">
        <v>51</v>
      </c>
      <c r="M36" s="27"/>
      <c r="N36" s="28" t="str">
        <f t="shared" si="2"/>
        <v/>
      </c>
      <c r="O36" s="22"/>
      <c r="P36" s="24"/>
      <c r="Q36" s="24">
        <v>48</v>
      </c>
      <c r="R36" s="25"/>
      <c r="S36" s="26"/>
      <c r="T36" s="26"/>
      <c r="U36" s="26"/>
      <c r="V36" s="24">
        <v>115</v>
      </c>
      <c r="W36" s="24" t="str">
        <f t="shared" si="4"/>
        <v xml:space="preserve"> </v>
      </c>
      <c r="X36" s="26" t="e">
        <f t="shared" si="5"/>
        <v>#VALUE!</v>
      </c>
      <c r="Y36" s="22"/>
      <c r="Z36" s="26" t="s">
        <v>51</v>
      </c>
      <c r="AA36" s="29"/>
      <c r="AB36" s="28" t="str">
        <f t="shared" si="7"/>
        <v/>
      </c>
      <c r="AC36" s="31"/>
    </row>
    <row r="37" spans="1:29" s="30" customFormat="1" ht="9.6" customHeight="1" x14ac:dyDescent="0.2">
      <c r="A37" s="22"/>
      <c r="B37" s="24"/>
      <c r="C37" s="23">
        <v>48</v>
      </c>
      <c r="D37" s="25"/>
      <c r="E37" s="26"/>
      <c r="F37" s="26"/>
      <c r="G37" s="26"/>
      <c r="H37" s="24">
        <v>115</v>
      </c>
      <c r="I37" s="24" t="str">
        <f t="shared" si="1"/>
        <v xml:space="preserve"> </v>
      </c>
      <c r="J37" s="26" t="e">
        <f t="shared" si="6"/>
        <v>#VALUE!</v>
      </c>
      <c r="K37" s="22"/>
      <c r="L37" s="26" t="s">
        <v>51</v>
      </c>
      <c r="M37" s="29"/>
      <c r="N37" s="28" t="str">
        <f t="shared" si="2"/>
        <v/>
      </c>
      <c r="O37" s="22"/>
      <c r="P37" s="24"/>
      <c r="Q37" s="24">
        <v>48</v>
      </c>
      <c r="R37" s="25"/>
      <c r="S37" s="26"/>
      <c r="T37" s="26"/>
      <c r="U37" s="26"/>
      <c r="V37" s="24">
        <f t="shared" ref="V37:V38" si="12">40+75</f>
        <v>115</v>
      </c>
      <c r="W37" s="24" t="str">
        <f t="shared" si="4"/>
        <v xml:space="preserve"> </v>
      </c>
      <c r="X37" s="26" t="e">
        <f t="shared" si="5"/>
        <v>#VALUE!</v>
      </c>
      <c r="Y37" s="22"/>
      <c r="Z37" s="26" t="s">
        <v>51</v>
      </c>
      <c r="AA37" s="29"/>
      <c r="AB37" s="28" t="str">
        <f t="shared" si="7"/>
        <v/>
      </c>
      <c r="AC37" s="31"/>
    </row>
    <row r="38" spans="1:29" s="30" customFormat="1" ht="9.6" customHeight="1" x14ac:dyDescent="0.2">
      <c r="A38" s="22"/>
      <c r="B38" s="24"/>
      <c r="C38" s="24">
        <v>48</v>
      </c>
      <c r="D38" s="25"/>
      <c r="E38" s="26"/>
      <c r="F38" s="26"/>
      <c r="G38" s="26"/>
      <c r="H38" s="24">
        <f t="shared" ref="H38:H39" si="13">40+75</f>
        <v>115</v>
      </c>
      <c r="I38" s="24" t="str">
        <f t="shared" si="1"/>
        <v xml:space="preserve"> </v>
      </c>
      <c r="J38" s="26" t="e">
        <f t="shared" si="6"/>
        <v>#VALUE!</v>
      </c>
      <c r="K38" s="22"/>
      <c r="L38" s="26" t="s">
        <v>51</v>
      </c>
      <c r="M38" s="29"/>
      <c r="N38" s="28" t="str">
        <f t="shared" si="2"/>
        <v/>
      </c>
      <c r="O38" s="22"/>
      <c r="P38" s="24"/>
      <c r="Q38" s="24">
        <v>48</v>
      </c>
      <c r="R38" s="25"/>
      <c r="S38" s="26"/>
      <c r="T38" s="26"/>
      <c r="U38" s="26"/>
      <c r="V38" s="24">
        <f t="shared" si="12"/>
        <v>115</v>
      </c>
      <c r="W38" s="24" t="str">
        <f t="shared" si="4"/>
        <v xml:space="preserve"> </v>
      </c>
      <c r="X38" s="26" t="e">
        <f t="shared" si="5"/>
        <v>#VALUE!</v>
      </c>
      <c r="Y38" s="22"/>
      <c r="Z38" s="26" t="s">
        <v>51</v>
      </c>
      <c r="AA38" s="29"/>
      <c r="AB38" s="28" t="str">
        <f t="shared" si="7"/>
        <v/>
      </c>
      <c r="AC38" s="31"/>
    </row>
    <row r="39" spans="1:29" s="30" customFormat="1" ht="9.6" customHeight="1" x14ac:dyDescent="0.2">
      <c r="A39" s="22"/>
      <c r="B39" s="24"/>
      <c r="C39" s="23">
        <v>48</v>
      </c>
      <c r="D39" s="32"/>
      <c r="E39" s="26"/>
      <c r="F39" s="26"/>
      <c r="G39" s="26"/>
      <c r="H39" s="24">
        <f t="shared" si="13"/>
        <v>115</v>
      </c>
      <c r="I39" s="24" t="str">
        <f t="shared" si="1"/>
        <v xml:space="preserve"> </v>
      </c>
      <c r="J39" s="26" t="e">
        <f t="shared" si="6"/>
        <v>#VALUE!</v>
      </c>
      <c r="K39" s="22"/>
      <c r="L39" s="26" t="s">
        <v>51</v>
      </c>
      <c r="M39" s="29"/>
      <c r="N39" s="28" t="str">
        <f t="shared" si="2"/>
        <v/>
      </c>
      <c r="O39" s="22"/>
      <c r="P39" s="24"/>
      <c r="Q39" s="24">
        <v>48</v>
      </c>
      <c r="R39" s="25"/>
      <c r="S39" s="26"/>
      <c r="T39" s="26"/>
      <c r="U39" s="26"/>
      <c r="V39" s="23">
        <v>115</v>
      </c>
      <c r="W39" s="23" t="str">
        <f t="shared" si="4"/>
        <v xml:space="preserve"> </v>
      </c>
      <c r="X39" s="26" t="e">
        <f t="shared" si="5"/>
        <v>#VALUE!</v>
      </c>
      <c r="Y39" s="22"/>
      <c r="Z39" s="26" t="s">
        <v>51</v>
      </c>
      <c r="AA39" s="29"/>
      <c r="AB39" s="28" t="str">
        <f t="shared" si="7"/>
        <v/>
      </c>
      <c r="AC39" s="31"/>
    </row>
    <row r="40" spans="1:29" s="30" customFormat="1" ht="9.6" customHeight="1" x14ac:dyDescent="0.2">
      <c r="A40" s="22"/>
      <c r="B40" s="23"/>
      <c r="C40" s="23">
        <v>48</v>
      </c>
      <c r="D40" s="25"/>
      <c r="E40" s="26"/>
      <c r="F40" s="26"/>
      <c r="G40" s="26"/>
      <c r="H40" s="23">
        <v>115</v>
      </c>
      <c r="I40" s="23" t="str">
        <f t="shared" si="1"/>
        <v xml:space="preserve"> </v>
      </c>
      <c r="J40" s="26" t="e">
        <f t="shared" si="6"/>
        <v>#VALUE!</v>
      </c>
      <c r="K40" s="22"/>
      <c r="L40" s="26" t="s">
        <v>51</v>
      </c>
      <c r="M40" s="27"/>
      <c r="N40" s="28" t="str">
        <f t="shared" si="2"/>
        <v/>
      </c>
      <c r="O40" s="22"/>
      <c r="P40" s="24"/>
      <c r="Q40" s="24">
        <v>48</v>
      </c>
      <c r="R40" s="25"/>
      <c r="S40" s="26"/>
      <c r="T40" s="26"/>
      <c r="U40" s="26"/>
      <c r="V40" s="24">
        <v>115</v>
      </c>
      <c r="W40" s="24" t="str">
        <f t="shared" si="4"/>
        <v xml:space="preserve"> </v>
      </c>
      <c r="X40" s="26" t="e">
        <f t="shared" si="5"/>
        <v>#VALUE!</v>
      </c>
      <c r="Y40" s="22"/>
      <c r="Z40" s="26" t="s">
        <v>51</v>
      </c>
      <c r="AA40" s="29"/>
      <c r="AB40" s="28" t="str">
        <f t="shared" si="7"/>
        <v/>
      </c>
      <c r="AC40" s="31"/>
    </row>
    <row r="41" spans="1:29" s="30" customFormat="1" ht="9.6" customHeight="1" x14ac:dyDescent="0.2">
      <c r="A41" s="22"/>
      <c r="B41" s="24"/>
      <c r="C41" s="24">
        <v>48</v>
      </c>
      <c r="D41" s="25"/>
      <c r="E41" s="26"/>
      <c r="F41" s="26"/>
      <c r="G41" s="26"/>
      <c r="H41" s="24">
        <v>115</v>
      </c>
      <c r="I41" s="24" t="str">
        <f t="shared" si="1"/>
        <v xml:space="preserve"> </v>
      </c>
      <c r="J41" s="26" t="e">
        <f t="shared" si="6"/>
        <v>#VALUE!</v>
      </c>
      <c r="K41" s="22"/>
      <c r="L41" s="26" t="s">
        <v>51</v>
      </c>
      <c r="M41" s="29"/>
      <c r="N41" s="28" t="str">
        <f t="shared" si="2"/>
        <v/>
      </c>
      <c r="O41" s="22"/>
      <c r="P41" s="24"/>
      <c r="Q41" s="24">
        <v>48</v>
      </c>
      <c r="R41" s="25"/>
      <c r="S41" s="26"/>
      <c r="T41" s="26"/>
      <c r="U41" s="26"/>
      <c r="V41" s="24">
        <f t="shared" ref="V41:V42" si="14">40+75</f>
        <v>115</v>
      </c>
      <c r="W41" s="24" t="str">
        <f t="shared" si="4"/>
        <v xml:space="preserve"> </v>
      </c>
      <c r="X41" s="26" t="e">
        <f t="shared" si="5"/>
        <v>#VALUE!</v>
      </c>
      <c r="Y41" s="22"/>
      <c r="Z41" s="26" t="s">
        <v>51</v>
      </c>
      <c r="AA41" s="29"/>
      <c r="AB41" s="28" t="str">
        <f t="shared" si="7"/>
        <v/>
      </c>
      <c r="AC41" s="31"/>
    </row>
    <row r="42" spans="1:29" s="30" customFormat="1" ht="9.6" customHeight="1" x14ac:dyDescent="0.2">
      <c r="A42" s="22"/>
      <c r="B42" s="24"/>
      <c r="C42" s="23">
        <v>48</v>
      </c>
      <c r="D42" s="32"/>
      <c r="E42" s="26"/>
      <c r="F42" s="26"/>
      <c r="G42" s="26"/>
      <c r="H42" s="24">
        <f t="shared" ref="H42:H43" si="15">40+75</f>
        <v>115</v>
      </c>
      <c r="I42" s="24" t="str">
        <f t="shared" si="1"/>
        <v xml:space="preserve"> </v>
      </c>
      <c r="J42" s="26" t="e">
        <f t="shared" si="6"/>
        <v>#VALUE!</v>
      </c>
      <c r="K42" s="22"/>
      <c r="L42" s="26" t="s">
        <v>51</v>
      </c>
      <c r="M42" s="29"/>
      <c r="N42" s="28" t="str">
        <f t="shared" si="2"/>
        <v/>
      </c>
      <c r="O42" s="22"/>
      <c r="P42" s="24"/>
      <c r="Q42" s="24">
        <v>48</v>
      </c>
      <c r="R42" s="25"/>
      <c r="S42" s="26"/>
      <c r="T42" s="26"/>
      <c r="U42" s="26"/>
      <c r="V42" s="24">
        <f t="shared" si="14"/>
        <v>115</v>
      </c>
      <c r="W42" s="24" t="str">
        <f t="shared" si="4"/>
        <v xml:space="preserve"> </v>
      </c>
      <c r="X42" s="26" t="e">
        <f t="shared" si="5"/>
        <v>#VALUE!</v>
      </c>
      <c r="Y42" s="22"/>
      <c r="Z42" s="26" t="s">
        <v>51</v>
      </c>
      <c r="AA42" s="29"/>
      <c r="AB42" s="28" t="str">
        <f t="shared" si="7"/>
        <v/>
      </c>
      <c r="AC42" s="31"/>
    </row>
    <row r="43" spans="1:29" s="30" customFormat="1" ht="9.6" customHeight="1" x14ac:dyDescent="0.2">
      <c r="A43" s="22"/>
      <c r="B43" s="24"/>
      <c r="C43" s="23">
        <v>48</v>
      </c>
      <c r="D43" s="25"/>
      <c r="E43" s="26"/>
      <c r="F43" s="26"/>
      <c r="G43" s="26"/>
      <c r="H43" s="24">
        <f t="shared" si="15"/>
        <v>115</v>
      </c>
      <c r="I43" s="24" t="str">
        <f t="shared" si="1"/>
        <v xml:space="preserve"> </v>
      </c>
      <c r="J43" s="26" t="e">
        <f t="shared" si="6"/>
        <v>#VALUE!</v>
      </c>
      <c r="K43" s="22"/>
      <c r="L43" s="26" t="s">
        <v>51</v>
      </c>
      <c r="M43" s="29"/>
      <c r="N43" s="28" t="str">
        <f t="shared" si="2"/>
        <v/>
      </c>
      <c r="O43" s="22"/>
      <c r="P43" s="24"/>
      <c r="Q43" s="24">
        <v>48</v>
      </c>
      <c r="R43" s="25"/>
      <c r="S43" s="26"/>
      <c r="T43" s="26"/>
      <c r="U43" s="26"/>
      <c r="V43" s="23">
        <v>115</v>
      </c>
      <c r="W43" s="23" t="str">
        <f t="shared" si="4"/>
        <v xml:space="preserve"> </v>
      </c>
      <c r="X43" s="26" t="e">
        <f t="shared" si="5"/>
        <v>#VALUE!</v>
      </c>
      <c r="Y43" s="22"/>
      <c r="Z43" s="26" t="s">
        <v>51</v>
      </c>
      <c r="AA43" s="29"/>
      <c r="AB43" s="28" t="str">
        <f t="shared" si="7"/>
        <v/>
      </c>
      <c r="AC43" s="31"/>
    </row>
    <row r="44" spans="1:29" s="30" customFormat="1" ht="9.6" customHeight="1" x14ac:dyDescent="0.2">
      <c r="A44" s="22"/>
      <c r="B44" s="23"/>
      <c r="C44" s="24">
        <v>48</v>
      </c>
      <c r="D44" s="25"/>
      <c r="E44" s="26"/>
      <c r="F44" s="26"/>
      <c r="G44" s="26"/>
      <c r="H44" s="23">
        <v>115</v>
      </c>
      <c r="I44" s="23" t="str">
        <f t="shared" si="1"/>
        <v xml:space="preserve"> </v>
      </c>
      <c r="J44" s="26" t="e">
        <f t="shared" si="6"/>
        <v>#VALUE!</v>
      </c>
      <c r="K44" s="22"/>
      <c r="L44" s="26" t="s">
        <v>51</v>
      </c>
      <c r="M44" s="27"/>
      <c r="N44" s="28" t="str">
        <f t="shared" si="2"/>
        <v/>
      </c>
      <c r="O44" s="22"/>
      <c r="P44" s="24"/>
      <c r="Q44" s="24">
        <v>48</v>
      </c>
      <c r="R44" s="25"/>
      <c r="S44" s="26"/>
      <c r="T44" s="26"/>
      <c r="U44" s="26"/>
      <c r="V44" s="24">
        <v>115</v>
      </c>
      <c r="W44" s="24" t="str">
        <f t="shared" si="4"/>
        <v xml:space="preserve"> </v>
      </c>
      <c r="X44" s="26" t="e">
        <f t="shared" si="5"/>
        <v>#VALUE!</v>
      </c>
      <c r="Y44" s="22"/>
      <c r="Z44" s="26" t="s">
        <v>51</v>
      </c>
      <c r="AA44" s="29"/>
      <c r="AB44" s="28" t="str">
        <f t="shared" si="7"/>
        <v/>
      </c>
      <c r="AC44" s="31"/>
    </row>
    <row r="45" spans="1:29" s="30" customFormat="1" ht="9.6" customHeight="1" x14ac:dyDescent="0.2">
      <c r="A45" s="22"/>
      <c r="B45" s="24"/>
      <c r="C45" s="23">
        <v>48</v>
      </c>
      <c r="D45" s="32"/>
      <c r="E45" s="26"/>
      <c r="F45" s="26"/>
      <c r="G45" s="26"/>
      <c r="H45" s="24">
        <v>115</v>
      </c>
      <c r="I45" s="24" t="str">
        <f t="shared" si="1"/>
        <v xml:space="preserve"> </v>
      </c>
      <c r="J45" s="26" t="e">
        <f t="shared" si="6"/>
        <v>#VALUE!</v>
      </c>
      <c r="K45" s="22"/>
      <c r="L45" s="26" t="s">
        <v>51</v>
      </c>
      <c r="M45" s="29"/>
      <c r="N45" s="28" t="str">
        <f t="shared" si="2"/>
        <v/>
      </c>
      <c r="O45" s="22"/>
      <c r="P45" s="24"/>
      <c r="Q45" s="24">
        <v>48</v>
      </c>
      <c r="R45" s="25"/>
      <c r="S45" s="26"/>
      <c r="T45" s="26"/>
      <c r="U45" s="26"/>
      <c r="V45" s="24">
        <f t="shared" ref="V45:V46" si="16">40+75</f>
        <v>115</v>
      </c>
      <c r="W45" s="24" t="str">
        <f t="shared" si="4"/>
        <v xml:space="preserve"> </v>
      </c>
      <c r="X45" s="26" t="e">
        <f t="shared" si="5"/>
        <v>#VALUE!</v>
      </c>
      <c r="Y45" s="22"/>
      <c r="Z45" s="26" t="s">
        <v>51</v>
      </c>
      <c r="AA45" s="29"/>
      <c r="AB45" s="28" t="str">
        <f t="shared" si="7"/>
        <v/>
      </c>
      <c r="AC45" s="31"/>
    </row>
    <row r="46" spans="1:29" s="30" customFormat="1" ht="9.6" customHeight="1" x14ac:dyDescent="0.2">
      <c r="A46" s="22"/>
      <c r="B46" s="24"/>
      <c r="C46" s="23">
        <v>48</v>
      </c>
      <c r="D46" s="25"/>
      <c r="E46" s="26"/>
      <c r="F46" s="26"/>
      <c r="G46" s="26"/>
      <c r="H46" s="24">
        <f t="shared" ref="H46:H47" si="17">40+75</f>
        <v>115</v>
      </c>
      <c r="I46" s="24" t="str">
        <f t="shared" si="1"/>
        <v xml:space="preserve"> </v>
      </c>
      <c r="J46" s="26" t="e">
        <f t="shared" si="6"/>
        <v>#VALUE!</v>
      </c>
      <c r="K46" s="22"/>
      <c r="L46" s="26" t="s">
        <v>51</v>
      </c>
      <c r="M46" s="29"/>
      <c r="N46" s="28" t="str">
        <f t="shared" si="2"/>
        <v/>
      </c>
      <c r="O46" s="22"/>
      <c r="P46" s="24"/>
      <c r="Q46" s="24">
        <v>48</v>
      </c>
      <c r="R46" s="25"/>
      <c r="S46" s="26"/>
      <c r="T46" s="26"/>
      <c r="U46" s="26"/>
      <c r="V46" s="24">
        <f t="shared" si="16"/>
        <v>115</v>
      </c>
      <c r="W46" s="24" t="str">
        <f t="shared" si="4"/>
        <v xml:space="preserve"> </v>
      </c>
      <c r="X46" s="26" t="e">
        <f t="shared" si="5"/>
        <v>#VALUE!</v>
      </c>
      <c r="Y46" s="22"/>
      <c r="Z46" s="26" t="s">
        <v>51</v>
      </c>
      <c r="AA46" s="29"/>
      <c r="AB46" s="28" t="str">
        <f t="shared" si="7"/>
        <v/>
      </c>
      <c r="AC46" s="31"/>
    </row>
    <row r="47" spans="1:29" s="30" customFormat="1" ht="9.6" customHeight="1" x14ac:dyDescent="0.2">
      <c r="A47" s="22"/>
      <c r="B47" s="24"/>
      <c r="C47" s="24">
        <v>48</v>
      </c>
      <c r="D47" s="25"/>
      <c r="E47" s="26"/>
      <c r="F47" s="26"/>
      <c r="G47" s="26"/>
      <c r="H47" s="24">
        <f t="shared" si="17"/>
        <v>115</v>
      </c>
      <c r="I47" s="24" t="str">
        <f t="shared" si="1"/>
        <v xml:space="preserve"> </v>
      </c>
      <c r="J47" s="26" t="e">
        <f t="shared" si="6"/>
        <v>#VALUE!</v>
      </c>
      <c r="K47" s="22"/>
      <c r="L47" s="26" t="s">
        <v>51</v>
      </c>
      <c r="M47" s="29"/>
      <c r="N47" s="28" t="str">
        <f t="shared" si="2"/>
        <v/>
      </c>
      <c r="O47" s="22"/>
      <c r="P47" s="24"/>
      <c r="Q47" s="24">
        <v>48</v>
      </c>
      <c r="R47" s="25"/>
      <c r="S47" s="26"/>
      <c r="T47" s="26"/>
      <c r="U47" s="26"/>
      <c r="V47" s="23">
        <v>115</v>
      </c>
      <c r="W47" s="23" t="str">
        <f t="shared" si="4"/>
        <v xml:space="preserve"> </v>
      </c>
      <c r="X47" s="26" t="e">
        <f t="shared" si="5"/>
        <v>#VALUE!</v>
      </c>
      <c r="Y47" s="22"/>
      <c r="Z47" s="26" t="s">
        <v>51</v>
      </c>
      <c r="AA47" s="29"/>
      <c r="AB47" s="28" t="str">
        <f t="shared" si="7"/>
        <v/>
      </c>
      <c r="AC47" s="31"/>
    </row>
    <row r="48" spans="1:29" s="30" customFormat="1" ht="9.6" customHeight="1" x14ac:dyDescent="0.2">
      <c r="A48" s="22"/>
      <c r="B48" s="23"/>
      <c r="C48" s="23">
        <v>48</v>
      </c>
      <c r="D48" s="32"/>
      <c r="E48" s="26"/>
      <c r="F48" s="26"/>
      <c r="G48" s="26"/>
      <c r="H48" s="23">
        <v>115</v>
      </c>
      <c r="I48" s="23" t="str">
        <f t="shared" si="1"/>
        <v xml:space="preserve"> </v>
      </c>
      <c r="J48" s="26" t="e">
        <f t="shared" si="6"/>
        <v>#VALUE!</v>
      </c>
      <c r="K48" s="22"/>
      <c r="L48" s="26" t="s">
        <v>51</v>
      </c>
      <c r="M48" s="27"/>
      <c r="N48" s="28" t="str">
        <f t="shared" si="2"/>
        <v/>
      </c>
      <c r="O48" s="22"/>
      <c r="P48" s="24"/>
      <c r="Q48" s="24">
        <v>48</v>
      </c>
      <c r="R48" s="25"/>
      <c r="S48" s="26"/>
      <c r="T48" s="26"/>
      <c r="U48" s="26"/>
      <c r="V48" s="24">
        <v>115</v>
      </c>
      <c r="W48" s="24" t="str">
        <f t="shared" si="4"/>
        <v xml:space="preserve"> </v>
      </c>
      <c r="X48" s="26" t="e">
        <f t="shared" si="5"/>
        <v>#VALUE!</v>
      </c>
      <c r="Y48" s="22"/>
      <c r="Z48" s="26" t="s">
        <v>51</v>
      </c>
      <c r="AA48" s="29"/>
      <c r="AB48" s="28" t="str">
        <f t="shared" si="7"/>
        <v/>
      </c>
      <c r="AC48" s="31"/>
    </row>
    <row r="49" spans="1:29" s="30" customFormat="1" ht="9.6" customHeight="1" x14ac:dyDescent="0.2">
      <c r="A49" s="22"/>
      <c r="B49" s="24"/>
      <c r="C49" s="23">
        <v>48</v>
      </c>
      <c r="D49" s="25"/>
      <c r="E49" s="26"/>
      <c r="F49" s="26"/>
      <c r="G49" s="26"/>
      <c r="H49" s="24">
        <v>115</v>
      </c>
      <c r="I49" s="24" t="str">
        <f t="shared" si="1"/>
        <v xml:space="preserve"> </v>
      </c>
      <c r="J49" s="26" t="e">
        <f t="shared" si="6"/>
        <v>#VALUE!</v>
      </c>
      <c r="K49" s="22"/>
      <c r="L49" s="26" t="s">
        <v>51</v>
      </c>
      <c r="M49" s="29"/>
      <c r="N49" s="28" t="str">
        <f t="shared" si="2"/>
        <v/>
      </c>
      <c r="O49" s="22"/>
      <c r="P49" s="24"/>
      <c r="Q49" s="24">
        <v>48</v>
      </c>
      <c r="R49" s="25"/>
      <c r="S49" s="26"/>
      <c r="T49" s="26"/>
      <c r="U49" s="26"/>
      <c r="V49" s="24">
        <f t="shared" ref="V49:V50" si="18">40+75</f>
        <v>115</v>
      </c>
      <c r="W49" s="24" t="str">
        <f t="shared" si="4"/>
        <v xml:space="preserve"> </v>
      </c>
      <c r="X49" s="26" t="e">
        <f t="shared" si="5"/>
        <v>#VALUE!</v>
      </c>
      <c r="Y49" s="22"/>
      <c r="Z49" s="26" t="s">
        <v>51</v>
      </c>
      <c r="AA49" s="29"/>
      <c r="AB49" s="28" t="str">
        <f t="shared" si="7"/>
        <v/>
      </c>
      <c r="AC49" s="31"/>
    </row>
    <row r="50" spans="1:29" s="30" customFormat="1" ht="9.6" customHeight="1" x14ac:dyDescent="0.2">
      <c r="A50" s="22"/>
      <c r="B50" s="24"/>
      <c r="C50" s="24">
        <v>48</v>
      </c>
      <c r="D50" s="25"/>
      <c r="E50" s="26"/>
      <c r="F50" s="26"/>
      <c r="G50" s="26"/>
      <c r="H50" s="24">
        <f t="shared" ref="H50:H51" si="19">40+75</f>
        <v>115</v>
      </c>
      <c r="I50" s="24" t="str">
        <f t="shared" si="1"/>
        <v xml:space="preserve"> </v>
      </c>
      <c r="J50" s="26" t="e">
        <f t="shared" si="6"/>
        <v>#VALUE!</v>
      </c>
      <c r="K50" s="22"/>
      <c r="L50" s="26" t="s">
        <v>51</v>
      </c>
      <c r="M50" s="29"/>
      <c r="N50" s="28" t="str">
        <f t="shared" si="2"/>
        <v/>
      </c>
      <c r="O50" s="22"/>
      <c r="P50" s="24"/>
      <c r="Q50" s="24">
        <v>48</v>
      </c>
      <c r="R50" s="25"/>
      <c r="S50" s="26"/>
      <c r="T50" s="26"/>
      <c r="U50" s="26"/>
      <c r="V50" s="24">
        <f t="shared" si="18"/>
        <v>115</v>
      </c>
      <c r="W50" s="24" t="str">
        <f t="shared" si="4"/>
        <v xml:space="preserve"> </v>
      </c>
      <c r="X50" s="26" t="e">
        <f t="shared" si="5"/>
        <v>#VALUE!</v>
      </c>
      <c r="Y50" s="22"/>
      <c r="Z50" s="26" t="s">
        <v>51</v>
      </c>
      <c r="AA50" s="29"/>
      <c r="AB50" s="28" t="str">
        <f t="shared" si="7"/>
        <v/>
      </c>
      <c r="AC50" s="31"/>
    </row>
    <row r="51" spans="1:29" s="30" customFormat="1" ht="9.6" customHeight="1" x14ac:dyDescent="0.2">
      <c r="A51" s="22"/>
      <c r="B51" s="24"/>
      <c r="C51" s="23">
        <v>48</v>
      </c>
      <c r="D51" s="32"/>
      <c r="E51" s="26"/>
      <c r="F51" s="26"/>
      <c r="G51" s="26"/>
      <c r="H51" s="24">
        <f t="shared" si="19"/>
        <v>115</v>
      </c>
      <c r="I51" s="24" t="str">
        <f t="shared" si="1"/>
        <v xml:space="preserve"> </v>
      </c>
      <c r="J51" s="26" t="e">
        <f t="shared" si="6"/>
        <v>#VALUE!</v>
      </c>
      <c r="K51" s="22"/>
      <c r="L51" s="26" t="s">
        <v>51</v>
      </c>
      <c r="M51" s="29"/>
      <c r="N51" s="28" t="str">
        <f t="shared" si="2"/>
        <v/>
      </c>
      <c r="O51" s="22"/>
      <c r="P51" s="24"/>
      <c r="Q51" s="24">
        <v>48</v>
      </c>
      <c r="R51" s="25"/>
      <c r="S51" s="26"/>
      <c r="T51" s="26"/>
      <c r="U51" s="26"/>
      <c r="V51" s="23">
        <v>115</v>
      </c>
      <c r="W51" s="23" t="str">
        <f t="shared" si="4"/>
        <v xml:space="preserve"> </v>
      </c>
      <c r="X51" s="26" t="e">
        <f t="shared" si="5"/>
        <v>#VALUE!</v>
      </c>
      <c r="Y51" s="22"/>
      <c r="Z51" s="26" t="s">
        <v>51</v>
      </c>
      <c r="AA51" s="29"/>
      <c r="AB51" s="28" t="str">
        <f t="shared" si="7"/>
        <v/>
      </c>
      <c r="AC51" s="31"/>
    </row>
    <row r="52" spans="1:29" s="30" customFormat="1" ht="9.6" customHeight="1" x14ac:dyDescent="0.2">
      <c r="A52" s="22"/>
      <c r="B52" s="23"/>
      <c r="C52" s="23">
        <v>48</v>
      </c>
      <c r="D52" s="25"/>
      <c r="E52" s="26"/>
      <c r="F52" s="26"/>
      <c r="G52" s="26"/>
      <c r="H52" s="23">
        <v>115</v>
      </c>
      <c r="I52" s="23" t="str">
        <f t="shared" si="1"/>
        <v xml:space="preserve"> </v>
      </c>
      <c r="J52" s="26" t="e">
        <f t="shared" si="6"/>
        <v>#VALUE!</v>
      </c>
      <c r="K52" s="22"/>
      <c r="L52" s="26" t="s">
        <v>51</v>
      </c>
      <c r="M52" s="27"/>
      <c r="N52" s="28" t="str">
        <f t="shared" si="2"/>
        <v/>
      </c>
      <c r="O52" s="22"/>
      <c r="P52" s="24"/>
      <c r="Q52" s="24">
        <v>48</v>
      </c>
      <c r="R52" s="25"/>
      <c r="S52" s="26"/>
      <c r="T52" s="26"/>
      <c r="U52" s="26"/>
      <c r="V52" s="24">
        <v>115</v>
      </c>
      <c r="W52" s="24" t="str">
        <f t="shared" si="4"/>
        <v xml:space="preserve"> </v>
      </c>
      <c r="X52" s="26" t="e">
        <f t="shared" si="5"/>
        <v>#VALUE!</v>
      </c>
      <c r="Y52" s="22"/>
      <c r="Z52" s="26" t="s">
        <v>51</v>
      </c>
      <c r="AA52" s="29"/>
      <c r="AB52" s="28" t="str">
        <f t="shared" si="7"/>
        <v/>
      </c>
      <c r="AC52" s="31"/>
    </row>
    <row r="53" spans="1:29" s="30" customFormat="1" ht="9.6" customHeight="1" x14ac:dyDescent="0.2">
      <c r="A53" s="22"/>
      <c r="B53" s="24"/>
      <c r="C53" s="24">
        <v>48</v>
      </c>
      <c r="D53" s="25"/>
      <c r="E53" s="26"/>
      <c r="F53" s="26"/>
      <c r="G53" s="26"/>
      <c r="H53" s="24">
        <v>115</v>
      </c>
      <c r="I53" s="24" t="str">
        <f t="shared" si="1"/>
        <v xml:space="preserve"> </v>
      </c>
      <c r="J53" s="26" t="e">
        <f t="shared" si="6"/>
        <v>#VALUE!</v>
      </c>
      <c r="K53" s="22"/>
      <c r="L53" s="26" t="s">
        <v>51</v>
      </c>
      <c r="M53" s="29"/>
      <c r="N53" s="28" t="str">
        <f t="shared" si="2"/>
        <v/>
      </c>
      <c r="O53" s="22"/>
      <c r="P53" s="24"/>
      <c r="Q53" s="24">
        <v>48</v>
      </c>
      <c r="R53" s="32"/>
      <c r="S53" s="26"/>
      <c r="T53" s="26"/>
      <c r="U53" s="26"/>
      <c r="V53" s="23">
        <f t="shared" ref="V53:V55" si="20">40+75</f>
        <v>115</v>
      </c>
      <c r="W53" s="23" t="str">
        <f t="shared" si="4"/>
        <v xml:space="preserve"> </v>
      </c>
      <c r="X53" s="26" t="e">
        <f t="shared" si="5"/>
        <v>#VALUE!</v>
      </c>
      <c r="Y53" s="22"/>
      <c r="Z53" s="26" t="s">
        <v>51</v>
      </c>
      <c r="AA53" s="29"/>
      <c r="AB53" s="28" t="str">
        <f t="shared" si="7"/>
        <v/>
      </c>
      <c r="AC53" s="31"/>
    </row>
    <row r="54" spans="1:29" s="30" customFormat="1" ht="9.6" customHeight="1" x14ac:dyDescent="0.2">
      <c r="A54" s="22"/>
      <c r="B54" s="23"/>
      <c r="C54" s="23">
        <v>48</v>
      </c>
      <c r="D54" s="32"/>
      <c r="E54" s="26"/>
      <c r="F54" s="26"/>
      <c r="G54" s="26"/>
      <c r="H54" s="23">
        <f t="shared" ref="H54:H55" si="21">40+75</f>
        <v>115</v>
      </c>
      <c r="I54" s="23" t="str">
        <f t="shared" si="1"/>
        <v xml:space="preserve"> </v>
      </c>
      <c r="J54" s="26" t="e">
        <f t="shared" si="6"/>
        <v>#VALUE!</v>
      </c>
      <c r="K54" s="22"/>
      <c r="L54" s="26" t="s">
        <v>51</v>
      </c>
      <c r="M54" s="27"/>
      <c r="N54" s="28" t="str">
        <f t="shared" si="2"/>
        <v/>
      </c>
      <c r="O54" s="22"/>
      <c r="P54" s="23"/>
      <c r="Q54" s="23">
        <v>48</v>
      </c>
      <c r="R54" s="32"/>
      <c r="S54" s="26"/>
      <c r="T54" s="26"/>
      <c r="U54" s="26"/>
      <c r="V54" s="23">
        <v>115</v>
      </c>
      <c r="W54" s="23" t="str">
        <f t="shared" si="4"/>
        <v xml:space="preserve"> </v>
      </c>
      <c r="X54" s="26" t="e">
        <f t="shared" si="5"/>
        <v>#VALUE!</v>
      </c>
      <c r="Y54" s="22"/>
      <c r="Z54" s="26" t="s">
        <v>51</v>
      </c>
      <c r="AA54" s="27"/>
      <c r="AB54" s="28" t="str">
        <f t="shared" si="7"/>
        <v/>
      </c>
      <c r="AC54" s="31"/>
    </row>
    <row r="55" spans="1:29" s="30" customFormat="1" ht="9.6" customHeight="1" x14ac:dyDescent="0.2">
      <c r="A55" s="22"/>
      <c r="B55" s="23"/>
      <c r="C55" s="23">
        <v>48</v>
      </c>
      <c r="D55" s="32"/>
      <c r="E55" s="26"/>
      <c r="F55" s="26"/>
      <c r="G55" s="26"/>
      <c r="H55" s="23">
        <f t="shared" si="21"/>
        <v>115</v>
      </c>
      <c r="I55" s="23" t="str">
        <f t="shared" si="1"/>
        <v xml:space="preserve"> </v>
      </c>
      <c r="J55" s="26" t="e">
        <f t="shared" si="6"/>
        <v>#VALUE!</v>
      </c>
      <c r="K55" s="22"/>
      <c r="L55" s="26" t="s">
        <v>51</v>
      </c>
      <c r="M55" s="27"/>
      <c r="N55" s="28" t="str">
        <f t="shared" si="2"/>
        <v/>
      </c>
      <c r="O55" s="22"/>
      <c r="P55" s="24"/>
      <c r="Q55" s="24">
        <v>48</v>
      </c>
      <c r="R55" s="32"/>
      <c r="S55" s="26"/>
      <c r="T55" s="26"/>
      <c r="U55" s="26"/>
      <c r="V55" s="23">
        <f t="shared" si="20"/>
        <v>115</v>
      </c>
      <c r="W55" s="23" t="str">
        <f t="shared" si="4"/>
        <v xml:space="preserve"> </v>
      </c>
      <c r="X55" s="26" t="e">
        <f t="shared" si="5"/>
        <v>#VALUE!</v>
      </c>
      <c r="Y55" s="22"/>
      <c r="Z55" s="26" t="s">
        <v>51</v>
      </c>
      <c r="AA55" s="29"/>
      <c r="AB55" s="28" t="str">
        <f t="shared" si="7"/>
        <v/>
      </c>
      <c r="AC55" s="31"/>
    </row>
    <row r="56" spans="1:29" s="30" customFormat="1" ht="9.6" customHeight="1" x14ac:dyDescent="0.2">
      <c r="A56" s="22"/>
      <c r="B56" s="23"/>
      <c r="C56" s="23">
        <v>48</v>
      </c>
      <c r="D56" s="32"/>
      <c r="E56" s="26"/>
      <c r="F56" s="26"/>
      <c r="G56" s="26"/>
      <c r="H56" s="23">
        <v>115</v>
      </c>
      <c r="I56" s="23" t="str">
        <f t="shared" si="1"/>
        <v xml:space="preserve"> </v>
      </c>
      <c r="J56" s="26" t="e">
        <f t="shared" si="6"/>
        <v>#VALUE!</v>
      </c>
      <c r="K56" s="22"/>
      <c r="L56" s="26" t="s">
        <v>51</v>
      </c>
      <c r="M56" s="27"/>
      <c r="N56" s="28" t="str">
        <f t="shared" si="2"/>
        <v/>
      </c>
      <c r="O56" s="22"/>
      <c r="P56" s="24"/>
      <c r="Q56" s="24">
        <v>48</v>
      </c>
      <c r="R56" s="32"/>
      <c r="S56" s="26"/>
      <c r="T56" s="26"/>
      <c r="U56" s="26"/>
      <c r="V56" s="23">
        <v>115</v>
      </c>
      <c r="W56" s="23" t="str">
        <f t="shared" si="4"/>
        <v xml:space="preserve"> </v>
      </c>
      <c r="X56" s="26" t="e">
        <f t="shared" si="5"/>
        <v>#VALUE!</v>
      </c>
      <c r="Y56" s="22"/>
      <c r="Z56" s="26" t="s">
        <v>51</v>
      </c>
      <c r="AA56" s="29"/>
      <c r="AB56" s="28" t="str">
        <f t="shared" si="7"/>
        <v/>
      </c>
      <c r="AC56" s="31"/>
    </row>
    <row r="57" spans="1:29" s="30" customFormat="1" ht="9.6" customHeight="1" thickBot="1" x14ac:dyDescent="0.25">
      <c r="A57" s="22"/>
      <c r="B57" s="23"/>
      <c r="C57" s="23">
        <v>48</v>
      </c>
      <c r="D57" s="32"/>
      <c r="E57" s="26"/>
      <c r="F57" s="26"/>
      <c r="G57" s="26"/>
      <c r="H57" s="23">
        <v>115</v>
      </c>
      <c r="I57" s="23" t="str">
        <f t="shared" si="1"/>
        <v xml:space="preserve"> </v>
      </c>
      <c r="J57" s="26" t="e">
        <f t="shared" si="6"/>
        <v>#VALUE!</v>
      </c>
      <c r="K57" s="22"/>
      <c r="L57" s="26" t="s">
        <v>51</v>
      </c>
      <c r="M57" s="27"/>
      <c r="N57" s="28" t="str">
        <f t="shared" si="2"/>
        <v/>
      </c>
      <c r="O57" s="22"/>
      <c r="P57" s="23"/>
      <c r="Q57" s="23">
        <v>48</v>
      </c>
      <c r="R57" s="32"/>
      <c r="S57" s="26"/>
      <c r="T57" s="26"/>
      <c r="U57" s="26"/>
      <c r="V57" s="23">
        <v>115</v>
      </c>
      <c r="W57" s="23" t="str">
        <f t="shared" si="4"/>
        <v xml:space="preserve"> </v>
      </c>
      <c r="X57" s="26" t="e">
        <f t="shared" si="5"/>
        <v>#VALUE!</v>
      </c>
      <c r="Y57" s="22"/>
      <c r="Z57" s="26" t="s">
        <v>51</v>
      </c>
      <c r="AA57" s="27"/>
      <c r="AB57" s="28" t="str">
        <f t="shared" si="7"/>
        <v/>
      </c>
      <c r="AC57" s="31"/>
    </row>
    <row r="58" spans="1:29" s="30" customFormat="1" ht="10.35" customHeight="1" x14ac:dyDescent="0.2">
      <c r="A58" s="1"/>
      <c r="B58" s="33" t="s">
        <v>52</v>
      </c>
      <c r="C58" s="34" t="s">
        <v>53</v>
      </c>
      <c r="D58" s="34" t="s">
        <v>54</v>
      </c>
      <c r="E58" s="197" t="s">
        <v>2</v>
      </c>
      <c r="F58" s="198"/>
      <c r="G58" s="35"/>
      <c r="H58" s="199" t="s">
        <v>55</v>
      </c>
      <c r="I58" s="200" t="e">
        <f>SUM(J12:J57)</f>
        <v>#VALUE!</v>
      </c>
      <c r="J58" s="201"/>
      <c r="K58" s="204"/>
      <c r="L58" s="205"/>
      <c r="M58" s="208" t="s">
        <v>8</v>
      </c>
      <c r="N58" s="209"/>
      <c r="O58" s="1"/>
      <c r="P58" s="36"/>
      <c r="Q58" s="37" t="s">
        <v>53</v>
      </c>
      <c r="R58" s="37" t="s">
        <v>54</v>
      </c>
      <c r="S58" s="165" t="s">
        <v>2</v>
      </c>
      <c r="T58" s="166"/>
      <c r="U58" s="35"/>
      <c r="V58" s="167" t="s">
        <v>55</v>
      </c>
      <c r="W58" s="169" t="e">
        <f>SUM(X12:X57)</f>
        <v>#VALUE!</v>
      </c>
      <c r="X58" s="170"/>
      <c r="Y58" s="36"/>
      <c r="Z58" s="36"/>
      <c r="AA58" s="36"/>
      <c r="AB58" s="38"/>
      <c r="AC58" s="31"/>
    </row>
    <row r="59" spans="1:29" ht="10.35" customHeight="1" thickBot="1" x14ac:dyDescent="0.3">
      <c r="A59" s="1"/>
      <c r="B59" s="39"/>
      <c r="C59" s="40">
        <f>SUMIFS(J12:J57,K12:K57,"PLANTA")+Q59</f>
        <v>0</v>
      </c>
      <c r="D59" s="41" t="e">
        <f>SUMIFS(J12:J57,K12:K57,"&lt;&gt;PLANTA")+R59</f>
        <v>#VALUE!</v>
      </c>
      <c r="E59" s="173" t="e">
        <f>SUM(C59:D59)</f>
        <v>#VALUE!</v>
      </c>
      <c r="F59" s="174"/>
      <c r="G59" s="35"/>
      <c r="H59" s="168"/>
      <c r="I59" s="202"/>
      <c r="J59" s="203"/>
      <c r="K59" s="206"/>
      <c r="L59" s="207"/>
      <c r="M59" s="210"/>
      <c r="N59" s="211"/>
      <c r="O59" s="1"/>
      <c r="P59" s="36"/>
      <c r="Q59" s="42">
        <f>SUMIFS(X12:X57,Y12:Y57,"PLANTA")</f>
        <v>0</v>
      </c>
      <c r="R59" s="42" t="e">
        <f>SUMIFS(X12:X57,Y12:Y57,"&lt;&gt;PLANTA")</f>
        <v>#VALUE!</v>
      </c>
      <c r="S59" s="177" t="e">
        <f>SUM(Q59:R59)</f>
        <v>#VALUE!</v>
      </c>
      <c r="T59" s="178"/>
      <c r="U59" s="35"/>
      <c r="V59" s="168"/>
      <c r="W59" s="171"/>
      <c r="X59" s="172"/>
      <c r="Y59" s="36"/>
      <c r="Z59" s="36"/>
      <c r="AA59" s="36"/>
      <c r="AB59" s="38"/>
      <c r="AC59" s="38"/>
    </row>
    <row r="60" spans="1:29" ht="10.35" customHeight="1" x14ac:dyDescent="0.25">
      <c r="A60" s="1"/>
      <c r="B60" s="43"/>
      <c r="C60" s="44" t="s">
        <v>56</v>
      </c>
      <c r="D60" s="44" t="s">
        <v>56</v>
      </c>
      <c r="E60" s="175"/>
      <c r="F60" s="176"/>
      <c r="H60" s="181" t="s">
        <v>57</v>
      </c>
      <c r="I60" s="182"/>
      <c r="J60" s="183"/>
      <c r="K60" s="187" t="e">
        <f>SUM(I58+W58)</f>
        <v>#VALUE!</v>
      </c>
      <c r="L60" s="188"/>
      <c r="M60" s="189"/>
      <c r="N60" s="193" t="e">
        <f>IF(W58=0,"NO","SI")</f>
        <v>#VALUE!</v>
      </c>
      <c r="O60" s="1"/>
      <c r="Q60" s="44" t="s">
        <v>56</v>
      </c>
      <c r="R60" s="44" t="s">
        <v>56</v>
      </c>
      <c r="S60" s="179"/>
      <c r="T60" s="180"/>
      <c r="Y60" s="36"/>
      <c r="Z60" s="36"/>
      <c r="AA60" s="36"/>
      <c r="AB60" s="38"/>
      <c r="AC60" s="38"/>
    </row>
    <row r="61" spans="1:29" ht="10.35" customHeight="1" thickBot="1" x14ac:dyDescent="0.3">
      <c r="A61" s="1"/>
      <c r="B61" s="1"/>
      <c r="C61" s="45" t="e">
        <f>(C59/D72)*1</f>
        <v>#DIV/0!</v>
      </c>
      <c r="D61" s="45" t="e">
        <f>(D59/D72)*1</f>
        <v>#VALUE!</v>
      </c>
      <c r="E61" s="195" t="e">
        <f>SUM(C61:D61)</f>
        <v>#DIV/0!</v>
      </c>
      <c r="F61" s="196"/>
      <c r="H61" s="184"/>
      <c r="I61" s="185"/>
      <c r="J61" s="186"/>
      <c r="K61" s="190"/>
      <c r="L61" s="191"/>
      <c r="M61" s="192"/>
      <c r="N61" s="194"/>
      <c r="O61" s="1"/>
      <c r="Q61" s="45" t="e">
        <f>(Q59/R72)*1</f>
        <v>#DIV/0!</v>
      </c>
      <c r="R61" s="45" t="e">
        <f>(R59/R72)*1</f>
        <v>#VALUE!</v>
      </c>
      <c r="S61" s="195" t="e">
        <f>SUM(Q61:R61)</f>
        <v>#DIV/0!</v>
      </c>
      <c r="T61" s="196"/>
      <c r="V61" s="38"/>
      <c r="W61" s="38"/>
      <c r="Y61" s="36"/>
      <c r="Z61" s="36"/>
      <c r="AA61" s="36"/>
      <c r="AB61" s="38"/>
      <c r="AC61" s="38"/>
    </row>
    <row r="62" spans="1:29" ht="10.35" customHeight="1" thickBot="1" x14ac:dyDescent="0.3">
      <c r="A62" s="1"/>
      <c r="B62" s="162" t="s">
        <v>58</v>
      </c>
      <c r="C62" s="163"/>
      <c r="D62" s="163"/>
      <c r="E62" s="163"/>
      <c r="F62" s="164"/>
      <c r="G62" s="46" t="s">
        <v>59</v>
      </c>
      <c r="H62" s="47" t="s">
        <v>60</v>
      </c>
      <c r="I62" s="48" t="s">
        <v>40</v>
      </c>
      <c r="J62" s="49" t="s">
        <v>56</v>
      </c>
      <c r="K62" s="139" t="s">
        <v>61</v>
      </c>
      <c r="L62" s="140"/>
      <c r="M62" s="140"/>
      <c r="N62" s="141"/>
      <c r="O62" s="1"/>
      <c r="P62" s="142" t="s">
        <v>62</v>
      </c>
      <c r="Q62" s="143"/>
      <c r="R62" s="143"/>
      <c r="S62" s="143"/>
      <c r="T62" s="144"/>
      <c r="W62" s="139" t="s">
        <v>61</v>
      </c>
      <c r="X62" s="140"/>
      <c r="Y62" s="140"/>
      <c r="Z62" s="140"/>
      <c r="AA62" s="141"/>
      <c r="AB62" s="38"/>
      <c r="AC62" s="38"/>
    </row>
    <row r="63" spans="1:29" ht="10.35" customHeight="1" thickBot="1" x14ac:dyDescent="0.3">
      <c r="A63" s="50"/>
      <c r="B63" s="234" t="s">
        <v>63</v>
      </c>
      <c r="C63" s="235"/>
      <c r="D63" s="235"/>
      <c r="E63" s="235"/>
      <c r="F63" s="236"/>
      <c r="G63" s="51"/>
      <c r="H63" s="52"/>
      <c r="I63" s="93">
        <f>SUMIFS(J11:J57,K11:K57,H63)+SUMIFS(X10:X57,Y10:Y57,H63)</f>
        <v>0</v>
      </c>
      <c r="J63" s="53" t="e">
        <f>I63/E59*1</f>
        <v>#VALUE!</v>
      </c>
      <c r="K63" s="145"/>
      <c r="L63" s="146"/>
      <c r="M63" s="146"/>
      <c r="N63" s="147"/>
      <c r="O63" s="50"/>
      <c r="P63" s="237" t="s">
        <v>63</v>
      </c>
      <c r="Q63" s="238"/>
      <c r="R63" s="238"/>
      <c r="S63" s="238"/>
      <c r="T63" s="239"/>
      <c r="W63" s="240" t="s">
        <v>0</v>
      </c>
      <c r="X63" s="241"/>
      <c r="Y63" s="241"/>
      <c r="Z63" s="241"/>
      <c r="AA63" s="242"/>
      <c r="AB63" s="38"/>
      <c r="AC63" s="38"/>
    </row>
    <row r="64" spans="1:29" ht="10.35" customHeight="1" x14ac:dyDescent="0.25">
      <c r="A64" s="54"/>
      <c r="B64" s="55">
        <v>3.5</v>
      </c>
      <c r="C64" s="56" t="e">
        <f>(D64/D72)*1</f>
        <v>#DIV/0!</v>
      </c>
      <c r="D64" s="57">
        <f>SUMIFS(J12:J57,D12:D57,3.5)+R64</f>
        <v>0</v>
      </c>
      <c r="E64" s="154" t="e">
        <f>SUM(D64:D71)/D72*1</f>
        <v>#DIV/0!</v>
      </c>
      <c r="F64" s="155"/>
      <c r="G64" s="51"/>
      <c r="H64" s="58"/>
      <c r="I64" s="94">
        <f>SUMIFS(J11:J57,K11:K57,H64)+SUMIFS(X10:X57,Y10:Y57,H64)</f>
        <v>0</v>
      </c>
      <c r="J64" s="59" t="e">
        <f>I64/E59*1</f>
        <v>#VALUE!</v>
      </c>
      <c r="K64" s="148"/>
      <c r="L64" s="149"/>
      <c r="M64" s="149"/>
      <c r="N64" s="150"/>
      <c r="O64" s="54"/>
      <c r="P64" s="60">
        <v>3.5</v>
      </c>
      <c r="Q64" s="56" t="e">
        <f>(R64/R72)*1</f>
        <v>#DIV/0!</v>
      </c>
      <c r="R64" s="23">
        <f>SUMIFS(X12:X57,R12:R57,3.5)</f>
        <v>0</v>
      </c>
      <c r="S64" s="154" t="e">
        <f>SUM(R64:R71)/R72*1</f>
        <v>#DIV/0!</v>
      </c>
      <c r="T64" s="155"/>
      <c r="W64" s="243"/>
      <c r="X64" s="244"/>
      <c r="Y64" s="244"/>
      <c r="Z64" s="244"/>
      <c r="AA64" s="245"/>
      <c r="AB64" s="38"/>
      <c r="AC64" s="38"/>
    </row>
    <row r="65" spans="1:29" ht="10.35" customHeight="1" x14ac:dyDescent="0.25">
      <c r="A65" s="54" t="s">
        <v>64</v>
      </c>
      <c r="B65" s="55">
        <v>3</v>
      </c>
      <c r="C65" s="61" t="e">
        <f>(D65/D72)*1</f>
        <v>#DIV/0!</v>
      </c>
      <c r="D65" s="62">
        <f>SUMIFS(J12:J57,D12:D57,3)+R65</f>
        <v>0</v>
      </c>
      <c r="E65" s="156"/>
      <c r="F65" s="157"/>
      <c r="G65" s="51"/>
      <c r="H65" s="58"/>
      <c r="I65" s="94">
        <f>SUMIFS(J11:J57,K11:K57,H65)+SUMIFS(X10:X57,Y10:Y57,H65)</f>
        <v>0</v>
      </c>
      <c r="J65" s="59" t="e">
        <f>I65/E59*1</f>
        <v>#VALUE!</v>
      </c>
      <c r="K65" s="148"/>
      <c r="L65" s="149"/>
      <c r="M65" s="149"/>
      <c r="N65" s="150"/>
      <c r="O65" s="54" t="s">
        <v>64</v>
      </c>
      <c r="P65" s="63">
        <v>3</v>
      </c>
      <c r="Q65" s="61" t="e">
        <f>(R65/R72)*1</f>
        <v>#DIV/0!</v>
      </c>
      <c r="R65" s="64">
        <f>SUMIFS(X12:X57,R12:R57,3)</f>
        <v>0</v>
      </c>
      <c r="S65" s="156"/>
      <c r="T65" s="157"/>
      <c r="W65" s="243"/>
      <c r="X65" s="244"/>
      <c r="Y65" s="244"/>
      <c r="Z65" s="244"/>
      <c r="AA65" s="245"/>
      <c r="AB65" s="38"/>
      <c r="AC65" s="38"/>
    </row>
    <row r="66" spans="1:29" ht="10.35" customHeight="1" x14ac:dyDescent="0.25">
      <c r="A66" s="54" t="s">
        <v>65</v>
      </c>
      <c r="B66" s="55">
        <v>2.5</v>
      </c>
      <c r="C66" s="56" t="e">
        <f>(D66/D72)*1</f>
        <v>#DIV/0!</v>
      </c>
      <c r="D66" s="57">
        <f>SUMIFS(J12:J57,D12:D57,2.5)+R66</f>
        <v>0</v>
      </c>
      <c r="E66" s="156"/>
      <c r="F66" s="157"/>
      <c r="G66" s="51"/>
      <c r="H66" s="58"/>
      <c r="I66" s="94">
        <f>SUMIFS(J11:J57,K11:K57,H66)+SUMIFS(X10:X57,Y10:Y57,H66)</f>
        <v>0</v>
      </c>
      <c r="J66" s="59" t="e">
        <f>I66/E59*1</f>
        <v>#VALUE!</v>
      </c>
      <c r="K66" s="148"/>
      <c r="L66" s="149"/>
      <c r="M66" s="149"/>
      <c r="N66" s="150"/>
      <c r="O66" s="54" t="s">
        <v>65</v>
      </c>
      <c r="P66" s="60">
        <v>2.5</v>
      </c>
      <c r="Q66" s="56" t="e">
        <f>(R66/R72)*1</f>
        <v>#DIV/0!</v>
      </c>
      <c r="R66" s="23">
        <f>SUMIFS(X12:X57,R12:R57,2.5)</f>
        <v>0</v>
      </c>
      <c r="S66" s="156"/>
      <c r="T66" s="157"/>
      <c r="W66" s="246"/>
      <c r="X66" s="247"/>
      <c r="Y66" s="247"/>
      <c r="Z66" s="247"/>
      <c r="AA66" s="248"/>
      <c r="AB66" s="38"/>
      <c r="AC66" s="38"/>
    </row>
    <row r="67" spans="1:29" ht="10.35" customHeight="1" x14ac:dyDescent="0.25">
      <c r="A67" s="54" t="s">
        <v>66</v>
      </c>
      <c r="B67" s="55">
        <v>2</v>
      </c>
      <c r="C67" s="61" t="e">
        <f>(D67/D72)*1</f>
        <v>#DIV/0!</v>
      </c>
      <c r="D67" s="62">
        <f>SUMIFS(J12:J57,D12:D57,2)+R67</f>
        <v>0</v>
      </c>
      <c r="E67" s="156"/>
      <c r="F67" s="157"/>
      <c r="G67" s="51"/>
      <c r="H67" s="58"/>
      <c r="I67" s="94">
        <f>SUMIFS(J11:J57,K11:K57,H67)+SUMIFS(X10:X57,Y10:Y57,H67)</f>
        <v>0</v>
      </c>
      <c r="J67" s="59" t="e">
        <f>I67/E59*1</f>
        <v>#VALUE!</v>
      </c>
      <c r="K67" s="148"/>
      <c r="L67" s="149"/>
      <c r="M67" s="149"/>
      <c r="N67" s="150"/>
      <c r="O67" s="54" t="s">
        <v>66</v>
      </c>
      <c r="P67" s="63">
        <v>2</v>
      </c>
      <c r="Q67" s="61" t="e">
        <f>(R67/R72)*1</f>
        <v>#DIV/0!</v>
      </c>
      <c r="R67" s="64">
        <f>SUMIFS(X12:X57,R12:R57,2)</f>
        <v>0</v>
      </c>
      <c r="S67" s="156"/>
      <c r="T67" s="157"/>
      <c r="W67" s="243"/>
      <c r="X67" s="244"/>
      <c r="Y67" s="244"/>
      <c r="Z67" s="244"/>
      <c r="AA67" s="245"/>
      <c r="AB67" s="38"/>
      <c r="AC67" s="38"/>
    </row>
    <row r="68" spans="1:29" ht="10.35" customHeight="1" x14ac:dyDescent="0.25">
      <c r="A68" s="54" t="s">
        <v>67</v>
      </c>
      <c r="B68" s="55">
        <v>1.5</v>
      </c>
      <c r="C68" s="56" t="e">
        <f>(D68/D72)*1</f>
        <v>#DIV/0!</v>
      </c>
      <c r="D68" s="57">
        <f>SUMIFS(J12:J57,D12:D57,1.5)+R68</f>
        <v>0</v>
      </c>
      <c r="E68" s="156"/>
      <c r="F68" s="157"/>
      <c r="G68" s="51"/>
      <c r="H68" s="58"/>
      <c r="I68" s="94">
        <f>SUMIFS(J11:J57,K11:K57,H68)+SUMIFS(X10:X57,Y10:Y57,H68)</f>
        <v>0</v>
      </c>
      <c r="J68" s="59" t="e">
        <f>I68/E59*1</f>
        <v>#VALUE!</v>
      </c>
      <c r="K68" s="148"/>
      <c r="L68" s="149"/>
      <c r="M68" s="149"/>
      <c r="N68" s="150"/>
      <c r="O68" s="54" t="s">
        <v>67</v>
      </c>
      <c r="P68" s="60">
        <v>1.5</v>
      </c>
      <c r="Q68" s="56" t="e">
        <f>(R68/R72)*1</f>
        <v>#DIV/0!</v>
      </c>
      <c r="R68" s="23">
        <f>SUMIFS(X12:X57,R12:R57,1.5)</f>
        <v>0</v>
      </c>
      <c r="S68" s="156"/>
      <c r="T68" s="157"/>
      <c r="W68" s="231"/>
      <c r="X68" s="232"/>
      <c r="Y68" s="232"/>
      <c r="Z68" s="232"/>
      <c r="AA68" s="233"/>
      <c r="AC68" s="38"/>
    </row>
    <row r="69" spans="1:29" ht="10.35" customHeight="1" x14ac:dyDescent="0.25">
      <c r="A69" s="54" t="s">
        <v>68</v>
      </c>
      <c r="B69" s="55">
        <v>1</v>
      </c>
      <c r="C69" s="61" t="e">
        <f>(D69/D72)*1</f>
        <v>#DIV/0!</v>
      </c>
      <c r="D69" s="62">
        <f>SUMIFS(J12:J57,D12:D57,1)+R69</f>
        <v>0</v>
      </c>
      <c r="E69" s="156"/>
      <c r="F69" s="157"/>
      <c r="G69" s="51"/>
      <c r="H69" s="58"/>
      <c r="I69" s="94">
        <f>SUMIFS(J11:J57,K11:K57,H69)+SUMIFS(X10:X57,Y10:Y57,H69)</f>
        <v>0</v>
      </c>
      <c r="J69" s="59" t="e">
        <f>I69/E59*1</f>
        <v>#VALUE!</v>
      </c>
      <c r="K69" s="148"/>
      <c r="L69" s="149"/>
      <c r="M69" s="149"/>
      <c r="N69" s="150"/>
      <c r="O69" s="54" t="s">
        <v>68</v>
      </c>
      <c r="P69" s="63">
        <v>1</v>
      </c>
      <c r="Q69" s="61" t="e">
        <f>(R69/R72)*1</f>
        <v>#DIV/0!</v>
      </c>
      <c r="R69" s="64">
        <f>SUMIFS(X12:X57,R12:R57,1)</f>
        <v>0</v>
      </c>
      <c r="S69" s="156"/>
      <c r="T69" s="157"/>
      <c r="V69" s="65"/>
      <c r="W69" s="231"/>
      <c r="X69" s="232"/>
      <c r="Y69" s="232"/>
      <c r="Z69" s="232"/>
      <c r="AA69" s="233"/>
    </row>
    <row r="70" spans="1:29" ht="10.35" customHeight="1" thickBot="1" x14ac:dyDescent="0.3">
      <c r="A70" s="54" t="s">
        <v>65</v>
      </c>
      <c r="B70" s="55">
        <v>0.875</v>
      </c>
      <c r="C70" s="56" t="e">
        <f>(D70/D72)*1</f>
        <v>#DIV/0!</v>
      </c>
      <c r="D70" s="57">
        <f>SUMIFS(J12:J57,D12:D57,7/8)+R70</f>
        <v>0</v>
      </c>
      <c r="E70" s="156"/>
      <c r="F70" s="157"/>
      <c r="G70" s="51"/>
      <c r="H70" s="58"/>
      <c r="I70" s="94">
        <f>SUMIFS(J11:J57,K11:K57,H70)+SUMIFS(X10:X57,Y10:Y57,H70)</f>
        <v>0</v>
      </c>
      <c r="J70" s="59" t="e">
        <f>I70/E59*1</f>
        <v>#VALUE!</v>
      </c>
      <c r="K70" s="151"/>
      <c r="L70" s="152"/>
      <c r="M70" s="152"/>
      <c r="N70" s="153"/>
      <c r="O70" s="54" t="s">
        <v>65</v>
      </c>
      <c r="P70" s="60">
        <v>0.875</v>
      </c>
      <c r="Q70" s="56" t="e">
        <f>(R70/R72)*1</f>
        <v>#DIV/0!</v>
      </c>
      <c r="R70" s="23">
        <f>SUMIFS(X11:X57,R11:R57,7/8)</f>
        <v>0</v>
      </c>
      <c r="S70" s="156"/>
      <c r="T70" s="157"/>
      <c r="V70" s="65"/>
      <c r="W70" s="231"/>
      <c r="X70" s="232"/>
      <c r="Y70" s="232"/>
      <c r="Z70" s="232"/>
      <c r="AA70" s="233"/>
    </row>
    <row r="71" spans="1:29" ht="10.35" customHeight="1" thickBot="1" x14ac:dyDescent="0.3">
      <c r="A71" s="54" t="s">
        <v>51</v>
      </c>
      <c r="B71" s="55">
        <v>0.75</v>
      </c>
      <c r="C71" s="56" t="e">
        <f>(D71/D72)*1</f>
        <v>#DIV/0!</v>
      </c>
      <c r="D71" s="66">
        <f>SUMIFS(J12:J57,D12:D57,3/4)+R71</f>
        <v>0</v>
      </c>
      <c r="E71" s="158"/>
      <c r="F71" s="159"/>
      <c r="G71" s="51"/>
      <c r="H71" s="58"/>
      <c r="I71" s="94">
        <f>SUMIFS(J11:J57,K11:K57,H71)+SUMIFS(X10:X57,Y10:Y57,H71)</f>
        <v>0</v>
      </c>
      <c r="J71" s="59" t="e">
        <f>I71/E59*1</f>
        <v>#VALUE!</v>
      </c>
      <c r="K71" s="67" t="s">
        <v>12</v>
      </c>
      <c r="L71" s="68">
        <f>SUMIFS(J12:J57,M12:M57,K71)+SUMIFS(X12:X57,AA12:AA57,K71)</f>
        <v>0</v>
      </c>
      <c r="M71" s="69" t="s">
        <v>69</v>
      </c>
      <c r="N71" s="70">
        <f>SUMIFS(J12:J57,L12:L57,M71)+SUMIFS(X12:X57,Z12:Z57,M71)</f>
        <v>0</v>
      </c>
      <c r="O71" s="54" t="s">
        <v>51</v>
      </c>
      <c r="P71" s="71">
        <v>0.75</v>
      </c>
      <c r="Q71" s="56" t="e">
        <f>(R71/R72)*1</f>
        <v>#DIV/0!</v>
      </c>
      <c r="R71" s="23">
        <f>SUMIFS(X12:X57,R12:R57,3/4)</f>
        <v>0</v>
      </c>
      <c r="S71" s="160"/>
      <c r="T71" s="161"/>
      <c r="V71" s="65"/>
      <c r="W71" s="225"/>
      <c r="X71" s="226"/>
      <c r="Y71" s="226"/>
      <c r="Z71" s="226"/>
      <c r="AA71" s="227"/>
    </row>
    <row r="72" spans="1:29" ht="10.35" customHeight="1" thickBot="1" x14ac:dyDescent="0.3">
      <c r="A72" s="1"/>
      <c r="B72" s="249" t="s">
        <v>2</v>
      </c>
      <c r="C72" s="106" t="e">
        <f>SUM(C64:C71)</f>
        <v>#DIV/0!</v>
      </c>
      <c r="D72" s="251">
        <f>SUM(D64:D71)</f>
        <v>0</v>
      </c>
      <c r="E72" s="252"/>
      <c r="F72" s="253"/>
      <c r="G72" s="51"/>
      <c r="H72" s="58"/>
      <c r="I72" s="94">
        <f>SUMIFS(J11:J57,K11:K57,H72)+SUMIFS(X10:X57,Y10:Y57,H72)</f>
        <v>0</v>
      </c>
      <c r="J72" s="59" t="e">
        <f>I72/E59*1</f>
        <v>#VALUE!</v>
      </c>
      <c r="K72" s="257"/>
      <c r="L72" s="258"/>
      <c r="M72" s="72" t="s">
        <v>51</v>
      </c>
      <c r="N72" s="95" t="e">
        <f>SUMIFS(J12:J57,L12:L57,M72)+SUMIFS(X12:X57,Z12:Z57,M72)</f>
        <v>#VALUE!</v>
      </c>
      <c r="O72" s="1"/>
      <c r="P72" s="259" t="s">
        <v>2</v>
      </c>
      <c r="Q72" s="106" t="e">
        <f>SUM(Q64:Q71)</f>
        <v>#DIV/0!</v>
      </c>
      <c r="R72" s="108">
        <f>SUM(R64:R71)</f>
        <v>0</v>
      </c>
      <c r="S72" s="110"/>
      <c r="T72" s="111"/>
      <c r="W72" s="228"/>
      <c r="X72" s="229"/>
      <c r="Y72" s="229"/>
      <c r="Z72" s="229"/>
      <c r="AA72" s="230"/>
    </row>
    <row r="73" spans="1:29" ht="10.35" customHeight="1" thickBot="1" x14ac:dyDescent="0.3">
      <c r="A73" s="1"/>
      <c r="B73" s="250"/>
      <c r="C73" s="107"/>
      <c r="D73" s="254"/>
      <c r="E73" s="255"/>
      <c r="F73" s="256"/>
      <c r="G73" s="51"/>
      <c r="H73" s="58"/>
      <c r="I73" s="94">
        <f>SUMIFS(J11:J57,K11:K57,H73)+SUMIFS(X10:X57,Y10:Y57,H73)</f>
        <v>0</v>
      </c>
      <c r="J73" s="59" t="e">
        <f>I73/E59*1</f>
        <v>#VALUE!</v>
      </c>
      <c r="K73" s="73" t="s">
        <v>25</v>
      </c>
      <c r="L73" s="74">
        <f>SUMIFS(J12:J57,N12:N57,K73)+SUMIFS(X12:X57,AB12:AB57,K73)</f>
        <v>0</v>
      </c>
      <c r="M73" s="75" t="s">
        <v>70</v>
      </c>
      <c r="N73" s="76">
        <f>SUMIFS(J12:J57,L12:L57,M73)+SUMIFS(X12:X57,Z12:Z57,M73)</f>
        <v>0</v>
      </c>
      <c r="O73" s="1"/>
      <c r="P73" s="260"/>
      <c r="Q73" s="107"/>
      <c r="R73" s="109"/>
      <c r="S73" s="112"/>
      <c r="T73" s="113"/>
      <c r="Y73" s="4"/>
    </row>
    <row r="74" spans="1:29" ht="10.35" customHeight="1" thickBot="1" x14ac:dyDescent="0.3">
      <c r="A74" s="1"/>
      <c r="B74" s="114" t="s">
        <v>71</v>
      </c>
      <c r="C74" s="115"/>
      <c r="D74" s="116">
        <f>H7</f>
        <v>0</v>
      </c>
      <c r="E74" s="117"/>
      <c r="F74" s="118"/>
      <c r="G74" s="51"/>
      <c r="H74" s="58"/>
      <c r="I74" s="94">
        <f>SUMIFS(J11:J57,K11:K57,H74)+SUMIFS(X10:X57,Y10:Y57,H74)</f>
        <v>0</v>
      </c>
      <c r="J74" s="59" t="e">
        <f>I74/E59*1</f>
        <v>#VALUE!</v>
      </c>
      <c r="K74" s="77" t="s">
        <v>30</v>
      </c>
      <c r="L74" s="78" t="e">
        <f>SUM(K60-L73)</f>
        <v>#VALUE!</v>
      </c>
      <c r="M74" s="119" t="s">
        <v>2</v>
      </c>
      <c r="N74" s="121" t="e">
        <f>SUM(N71:N73)</f>
        <v>#VALUE!</v>
      </c>
      <c r="O74" s="1"/>
      <c r="Y74" s="4"/>
    </row>
    <row r="75" spans="1:29" ht="10.35" customHeight="1" x14ac:dyDescent="0.25">
      <c r="A75" s="1"/>
      <c r="B75" s="129" t="s">
        <v>72</v>
      </c>
      <c r="C75" s="130"/>
      <c r="D75" s="131">
        <f>A12</f>
        <v>0</v>
      </c>
      <c r="E75" s="132"/>
      <c r="F75" s="133"/>
      <c r="G75" s="51"/>
      <c r="H75" s="58"/>
      <c r="I75" s="96">
        <f>SUMIFS(J11:J57,K11:K57,H75)+SUMIFS(X10:X57,Y10:Y57,H75)</f>
        <v>0</v>
      </c>
      <c r="J75" s="59" t="e">
        <f>I75/E59*1</f>
        <v>#VALUE!</v>
      </c>
      <c r="K75" s="123" t="s">
        <v>73</v>
      </c>
      <c r="L75" s="125" t="e">
        <f>SUM(L73:L74)</f>
        <v>#VALUE!</v>
      </c>
      <c r="M75" s="120"/>
      <c r="N75" s="122"/>
      <c r="O75" s="1"/>
      <c r="S75" s="79"/>
      <c r="T75" s="79"/>
      <c r="U75" s="79"/>
      <c r="V75" s="79"/>
      <c r="W75" s="80"/>
      <c r="X75" s="81"/>
      <c r="Y75" s="4"/>
      <c r="AA75" s="79"/>
      <c r="AB75" s="79"/>
    </row>
    <row r="76" spans="1:29" ht="10.35" customHeight="1" thickBot="1" x14ac:dyDescent="0.3">
      <c r="A76" s="1"/>
      <c r="B76" s="134" t="s">
        <v>74</v>
      </c>
      <c r="C76" s="135"/>
      <c r="D76" s="136">
        <f>M9</f>
        <v>0</v>
      </c>
      <c r="E76" s="137"/>
      <c r="F76" s="138"/>
      <c r="G76" s="51"/>
      <c r="H76" s="58"/>
      <c r="I76" s="94">
        <f>SUMIFS(J11:J57,K11:K57,H76)+SUMIFS(X10:X57,Y10:Y57,H76)</f>
        <v>0</v>
      </c>
      <c r="J76" s="59" t="e">
        <f>I76/E59*1</f>
        <v>#VALUE!</v>
      </c>
      <c r="K76" s="124"/>
      <c r="L76" s="126"/>
      <c r="M76" s="127" t="e">
        <f>IF(L75=N74,"APROBACION")</f>
        <v>#VALUE!</v>
      </c>
      <c r="N76" s="128"/>
      <c r="Y76" s="4"/>
      <c r="AA76" s="79"/>
      <c r="AB76" s="79"/>
      <c r="AC76" s="79"/>
    </row>
    <row r="77" spans="1:29" ht="10.35" customHeight="1" x14ac:dyDescent="0.25">
      <c r="A77" s="1"/>
      <c r="B77" s="82"/>
      <c r="G77" s="51"/>
      <c r="H77" s="83"/>
      <c r="I77" s="96">
        <f>SUMIFS(J11:J57,K11:K57,H77)+SUMIFS(X10:X57,Y10:Y57,H77)</f>
        <v>0</v>
      </c>
      <c r="J77" s="59" t="e">
        <f>I77/E59*1</f>
        <v>#VALUE!</v>
      </c>
      <c r="O77" s="1"/>
      <c r="P77" s="87" t="s">
        <v>76</v>
      </c>
      <c r="Q77" s="89"/>
      <c r="R77" s="87"/>
      <c r="S77" s="3"/>
      <c r="T77" s="3"/>
      <c r="U77" s="3"/>
      <c r="V77" s="3"/>
      <c r="W77" s="87" t="s">
        <v>77</v>
      </c>
      <c r="X77" s="88"/>
    </row>
    <row r="78" spans="1:29" ht="10.35" customHeight="1" thickBot="1" x14ac:dyDescent="0.3">
      <c r="A78" s="1"/>
      <c r="G78" s="51"/>
      <c r="H78" s="83"/>
      <c r="I78" s="96">
        <f>SUMIFS(J11:J57,K11:K57,H78)+SUMIFS(X10:X57,Y10:Y57,H78)</f>
        <v>0</v>
      </c>
      <c r="J78" s="84" t="e">
        <f>I78/E59*1</f>
        <v>#VALUE!</v>
      </c>
      <c r="O78" s="1"/>
      <c r="P78" s="89" t="s">
        <v>78</v>
      </c>
      <c r="Q78" s="3"/>
      <c r="R78" s="3"/>
      <c r="S78" s="3"/>
      <c r="T78" s="3"/>
      <c r="U78" s="3"/>
      <c r="V78" s="3"/>
      <c r="W78" s="89" t="s">
        <v>79</v>
      </c>
      <c r="X78" s="90"/>
      <c r="AC78" s="79"/>
    </row>
    <row r="79" spans="1:29" ht="10.35" customHeight="1" thickBot="1" x14ac:dyDescent="0.3">
      <c r="A79" s="1"/>
      <c r="G79" s="104" t="s">
        <v>75</v>
      </c>
      <c r="H79" s="105"/>
      <c r="I79" s="85">
        <f>SUM(I63:I78)</f>
        <v>0</v>
      </c>
      <c r="J79" s="86" t="e">
        <f>SUM(J63:J78)</f>
        <v>#VALUE!</v>
      </c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 s="79"/>
    </row>
    <row r="80" spans="1:29" ht="10.35" customHeight="1" x14ac:dyDescent="0.25">
      <c r="B80" s="87" t="s">
        <v>76</v>
      </c>
      <c r="C80" s="87"/>
      <c r="D80" s="3"/>
      <c r="L80" s="87" t="s">
        <v>77</v>
      </c>
      <c r="M80" s="88"/>
      <c r="AC80" s="79"/>
    </row>
    <row r="81" spans="1:14" ht="10.35" customHeight="1" x14ac:dyDescent="0.25">
      <c r="B81" s="89" t="s">
        <v>78</v>
      </c>
      <c r="C81" s="89"/>
      <c r="D81" s="87"/>
      <c r="L81" s="89" t="s">
        <v>79</v>
      </c>
      <c r="M81" s="90"/>
    </row>
    <row r="82" spans="1:14" ht="10.35" customHeight="1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</row>
  </sheetData>
  <sheetProtection selectLockedCells="1"/>
  <mergeCells count="88">
    <mergeCell ref="D76:F76"/>
    <mergeCell ref="M76:N76"/>
    <mergeCell ref="G79:H79"/>
    <mergeCell ref="W72:AA72"/>
    <mergeCell ref="B74:C74"/>
    <mergeCell ref="D74:F74"/>
    <mergeCell ref="M74:M75"/>
    <mergeCell ref="N74:N75"/>
    <mergeCell ref="B75:C75"/>
    <mergeCell ref="D75:F75"/>
    <mergeCell ref="K75:K76"/>
    <mergeCell ref="L75:L76"/>
    <mergeCell ref="B76:C76"/>
    <mergeCell ref="W70:AA70"/>
    <mergeCell ref="W71:AA71"/>
    <mergeCell ref="B72:B73"/>
    <mergeCell ref="C72:C73"/>
    <mergeCell ref="D72:F73"/>
    <mergeCell ref="K72:L72"/>
    <mergeCell ref="P72:P73"/>
    <mergeCell ref="Q72:Q73"/>
    <mergeCell ref="R72:R73"/>
    <mergeCell ref="S72:T73"/>
    <mergeCell ref="W64:AA64"/>
    <mergeCell ref="W65:AA65"/>
    <mergeCell ref="W66:AA66"/>
    <mergeCell ref="W67:AA67"/>
    <mergeCell ref="W68:AA68"/>
    <mergeCell ref="W69:AA69"/>
    <mergeCell ref="B62:F62"/>
    <mergeCell ref="K62:N62"/>
    <mergeCell ref="P62:T62"/>
    <mergeCell ref="W62:AA62"/>
    <mergeCell ref="B63:F63"/>
    <mergeCell ref="K63:N70"/>
    <mergeCell ref="P63:T63"/>
    <mergeCell ref="W63:AA63"/>
    <mergeCell ref="E64:F71"/>
    <mergeCell ref="S64:T71"/>
    <mergeCell ref="V58:V59"/>
    <mergeCell ref="W58:X59"/>
    <mergeCell ref="E59:F60"/>
    <mergeCell ref="S59:T60"/>
    <mergeCell ref="H60:J61"/>
    <mergeCell ref="K60:M61"/>
    <mergeCell ref="N60:N61"/>
    <mergeCell ref="E61:F61"/>
    <mergeCell ref="S61:T61"/>
    <mergeCell ref="E58:F58"/>
    <mergeCell ref="H58:H59"/>
    <mergeCell ref="I58:J59"/>
    <mergeCell ref="K58:L59"/>
    <mergeCell ref="M58:N59"/>
    <mergeCell ref="S58:T58"/>
    <mergeCell ref="O10:O11"/>
    <mergeCell ref="Q10:Q11"/>
    <mergeCell ref="R10:R11"/>
    <mergeCell ref="S10:W10"/>
    <mergeCell ref="Y10:AB10"/>
    <mergeCell ref="E11:I11"/>
    <mergeCell ref="F8:F9"/>
    <mergeCell ref="G8:G9"/>
    <mergeCell ref="M8:N8"/>
    <mergeCell ref="B9:C9"/>
    <mergeCell ref="H9:J10"/>
    <mergeCell ref="K9:K10"/>
    <mergeCell ref="M9:N10"/>
    <mergeCell ref="B10:C10"/>
    <mergeCell ref="Y2:AB4"/>
    <mergeCell ref="C3:D3"/>
    <mergeCell ref="C4:D5"/>
    <mergeCell ref="E4:J5"/>
    <mergeCell ref="Y5:AB5"/>
    <mergeCell ref="B6:C6"/>
    <mergeCell ref="E6:G6"/>
    <mergeCell ref="H6:J6"/>
    <mergeCell ref="K6:N7"/>
    <mergeCell ref="Y6:AB9"/>
    <mergeCell ref="K1:N1"/>
    <mergeCell ref="B2:D2"/>
    <mergeCell ref="E2:J3"/>
    <mergeCell ref="K2:N5"/>
    <mergeCell ref="P2:U9"/>
    <mergeCell ref="V2:X9"/>
    <mergeCell ref="B7:C7"/>
    <mergeCell ref="H7:J8"/>
    <mergeCell ref="B8:C8"/>
    <mergeCell ref="E8:E9"/>
  </mergeCells>
  <conditionalFormatting sqref="AC39:AC58">
    <cfRule type="cellIs" dxfId="187" priority="185" operator="equal">
      <formula>"AZUL"</formula>
    </cfRule>
    <cfRule type="cellIs" dxfId="186" priority="186" operator="equal">
      <formula>"RECUP"</formula>
    </cfRule>
    <cfRule type="cellIs" dxfId="185" priority="187" operator="equal">
      <formula>"RAMAS"</formula>
    </cfRule>
    <cfRule type="cellIs" dxfId="184" priority="188" operator="equal">
      <formula>"PESADA"</formula>
    </cfRule>
  </conditionalFormatting>
  <conditionalFormatting sqref="AC39:AC58">
    <cfRule type="cellIs" dxfId="183" priority="184" operator="equal">
      <formula>"CORT"</formula>
    </cfRule>
  </conditionalFormatting>
  <conditionalFormatting sqref="AC14:AC30 AC33:AC35">
    <cfRule type="cellIs" dxfId="182" priority="180" operator="equal">
      <formula>"AZUL"</formula>
    </cfRule>
    <cfRule type="cellIs" dxfId="181" priority="181" operator="equal">
      <formula>"RECUP"</formula>
    </cfRule>
    <cfRule type="cellIs" dxfId="180" priority="182" operator="equal">
      <formula>"RAMAS"</formula>
    </cfRule>
    <cfRule type="cellIs" dxfId="179" priority="183" operator="equal">
      <formula>"PESADA"</formula>
    </cfRule>
  </conditionalFormatting>
  <conditionalFormatting sqref="AC14:AC30 AC33:AC35">
    <cfRule type="cellIs" dxfId="178" priority="179" operator="equal">
      <formula>"CORT"</formula>
    </cfRule>
  </conditionalFormatting>
  <conditionalFormatting sqref="AC31:AC32">
    <cfRule type="cellIs" dxfId="177" priority="175" operator="equal">
      <formula>"AZUL"</formula>
    </cfRule>
    <cfRule type="cellIs" dxfId="176" priority="176" operator="equal">
      <formula>"RECUP"</formula>
    </cfRule>
    <cfRule type="cellIs" dxfId="175" priority="177" operator="equal">
      <formula>"RAMAS"</formula>
    </cfRule>
    <cfRule type="cellIs" dxfId="174" priority="178" operator="equal">
      <formula>"PESADA"</formula>
    </cfRule>
  </conditionalFormatting>
  <conditionalFormatting sqref="AC31:AC32">
    <cfRule type="cellIs" dxfId="173" priority="174" operator="equal">
      <formula>"CORT"</formula>
    </cfRule>
  </conditionalFormatting>
  <conditionalFormatting sqref="AC36:AC38">
    <cfRule type="cellIs" dxfId="172" priority="170" operator="equal">
      <formula>"AZUL"</formula>
    </cfRule>
    <cfRule type="cellIs" dxfId="171" priority="171" operator="equal">
      <formula>"RECUP"</formula>
    </cfRule>
    <cfRule type="cellIs" dxfId="170" priority="172" operator="equal">
      <formula>"RAMAS"</formula>
    </cfRule>
    <cfRule type="cellIs" dxfId="169" priority="173" operator="equal">
      <formula>"PESADA"</formula>
    </cfRule>
  </conditionalFormatting>
  <conditionalFormatting sqref="AC36:AC38">
    <cfRule type="cellIs" dxfId="168" priority="169" operator="equal">
      <formula>"CORT"</formula>
    </cfRule>
  </conditionalFormatting>
  <conditionalFormatting sqref="AB12:AB28">
    <cfRule type="cellIs" dxfId="167" priority="165" operator="equal">
      <formula>"AZUL"</formula>
    </cfRule>
    <cfRule type="cellIs" dxfId="166" priority="166" operator="equal">
      <formula>"RECUP"</formula>
    </cfRule>
    <cfRule type="cellIs" dxfId="165" priority="167" operator="equal">
      <formula>"RAMAS"</formula>
    </cfRule>
    <cfRule type="cellIs" dxfId="164" priority="168" operator="equal">
      <formula>"PESADA"</formula>
    </cfRule>
  </conditionalFormatting>
  <conditionalFormatting sqref="AB12:AB28">
    <cfRule type="cellIs" dxfId="163" priority="164" operator="equal">
      <formula>"CORT"</formula>
    </cfRule>
  </conditionalFormatting>
  <conditionalFormatting sqref="Q12:Q17">
    <cfRule type="cellIs" dxfId="162" priority="160" operator="equal">
      <formula>24</formula>
    </cfRule>
    <cfRule type="cellIs" dxfId="161" priority="161" operator="equal">
      <formula>36</formula>
    </cfRule>
    <cfRule type="cellIs" dxfId="160" priority="162" operator="equal">
      <formula>39</formula>
    </cfRule>
    <cfRule type="cellIs" dxfId="159" priority="163" operator="equal">
      <formula>42</formula>
    </cfRule>
  </conditionalFormatting>
  <conditionalFormatting sqref="X12:X53">
    <cfRule type="cellIs" dxfId="158" priority="158" operator="lessThan">
      <formula>0</formula>
    </cfRule>
  </conditionalFormatting>
  <conditionalFormatting sqref="X12:X53">
    <cfRule type="cellIs" dxfId="157" priority="159" operator="equal">
      <formula>0</formula>
    </cfRule>
  </conditionalFormatting>
  <conditionalFormatting sqref="Z12:Z53">
    <cfRule type="cellIs" dxfId="156" priority="157" operator="equal">
      <formula>"P"</formula>
    </cfRule>
  </conditionalFormatting>
  <conditionalFormatting sqref="Z12:Z53">
    <cfRule type="cellIs" dxfId="155" priority="153" operator="equal">
      <formula>"P"</formula>
    </cfRule>
    <cfRule type="cellIs" dxfId="154" priority="154" operator="equal">
      <formula>"N"</formula>
    </cfRule>
    <cfRule type="cellIs" dxfId="153" priority="155" operator="equal">
      <formula>"N"</formula>
    </cfRule>
    <cfRule type="cellIs" dxfId="152" priority="156" operator="equal">
      <formula>"L"</formula>
    </cfRule>
  </conditionalFormatting>
  <conditionalFormatting sqref="X12:X53">
    <cfRule type="cellIs" dxfId="151" priority="152" operator="greaterThan">
      <formula>0</formula>
    </cfRule>
  </conditionalFormatting>
  <conditionalFormatting sqref="X12:X53">
    <cfRule type="cellIs" dxfId="150" priority="151" operator="equal">
      <formula>FALSE</formula>
    </cfRule>
  </conditionalFormatting>
  <conditionalFormatting sqref="AB37:AB53 AB55:AB57">
    <cfRule type="cellIs" dxfId="149" priority="147" operator="equal">
      <formula>"AZUL"</formula>
    </cfRule>
    <cfRule type="cellIs" dxfId="148" priority="148" operator="equal">
      <formula>"RECUP"</formula>
    </cfRule>
    <cfRule type="cellIs" dxfId="147" priority="149" operator="equal">
      <formula>"RAMAS"</formula>
    </cfRule>
    <cfRule type="cellIs" dxfId="146" priority="150" operator="equal">
      <formula>"PESADA"</formula>
    </cfRule>
  </conditionalFormatting>
  <conditionalFormatting sqref="AB37:AB53 AB55:AB57">
    <cfRule type="cellIs" dxfId="145" priority="146" operator="equal">
      <formula>"CORT"</formula>
    </cfRule>
  </conditionalFormatting>
  <conditionalFormatting sqref="Q57">
    <cfRule type="cellIs" dxfId="144" priority="126" operator="equal">
      <formula>24</formula>
    </cfRule>
    <cfRule type="cellIs" dxfId="143" priority="127" operator="equal">
      <formula>36</formula>
    </cfRule>
    <cfRule type="cellIs" dxfId="142" priority="128" operator="equal">
      <formula>39</formula>
    </cfRule>
    <cfRule type="cellIs" dxfId="141" priority="129" operator="equal">
      <formula>42</formula>
    </cfRule>
  </conditionalFormatting>
  <conditionalFormatting sqref="Q20:Q24 Q50:Q51">
    <cfRule type="cellIs" dxfId="140" priority="120" operator="equal">
      <formula>24</formula>
    </cfRule>
    <cfRule type="cellIs" dxfId="139" priority="121" operator="equal">
      <formula>36</formula>
    </cfRule>
    <cfRule type="cellIs" dxfId="138" priority="122" operator="equal">
      <formula>39</formula>
    </cfRule>
    <cfRule type="cellIs" dxfId="137" priority="123" operator="equal">
      <formula>42</formula>
    </cfRule>
  </conditionalFormatting>
  <conditionalFormatting sqref="Q52:Q53">
    <cfRule type="cellIs" dxfId="136" priority="116" operator="equal">
      <formula>24</formula>
    </cfRule>
    <cfRule type="cellIs" dxfId="135" priority="117" operator="equal">
      <formula>36</formula>
    </cfRule>
    <cfRule type="cellIs" dxfId="134" priority="118" operator="equal">
      <formula>39</formula>
    </cfRule>
    <cfRule type="cellIs" dxfId="133" priority="119" operator="equal">
      <formula>42</formula>
    </cfRule>
  </conditionalFormatting>
  <conditionalFormatting sqref="Q43:Q44">
    <cfRule type="cellIs" dxfId="132" priority="108" operator="equal">
      <formula>24</formula>
    </cfRule>
    <cfRule type="cellIs" dxfId="131" priority="109" operator="equal">
      <formula>36</formula>
    </cfRule>
    <cfRule type="cellIs" dxfId="130" priority="110" operator="equal">
      <formula>39</formula>
    </cfRule>
    <cfRule type="cellIs" dxfId="129" priority="111" operator="equal">
      <formula>42</formula>
    </cfRule>
  </conditionalFormatting>
  <conditionalFormatting sqref="Q45:Q49">
    <cfRule type="cellIs" dxfId="128" priority="98" operator="equal">
      <formula>24</formula>
    </cfRule>
    <cfRule type="cellIs" dxfId="127" priority="99" operator="equal">
      <formula>36</formula>
    </cfRule>
    <cfRule type="cellIs" dxfId="126" priority="100" operator="equal">
      <formula>39</formula>
    </cfRule>
    <cfRule type="cellIs" dxfId="125" priority="101" operator="equal">
      <formula>42</formula>
    </cfRule>
  </conditionalFormatting>
  <conditionalFormatting sqref="Q26:Q28 Q31">
    <cfRule type="cellIs" dxfId="124" priority="94" operator="equal">
      <formula>24</formula>
    </cfRule>
    <cfRule type="cellIs" dxfId="123" priority="95" operator="equal">
      <formula>36</formula>
    </cfRule>
    <cfRule type="cellIs" dxfId="122" priority="96" operator="equal">
      <formula>39</formula>
    </cfRule>
    <cfRule type="cellIs" dxfId="121" priority="97" operator="equal">
      <formula>42</formula>
    </cfRule>
  </conditionalFormatting>
  <conditionalFormatting sqref="Q32">
    <cfRule type="cellIs" dxfId="120" priority="80" operator="equal">
      <formula>24</formula>
    </cfRule>
    <cfRule type="cellIs" dxfId="119" priority="81" operator="equal">
      <formula>36</formula>
    </cfRule>
    <cfRule type="cellIs" dxfId="118" priority="82" operator="equal">
      <formula>39</formula>
    </cfRule>
    <cfRule type="cellIs" dxfId="117" priority="83" operator="equal">
      <formula>42</formula>
    </cfRule>
  </conditionalFormatting>
  <conditionalFormatting sqref="Q33">
    <cfRule type="cellIs" dxfId="116" priority="76" operator="equal">
      <formula>24</formula>
    </cfRule>
    <cfRule type="cellIs" dxfId="115" priority="77" operator="equal">
      <formula>36</formula>
    </cfRule>
    <cfRule type="cellIs" dxfId="114" priority="78" operator="equal">
      <formula>39</formula>
    </cfRule>
    <cfRule type="cellIs" dxfId="113" priority="79" operator="equal">
      <formula>42</formula>
    </cfRule>
  </conditionalFormatting>
  <conditionalFormatting sqref="Q37">
    <cfRule type="cellIs" dxfId="112" priority="72" operator="equal">
      <formula>24</formula>
    </cfRule>
    <cfRule type="cellIs" dxfId="111" priority="73" operator="equal">
      <formula>36</formula>
    </cfRule>
    <cfRule type="cellIs" dxfId="110" priority="74" operator="equal">
      <formula>39</formula>
    </cfRule>
    <cfRule type="cellIs" dxfId="109" priority="75" operator="equal">
      <formula>42</formula>
    </cfRule>
  </conditionalFormatting>
  <conditionalFormatting sqref="Q29">
    <cfRule type="cellIs" dxfId="108" priority="58" operator="equal">
      <formula>24</formula>
    </cfRule>
    <cfRule type="cellIs" dxfId="107" priority="59" operator="equal">
      <formula>36</formula>
    </cfRule>
    <cfRule type="cellIs" dxfId="106" priority="60" operator="equal">
      <formula>39</formula>
    </cfRule>
    <cfRule type="cellIs" dxfId="105" priority="61" operator="equal">
      <formula>42</formula>
    </cfRule>
  </conditionalFormatting>
  <conditionalFormatting sqref="Q30">
    <cfRule type="cellIs" dxfId="104" priority="54" operator="equal">
      <formula>24</formula>
    </cfRule>
    <cfRule type="cellIs" dxfId="103" priority="55" operator="equal">
      <formula>36</formula>
    </cfRule>
    <cfRule type="cellIs" dxfId="102" priority="56" operator="equal">
      <formula>39</formula>
    </cfRule>
    <cfRule type="cellIs" dxfId="101" priority="57" operator="equal">
      <formula>42</formula>
    </cfRule>
  </conditionalFormatting>
  <conditionalFormatting sqref="AB29:AB30">
    <cfRule type="cellIs" dxfId="100" priority="50" operator="equal">
      <formula>"AZUL"</formula>
    </cfRule>
    <cfRule type="cellIs" dxfId="99" priority="51" operator="equal">
      <formula>"RECUP"</formula>
    </cfRule>
    <cfRule type="cellIs" dxfId="98" priority="52" operator="equal">
      <formula>"RAMAS"</formula>
    </cfRule>
    <cfRule type="cellIs" dxfId="97" priority="53" operator="equal">
      <formula>"PESADA"</formula>
    </cfRule>
  </conditionalFormatting>
  <conditionalFormatting sqref="AB29:AB30">
    <cfRule type="cellIs" dxfId="96" priority="49" operator="equal">
      <formula>"CORT"</formula>
    </cfRule>
  </conditionalFormatting>
  <conditionalFormatting sqref="Q34">
    <cfRule type="cellIs" dxfId="95" priority="45" operator="equal">
      <formula>24</formula>
    </cfRule>
    <cfRule type="cellIs" dxfId="94" priority="46" operator="equal">
      <formula>36</formula>
    </cfRule>
    <cfRule type="cellIs" dxfId="93" priority="47" operator="equal">
      <formula>39</formula>
    </cfRule>
    <cfRule type="cellIs" dxfId="92" priority="48" operator="equal">
      <formula>42</formula>
    </cfRule>
  </conditionalFormatting>
  <conditionalFormatting sqref="Q35">
    <cfRule type="cellIs" dxfId="91" priority="41" operator="equal">
      <formula>24</formula>
    </cfRule>
    <cfRule type="cellIs" dxfId="90" priority="42" operator="equal">
      <formula>36</formula>
    </cfRule>
    <cfRule type="cellIs" dxfId="89" priority="43" operator="equal">
      <formula>39</formula>
    </cfRule>
    <cfRule type="cellIs" dxfId="88" priority="44" operator="equal">
      <formula>42</formula>
    </cfRule>
  </conditionalFormatting>
  <conditionalFormatting sqref="Q36">
    <cfRule type="cellIs" dxfId="87" priority="37" operator="equal">
      <formula>24</formula>
    </cfRule>
    <cfRule type="cellIs" dxfId="86" priority="38" operator="equal">
      <formula>36</formula>
    </cfRule>
    <cfRule type="cellIs" dxfId="85" priority="39" operator="equal">
      <formula>39</formula>
    </cfRule>
    <cfRule type="cellIs" dxfId="84" priority="40" operator="equal">
      <formula>42</formula>
    </cfRule>
  </conditionalFormatting>
  <conditionalFormatting sqref="AB34:AB36">
    <cfRule type="cellIs" dxfId="83" priority="33" operator="equal">
      <formula>"AZUL"</formula>
    </cfRule>
    <cfRule type="cellIs" dxfId="82" priority="34" operator="equal">
      <formula>"RECUP"</formula>
    </cfRule>
    <cfRule type="cellIs" dxfId="81" priority="35" operator="equal">
      <formula>"RAMAS"</formula>
    </cfRule>
    <cfRule type="cellIs" dxfId="80" priority="36" operator="equal">
      <formula>"PESADA"</formula>
    </cfRule>
  </conditionalFormatting>
  <conditionalFormatting sqref="AB34:AB36">
    <cfRule type="cellIs" dxfId="79" priority="32" operator="equal">
      <formula>"CORT"</formula>
    </cfRule>
  </conditionalFormatting>
  <conditionalFormatting sqref="V30:V31 V34:V35 V38:V39 V42:V43 V46:V47 V50:V51 V55:V56 V12:V13 V18:V19 V24:V25 V16 V22 V28">
    <cfRule type="cellIs" dxfId="78" priority="23" operator="greaterThan">
      <formula>115</formula>
    </cfRule>
    <cfRule type="cellIs" dxfId="77" priority="24" operator="lessThan">
      <formula>115</formula>
    </cfRule>
  </conditionalFormatting>
  <conditionalFormatting sqref="AB54">
    <cfRule type="cellIs" dxfId="76" priority="17" operator="equal">
      <formula>"AZUL"</formula>
    </cfRule>
    <cfRule type="cellIs" dxfId="75" priority="18" operator="equal">
      <formula>"RECUP"</formula>
    </cfRule>
    <cfRule type="cellIs" dxfId="74" priority="19" operator="equal">
      <formula>"RAMAS"</formula>
    </cfRule>
    <cfRule type="cellIs" dxfId="73" priority="20" operator="equal">
      <formula>"PESADA"</formula>
    </cfRule>
  </conditionalFormatting>
  <conditionalFormatting sqref="AB54">
    <cfRule type="cellIs" dxfId="72" priority="16" operator="equal">
      <formula>"CORT"</formula>
    </cfRule>
  </conditionalFormatting>
  <conditionalFormatting sqref="Q54">
    <cfRule type="cellIs" dxfId="71" priority="12" operator="equal">
      <formula>24</formula>
    </cfRule>
    <cfRule type="cellIs" dxfId="70" priority="13" operator="equal">
      <formula>36</formula>
    </cfRule>
    <cfRule type="cellIs" dxfId="69" priority="14" operator="equal">
      <formula>39</formula>
    </cfRule>
    <cfRule type="cellIs" dxfId="68" priority="15" operator="equal">
      <formula>42</formula>
    </cfRule>
  </conditionalFormatting>
  <conditionalFormatting sqref="X54">
    <cfRule type="cellIs" dxfId="67" priority="10" operator="lessThan">
      <formula>0</formula>
    </cfRule>
  </conditionalFormatting>
  <conditionalFormatting sqref="X54">
    <cfRule type="cellIs" dxfId="66" priority="11" operator="equal">
      <formula>0</formula>
    </cfRule>
  </conditionalFormatting>
  <conditionalFormatting sqref="Z54">
    <cfRule type="cellIs" dxfId="65" priority="9" operator="equal">
      <formula>"P"</formula>
    </cfRule>
  </conditionalFormatting>
  <conditionalFormatting sqref="Z54">
    <cfRule type="cellIs" dxfId="64" priority="5" operator="equal">
      <formula>"P"</formula>
    </cfRule>
    <cfRule type="cellIs" dxfId="63" priority="6" operator="equal">
      <formula>"N"</formula>
    </cfRule>
    <cfRule type="cellIs" dxfId="62" priority="7" operator="equal">
      <formula>"N"</formula>
    </cfRule>
    <cfRule type="cellIs" dxfId="61" priority="8" operator="equal">
      <formula>"L"</formula>
    </cfRule>
  </conditionalFormatting>
  <conditionalFormatting sqref="X54">
    <cfRule type="cellIs" dxfId="60" priority="4" operator="greaterThan">
      <formula>0</formula>
    </cfRule>
  </conditionalFormatting>
  <conditionalFormatting sqref="X54">
    <cfRule type="cellIs" dxfId="59" priority="3" operator="equal">
      <formula>FALSE</formula>
    </cfRule>
  </conditionalFormatting>
  <conditionalFormatting sqref="V54">
    <cfRule type="cellIs" dxfId="58" priority="1" operator="greaterThan">
      <formula>115</formula>
    </cfRule>
    <cfRule type="cellIs" dxfId="57" priority="2" operator="lessThan">
      <formula>115</formula>
    </cfRule>
  </conditionalFormatting>
  <conditionalFormatting sqref="Y6:Y9 AA6:AB9">
    <cfRule type="cellIs" dxfId="56" priority="142" operator="equal">
      <formula>0</formula>
    </cfRule>
    <cfRule type="cellIs" dxfId="55" priority="143" operator="greaterThan">
      <formula>0</formula>
    </cfRule>
    <cfRule type="cellIs" dxfId="54" priority="144" operator="equal">
      <formula>"SI"</formula>
    </cfRule>
    <cfRule type="cellIs" dxfId="53" priority="145" operator="equal">
      <formula>"NO"</formula>
    </cfRule>
  </conditionalFormatting>
  <conditionalFormatting sqref="E8:E9">
    <cfRule type="cellIs" dxfId="52" priority="141" operator="equal">
      <formula>"x"</formula>
    </cfRule>
  </conditionalFormatting>
  <conditionalFormatting sqref="F8:F9">
    <cfRule type="cellIs" dxfId="51" priority="140" operator="equal">
      <formula>"x"</formula>
    </cfRule>
  </conditionalFormatting>
  <conditionalFormatting sqref="G8:G9">
    <cfRule type="cellIs" dxfId="50" priority="139" operator="equal">
      <formula>"x"</formula>
    </cfRule>
  </conditionalFormatting>
  <conditionalFormatting sqref="Q18:Q19 Q55:Q56">
    <cfRule type="cellIs" dxfId="49" priority="135" operator="equal">
      <formula>24</formula>
    </cfRule>
    <cfRule type="cellIs" dxfId="48" priority="136" operator="equal">
      <formula>36</formula>
    </cfRule>
    <cfRule type="cellIs" dxfId="47" priority="137" operator="equal">
      <formula>39</formula>
    </cfRule>
    <cfRule type="cellIs" dxfId="46" priority="138" operator="equal">
      <formula>42</formula>
    </cfRule>
  </conditionalFormatting>
  <conditionalFormatting sqref="N12:N57">
    <cfRule type="cellIs" dxfId="45" priority="131" operator="equal">
      <formula>"AZUL"</formula>
    </cfRule>
    <cfRule type="cellIs" dxfId="44" priority="132" operator="equal">
      <formula>"RECUP"</formula>
    </cfRule>
    <cfRule type="cellIs" dxfId="43" priority="133" operator="equal">
      <formula>"RAMAS"</formula>
    </cfRule>
    <cfRule type="cellIs" dxfId="42" priority="134" operator="equal">
      <formula>"PESADA"</formula>
    </cfRule>
  </conditionalFormatting>
  <conditionalFormatting sqref="N12:N57">
    <cfRule type="cellIs" dxfId="41" priority="130" operator="equal">
      <formula>"CORT"</formula>
    </cfRule>
  </conditionalFormatting>
  <conditionalFormatting sqref="J12:J57 X55:X57">
    <cfRule type="cellIs" dxfId="40" priority="124" operator="lessThan">
      <formula>0</formula>
    </cfRule>
  </conditionalFormatting>
  <conditionalFormatting sqref="J12:J57 X55:X57">
    <cfRule type="cellIs" dxfId="39" priority="125" operator="equal">
      <formula>0</formula>
    </cfRule>
  </conditionalFormatting>
  <conditionalFormatting sqref="Q25 Q38:Q42">
    <cfRule type="cellIs" dxfId="38" priority="112" operator="equal">
      <formula>24</formula>
    </cfRule>
    <cfRule type="cellIs" dxfId="37" priority="113" operator="equal">
      <formula>36</formula>
    </cfRule>
    <cfRule type="cellIs" dxfId="36" priority="114" operator="equal">
      <formula>39</formula>
    </cfRule>
    <cfRule type="cellIs" dxfId="35" priority="115" operator="equal">
      <formula>42</formula>
    </cfRule>
  </conditionalFormatting>
  <conditionalFormatting sqref="C54 C14 C17 C20 C23 C26 C29 C32 C35 C38 C41 C44 C47 C50">
    <cfRule type="cellIs" dxfId="34" priority="102" operator="equal">
      <formula>24</formula>
    </cfRule>
    <cfRule type="cellIs" dxfId="33" priority="103" operator="equal">
      <formula>36</formula>
    </cfRule>
    <cfRule type="cellIs" dxfId="32" priority="104" operator="equal">
      <formula>39</formula>
    </cfRule>
    <cfRule type="cellIs" dxfId="31" priority="105" operator="equal">
      <formula>42</formula>
    </cfRule>
  </conditionalFormatting>
  <conditionalFormatting sqref="H30 H34 H38 H42 H46 H50 H54 H12 H18 H24 H16 H22 H28">
    <cfRule type="cellIs" dxfId="30" priority="106" operator="greaterThan">
      <formula>115</formula>
    </cfRule>
    <cfRule type="cellIs" dxfId="29" priority="107" operator="lessThan">
      <formula>115</formula>
    </cfRule>
  </conditionalFormatting>
  <conditionalFormatting sqref="C55:C57 C12:C13 C15:C16 C18:C19 C21:C22 C24:C25 C27:C28 C30:C31 C33:C34 C36:C37 C39:C40 C42:C43 C45:C46 C48:C49 C51:C53">
    <cfRule type="cellIs" dxfId="28" priority="84" operator="equal">
      <formula>24</formula>
    </cfRule>
    <cfRule type="cellIs" dxfId="27" priority="85" operator="equal">
      <formula>36</formula>
    </cfRule>
    <cfRule type="cellIs" dxfId="26" priority="86" operator="equal">
      <formula>39</formula>
    </cfRule>
    <cfRule type="cellIs" dxfId="25" priority="87" operator="equal">
      <formula>42</formula>
    </cfRule>
  </conditionalFormatting>
  <conditionalFormatting sqref="H33 H37 H41 H45 H49 H53 H57 H15 H21 H27">
    <cfRule type="cellIs" dxfId="24" priority="92" operator="greaterThan">
      <formula>115</formula>
    </cfRule>
    <cfRule type="cellIs" dxfId="23" priority="93" operator="lessThan">
      <formula>115</formula>
    </cfRule>
  </conditionalFormatting>
  <conditionalFormatting sqref="H31:H32 H35:H36 H39:H40 H43:H44 H47:H48 H51:H52 H55:H56 H13:H14 H19:H20 H25:H26 H17 H23 H29">
    <cfRule type="cellIs" dxfId="22" priority="90" operator="greaterThan">
      <formula>115</formula>
    </cfRule>
    <cfRule type="cellIs" dxfId="21" priority="91" operator="lessThan">
      <formula>115</formula>
    </cfRule>
  </conditionalFormatting>
  <conditionalFormatting sqref="I32 I36 I40 I44 I48 I52 I56 I14 I20 I26">
    <cfRule type="cellIs" dxfId="20" priority="89" operator="lessThan">
      <formula>0</formula>
    </cfRule>
  </conditionalFormatting>
  <conditionalFormatting sqref="I32 I36 I40 I44 I48 I52 I56 I14 I20 I26">
    <cfRule type="cellIs" dxfId="19" priority="88" operator="equal">
      <formula>0</formula>
    </cfRule>
  </conditionalFormatting>
  <conditionalFormatting sqref="AB31:AB33">
    <cfRule type="cellIs" dxfId="18" priority="68" operator="equal">
      <formula>"AZUL"</formula>
    </cfRule>
    <cfRule type="cellIs" dxfId="17" priority="69" operator="equal">
      <formula>"RECUP"</formula>
    </cfRule>
    <cfRule type="cellIs" dxfId="16" priority="70" operator="equal">
      <formula>"RAMAS"</formula>
    </cfRule>
    <cfRule type="cellIs" dxfId="15" priority="71" operator="equal">
      <formula>"PESADA"</formula>
    </cfRule>
  </conditionalFormatting>
  <conditionalFormatting sqref="AB31:AB33">
    <cfRule type="cellIs" dxfId="14" priority="67" operator="equal">
      <formula>"CORT"</formula>
    </cfRule>
  </conditionalFormatting>
  <conditionalFormatting sqref="L12:L57 Z55:Z57">
    <cfRule type="cellIs" dxfId="13" priority="66" operator="equal">
      <formula>"P"</formula>
    </cfRule>
  </conditionalFormatting>
  <conditionalFormatting sqref="L12:L57 Z55:Z57">
    <cfRule type="cellIs" dxfId="12" priority="62" operator="equal">
      <formula>"P"</formula>
    </cfRule>
    <cfRule type="cellIs" dxfId="11" priority="63" operator="equal">
      <formula>"N"</formula>
    </cfRule>
    <cfRule type="cellIs" dxfId="10" priority="64" operator="equal">
      <formula>"N"</formula>
    </cfRule>
    <cfRule type="cellIs" dxfId="9" priority="65" operator="equal">
      <formula>"L"</formula>
    </cfRule>
  </conditionalFormatting>
  <conditionalFormatting sqref="J12:J57 X55:X57">
    <cfRule type="cellIs" dxfId="8" priority="31" operator="greaterThan">
      <formula>0</formula>
    </cfRule>
  </conditionalFormatting>
  <conditionalFormatting sqref="J12:J57 X55:X57">
    <cfRule type="cellIs" dxfId="7" priority="30" operator="equal">
      <formula>FALSE</formula>
    </cfRule>
  </conditionalFormatting>
  <conditionalFormatting sqref="M76:N76">
    <cfRule type="cellIs" dxfId="6" priority="29" operator="equal">
      <formula>"APROBACION"</formula>
    </cfRule>
  </conditionalFormatting>
  <conditionalFormatting sqref="V29 V33 V37 V41 V45 V49 V53 V17 V23 V15 V21 V27">
    <cfRule type="cellIs" dxfId="5" priority="27" operator="greaterThan">
      <formula>115</formula>
    </cfRule>
    <cfRule type="cellIs" dxfId="4" priority="28" operator="lessThan">
      <formula>115</formula>
    </cfRule>
  </conditionalFormatting>
  <conditionalFormatting sqref="V32 V36 V40 V44 V48 V52 V57 V14 V20 V26">
    <cfRule type="cellIs" dxfId="3" priority="25" operator="greaterThan">
      <formula>115</formula>
    </cfRule>
    <cfRule type="cellIs" dxfId="2" priority="26" operator="lessThan">
      <formula>115</formula>
    </cfRule>
  </conditionalFormatting>
  <conditionalFormatting sqref="W31 W35 W39 W43 W47 W51 W56 W13 W19 W25">
    <cfRule type="cellIs" dxfId="1" priority="22" operator="lessThan">
      <formula>0</formula>
    </cfRule>
  </conditionalFormatting>
  <conditionalFormatting sqref="W31 W35 W39 W43 W47 W51 W56 W13 W19 W25">
    <cfRule type="cellIs" dxfId="0" priority="21" operator="equal">
      <formula>0</formula>
    </cfRule>
  </conditionalFormatting>
  <pageMargins left="0.23622047244094488" right="0.23622047244094488" top="0.39370078740157483" bottom="0.3937007874015748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NUEVO</vt:lpstr>
      <vt:lpstr>FORMATO NUEVO (2)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QUIROZ</dc:creator>
  <cp:lastModifiedBy>USUARIO</cp:lastModifiedBy>
  <dcterms:created xsi:type="dcterms:W3CDTF">2020-11-05T14:20:40Z</dcterms:created>
  <dcterms:modified xsi:type="dcterms:W3CDTF">2021-03-25T13:51:38Z</dcterms:modified>
</cp:coreProperties>
</file>