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" sheetId="1" r:id="rId4"/>
    <sheet state="visible" name="martes 08" sheetId="2" r:id="rId5"/>
  </sheets>
  <definedNames/>
  <calcPr/>
</workbook>
</file>

<file path=xl/sharedStrings.xml><?xml version="1.0" encoding="utf-8"?>
<sst xmlns="http://schemas.openxmlformats.org/spreadsheetml/2006/main" count="460" uniqueCount="41">
  <si>
    <t>PENDULA 1: HECTOR</t>
  </si>
  <si>
    <t>ESPESOR</t>
  </si>
  <si>
    <t>PLANTILLAS</t>
  </si>
  <si>
    <t>BFT</t>
  </si>
  <si>
    <t>TOTAL</t>
  </si>
  <si>
    <t>TICKER</t>
  </si>
  <si>
    <t xml:space="preserve">                        TOTAL PRNDULADO</t>
  </si>
  <si>
    <t>dia</t>
  </si>
  <si>
    <t>noche</t>
  </si>
  <si>
    <t>total</t>
  </si>
  <si>
    <t>SUB TOTAL</t>
  </si>
  <si>
    <t>PROMEDIO DEL DIA</t>
  </si>
  <si>
    <t>TOTAL :</t>
  </si>
  <si>
    <t>PENDULA 2:EDISON URETA</t>
  </si>
  <si>
    <t>PROMEDIO DE LA NOCHE</t>
  </si>
  <si>
    <t>PENDULA 3: TARCISO LUCAS</t>
  </si>
  <si>
    <t xml:space="preserve">TOTAL DE MADERA FINA </t>
  </si>
  <si>
    <t>TOTAL DE MADERA GRUESA</t>
  </si>
  <si>
    <t>PROMEDIO GENERAL FINO</t>
  </si>
  <si>
    <t>PROMEDIO GENERAL GRUESO</t>
  </si>
  <si>
    <t>PENDULA 4: CESAR</t>
  </si>
  <si>
    <t>PENDULA 5: BLADIMIR</t>
  </si>
  <si>
    <t>PENDULA 6: JESUS</t>
  </si>
  <si>
    <t>PENDULA 7: JATIVA</t>
  </si>
  <si>
    <t>PENDULA 8: ANTENOR</t>
  </si>
  <si>
    <t>PENDULA 9: JUAN</t>
  </si>
  <si>
    <t>PENDULA 10: CALIXTO</t>
  </si>
  <si>
    <t>PENDULA 11: DANIEL</t>
  </si>
  <si>
    <t>PENDULA 12: PABLO</t>
  </si>
  <si>
    <t>PENDULA 13: NOCHE</t>
  </si>
  <si>
    <t>PENDULA 14: NOCHE</t>
  </si>
  <si>
    <t>PENDULA 15: NOCHE</t>
  </si>
  <si>
    <t>PENDULA 16: NOCHE</t>
  </si>
  <si>
    <t>PENDULA 17: NOCHE</t>
  </si>
  <si>
    <t>PENDULA 18: NOCHE</t>
  </si>
  <si>
    <t>PENDULA 19: NOCHE</t>
  </si>
  <si>
    <t>PENDULA 20N</t>
  </si>
  <si>
    <t>PENDULA 1: jativa</t>
  </si>
  <si>
    <t>PENDULA 2:jefferson</t>
  </si>
  <si>
    <t>PENDULA 3: cesar</t>
  </si>
  <si>
    <t>PENDULA 4:jesus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</si>
</sst>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8">
    <font>
      <sz val="10.0"/>
      <color rgb="FF000000"/>
      <name val="Arial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0000"/>
      <name val="Calibri"/>
    </font>
    <font>
      <sz val="11.0"/>
      <color theme="1"/>
      <name val="Arial"/>
    </font>
    <font/>
    <font>
      <sz val="11.0"/>
      <color theme="1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7F7F7F"/>
        <bgColor rgb="FF7F7F7F"/>
      </patternFill>
    </fill>
  </fills>
  <borders count="16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medium">
        <color rgb="FF505050"/>
      </left>
      <right style="thin">
        <color rgb="FF505050"/>
      </right>
      <top style="medium">
        <color rgb="FF505050"/>
      </top>
    </border>
    <border>
      <left style="thin">
        <color rgb="FF505050"/>
      </left>
      <right style="medium">
        <color rgb="FF505050"/>
      </right>
      <top style="medium">
        <color rgb="FF505050"/>
      </top>
      <bottom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</border>
    <border>
      <left style="medium">
        <color rgb="FF505050"/>
      </left>
      <right style="thin">
        <color rgb="FF505050"/>
      </right>
      <bottom style="medium">
        <color rgb="FF505050"/>
      </bottom>
    </border>
    <border>
      <left style="thin">
        <color rgb="FF505050"/>
      </left>
      <right style="medium">
        <color rgb="FF505050"/>
      </right>
      <bottom style="medium">
        <color rgb="FF50505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Border="1" applyFont="1"/>
    <xf borderId="3" fillId="2" fontId="1" numFmtId="0" xfId="0" applyBorder="1" applyFont="1"/>
    <xf borderId="4" fillId="3" fontId="2" numFmtId="0" xfId="0" applyBorder="1" applyFill="1" applyFont="1"/>
    <xf borderId="4" fillId="3" fontId="2" numFmtId="0" xfId="0" applyAlignment="1" applyBorder="1" applyFont="1">
      <alignment horizontal="center"/>
    </xf>
    <xf borderId="4" fillId="3" fontId="2" numFmtId="12" xfId="0" applyBorder="1" applyFont="1" applyNumberFormat="1"/>
    <xf borderId="4" fillId="0" fontId="3" numFmtId="0" xfId="0" applyBorder="1" applyFont="1"/>
    <xf borderId="4" fillId="0" fontId="3" numFmtId="164" xfId="0" applyBorder="1" applyFont="1" applyNumberFormat="1"/>
    <xf borderId="5" fillId="3" fontId="4" numFmtId="0" xfId="0" applyAlignment="1" applyBorder="1" applyFont="1">
      <alignment horizontal="center"/>
    </xf>
    <xf borderId="4" fillId="0" fontId="3" numFmtId="165" xfId="0" applyBorder="1" applyFont="1" applyNumberFormat="1"/>
    <xf borderId="6" fillId="0" fontId="3" numFmtId="0" xfId="0" applyBorder="1" applyFont="1"/>
    <xf borderId="7" fillId="4" fontId="3" numFmtId="2" xfId="0" applyBorder="1" applyFill="1" applyFont="1" applyNumberFormat="1"/>
    <xf borderId="4" fillId="0" fontId="3" numFmtId="2" xfId="0" applyBorder="1" applyFont="1" applyNumberFormat="1"/>
    <xf borderId="8" fillId="0" fontId="3" numFmtId="0" xfId="0" applyBorder="1" applyFont="1"/>
    <xf borderId="9" fillId="3" fontId="3" numFmtId="2" xfId="0" applyBorder="1" applyFont="1" applyNumberFormat="1"/>
    <xf borderId="4" fillId="0" fontId="3" numFmtId="1" xfId="0" applyBorder="1" applyFont="1" applyNumberFormat="1"/>
    <xf borderId="9" fillId="2" fontId="3" numFmtId="2" xfId="0" applyBorder="1" applyFont="1" applyNumberFormat="1"/>
    <xf borderId="9" fillId="0" fontId="3" numFmtId="0" xfId="0" applyBorder="1" applyFont="1"/>
    <xf borderId="4" fillId="0" fontId="5" numFmtId="0" xfId="0" applyBorder="1" applyFont="1"/>
    <xf borderId="10" fillId="0" fontId="3" numFmtId="0" xfId="0" applyBorder="1" applyFont="1"/>
    <xf borderId="11" fillId="0" fontId="3" numFmtId="0" xfId="0" applyBorder="1" applyFont="1"/>
    <xf borderId="4" fillId="3" fontId="2" numFmtId="12" xfId="0" applyAlignment="1" applyBorder="1" applyFont="1" applyNumberFormat="1">
      <alignment readingOrder="0"/>
    </xf>
    <xf borderId="4" fillId="0" fontId="3" numFmtId="0" xfId="0" applyAlignment="1" applyBorder="1" applyFont="1">
      <alignment readingOrder="0"/>
    </xf>
    <xf borderId="12" fillId="0" fontId="3" numFmtId="0" xfId="0" applyBorder="1" applyFont="1"/>
    <xf borderId="12" fillId="0" fontId="6" numFmtId="0" xfId="0" applyBorder="1" applyFont="1"/>
    <xf borderId="12" fillId="0" fontId="3" numFmtId="2" xfId="0" applyBorder="1" applyFont="1" applyNumberFormat="1"/>
    <xf borderId="13" fillId="0" fontId="3" numFmtId="0" xfId="0" applyBorder="1" applyFont="1"/>
    <xf borderId="14" fillId="0" fontId="3" numFmtId="0" xfId="0" applyBorder="1" applyFont="1"/>
    <xf borderId="14" fillId="0" fontId="3" numFmtId="2" xfId="0" applyBorder="1" applyFont="1" applyNumberFormat="1"/>
    <xf borderId="4" fillId="0" fontId="4" numFmtId="0" xfId="0" applyBorder="1" applyFont="1"/>
    <xf borderId="1" fillId="3" fontId="2" numFmtId="12" xfId="0" applyBorder="1" applyFont="1" applyNumberFormat="1"/>
    <xf borderId="4" fillId="0" fontId="3" numFmtId="12" xfId="0" applyBorder="1" applyFont="1" applyNumberFormat="1"/>
    <xf borderId="4" fillId="5" fontId="3" numFmtId="0" xfId="0" applyBorder="1" applyFill="1" applyFont="1"/>
    <xf borderId="0" fillId="0" fontId="3" numFmtId="10" xfId="0" applyFont="1" applyNumberFormat="1"/>
    <xf borderId="4" fillId="6" fontId="3" numFmtId="0" xfId="0" applyBorder="1" applyFill="1" applyFont="1"/>
    <xf borderId="4" fillId="0" fontId="3" numFmtId="0" xfId="0" applyAlignment="1" applyBorder="1" applyFont="1">
      <alignment horizontal="left"/>
    </xf>
    <xf borderId="13" fillId="0" fontId="3" numFmtId="0" xfId="0" applyAlignment="1" applyBorder="1" applyFont="1">
      <alignment horizontal="left"/>
    </xf>
    <xf borderId="15" fillId="0" fontId="3" numFmtId="0" xfId="0" applyBorder="1" applyFont="1"/>
    <xf borderId="4" fillId="0" fontId="3" numFmtId="9" xfId="0" applyBorder="1" applyFont="1" applyNumberFormat="1"/>
    <xf borderId="1" fillId="2" fontId="1" numFmtId="0" xfId="0" applyBorder="1" applyFont="1"/>
    <xf borderId="14" fillId="0" fontId="3" numFmtId="4" xfId="0" applyBorder="1" applyFont="1" applyNumberFormat="1"/>
    <xf borderId="4" fillId="0" fontId="7" numFmtId="0" xfId="0" applyAlignment="1" applyBorder="1" applyFont="1">
      <alignment readingOrder="0"/>
    </xf>
    <xf borderId="15" fillId="0" fontId="3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26" width="10.71"/>
  </cols>
  <sheetData>
    <row r="1">
      <c r="A1" s="1" t="s">
        <v>0</v>
      </c>
      <c r="B1" s="2"/>
      <c r="C1" s="2"/>
      <c r="D1" s="2"/>
      <c r="E1" s="3"/>
      <c r="F1" s="3"/>
      <c r="G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3</v>
      </c>
      <c r="G2" s="5" t="s">
        <v>4</v>
      </c>
    </row>
    <row r="3">
      <c r="A3" s="6">
        <v>0.875</v>
      </c>
      <c r="B3" s="7"/>
      <c r="C3" s="8">
        <v>30.875</v>
      </c>
      <c r="D3" s="7">
        <f t="shared" ref="D3:D9" si="1">+B3*C3</f>
        <v>0</v>
      </c>
      <c r="E3" s="7"/>
      <c r="F3" s="7">
        <v>4.2</v>
      </c>
      <c r="G3" s="7">
        <f t="shared" ref="G3:G9" si="2">+E3*F3</f>
        <v>0</v>
      </c>
      <c r="I3" s="9" t="s">
        <v>6</v>
      </c>
    </row>
    <row r="4">
      <c r="A4" s="6">
        <v>1.0</v>
      </c>
      <c r="B4" s="7"/>
      <c r="C4" s="10">
        <v>34.5</v>
      </c>
      <c r="D4" s="7">
        <f t="shared" si="1"/>
        <v>0</v>
      </c>
      <c r="E4" s="7"/>
      <c r="F4" s="7">
        <v>6.3</v>
      </c>
      <c r="G4" s="7">
        <f t="shared" si="2"/>
        <v>0</v>
      </c>
      <c r="I4" s="11" t="s">
        <v>7</v>
      </c>
      <c r="J4" s="12">
        <f>E11+E22+E33+E44+E55+E66+E77+E88+E99+E110+E121+E132</f>
        <v>0</v>
      </c>
    </row>
    <row r="5">
      <c r="A5" s="6">
        <v>1.5</v>
      </c>
      <c r="B5" s="7"/>
      <c r="C5" s="13">
        <v>51.75</v>
      </c>
      <c r="D5" s="7">
        <f t="shared" si="1"/>
        <v>0</v>
      </c>
      <c r="E5" s="7"/>
      <c r="F5" s="7">
        <v>12.0</v>
      </c>
      <c r="G5" s="7">
        <f t="shared" si="2"/>
        <v>0</v>
      </c>
      <c r="I5" s="14" t="s">
        <v>8</v>
      </c>
      <c r="J5" s="15">
        <f>E143+E154+E165+E176+E187+E198+E209+E220</f>
        <v>0</v>
      </c>
    </row>
    <row r="6">
      <c r="A6" s="6">
        <v>2.0</v>
      </c>
      <c r="B6" s="7"/>
      <c r="C6" s="16">
        <v>69.0</v>
      </c>
      <c r="D6" s="7">
        <f t="shared" si="1"/>
        <v>0</v>
      </c>
      <c r="E6" s="7"/>
      <c r="F6" s="7">
        <v>19.0</v>
      </c>
      <c r="G6" s="7">
        <f t="shared" si="2"/>
        <v>0</v>
      </c>
      <c r="I6" s="14" t="s">
        <v>9</v>
      </c>
      <c r="J6" s="17">
        <f>+J4+J5</f>
        <v>0</v>
      </c>
    </row>
    <row r="7">
      <c r="A7" s="6">
        <v>2.5</v>
      </c>
      <c r="B7" s="7"/>
      <c r="C7" s="13">
        <v>86.25</v>
      </c>
      <c r="D7" s="7">
        <f t="shared" si="1"/>
        <v>0</v>
      </c>
      <c r="E7" s="7"/>
      <c r="F7" s="7">
        <v>30.0</v>
      </c>
      <c r="G7" s="7">
        <f t="shared" si="2"/>
        <v>0</v>
      </c>
      <c r="I7" s="14"/>
      <c r="J7" s="18"/>
    </row>
    <row r="8">
      <c r="A8" s="6">
        <v>3.0</v>
      </c>
      <c r="B8" s="19"/>
      <c r="C8" s="7">
        <v>103.5</v>
      </c>
      <c r="D8" s="7">
        <f t="shared" si="1"/>
        <v>0</v>
      </c>
      <c r="E8" s="19"/>
      <c r="F8" s="7">
        <v>36.0</v>
      </c>
      <c r="G8" s="7">
        <f t="shared" si="2"/>
        <v>0</v>
      </c>
      <c r="I8" s="20"/>
      <c r="J8" s="21"/>
    </row>
    <row r="9">
      <c r="A9" s="22">
        <v>3.5</v>
      </c>
      <c r="B9" s="19"/>
      <c r="C9" s="23">
        <v>120.75</v>
      </c>
      <c r="D9" s="7">
        <f t="shared" si="1"/>
        <v>0</v>
      </c>
      <c r="E9" s="19"/>
      <c r="F9" s="23">
        <v>42.0</v>
      </c>
      <c r="G9" s="7">
        <f t="shared" si="2"/>
        <v>0</v>
      </c>
    </row>
    <row r="10">
      <c r="A10" s="6"/>
      <c r="B10" s="24" t="s">
        <v>10</v>
      </c>
      <c r="C10" s="25"/>
      <c r="D10" s="26">
        <f>SUM(D3:D9)</f>
        <v>0</v>
      </c>
      <c r="E10" s="27" t="s">
        <v>10</v>
      </c>
      <c r="F10" s="28"/>
      <c r="G10" s="29">
        <f>SUM(G3:G9)</f>
        <v>0</v>
      </c>
      <c r="I10" s="30" t="s">
        <v>11</v>
      </c>
      <c r="J10" s="7"/>
    </row>
    <row r="11">
      <c r="A11" s="31"/>
      <c r="C11" s="28"/>
      <c r="D11" s="24" t="s">
        <v>12</v>
      </c>
      <c r="E11" s="29">
        <f>+D10+G10</f>
        <v>0</v>
      </c>
      <c r="F11" s="28"/>
      <c r="G11" s="28"/>
      <c r="I11" s="32">
        <v>0.875</v>
      </c>
      <c r="J11" s="33">
        <f t="shared" ref="J11:J17" si="3">D3+G3+D14+G14+D25+G25+D36+G36+D47+G47+D58+G58+D69+G69+D80+G80+D91+G91+D102+G102+D113+G113+D124+G124</f>
        <v>0</v>
      </c>
      <c r="K11" s="34" t="str">
        <f>+J11/J4</f>
        <v>#DIV/0!</v>
      </c>
    </row>
    <row r="12">
      <c r="A12" s="1" t="s">
        <v>13</v>
      </c>
      <c r="B12" s="2"/>
      <c r="C12" s="2"/>
      <c r="D12" s="2"/>
      <c r="E12" s="3"/>
      <c r="F12" s="3"/>
      <c r="G12" s="3"/>
      <c r="I12" s="7">
        <v>1.0</v>
      </c>
      <c r="J12" s="33">
        <f t="shared" si="3"/>
        <v>0</v>
      </c>
      <c r="K12" s="34" t="str">
        <f>+J12/J4</f>
        <v>#DIV/0!</v>
      </c>
    </row>
    <row r="13">
      <c r="A13" s="4" t="s">
        <v>1</v>
      </c>
      <c r="B13" s="5" t="s">
        <v>2</v>
      </c>
      <c r="C13" s="5" t="s">
        <v>3</v>
      </c>
      <c r="D13" s="5" t="s">
        <v>4</v>
      </c>
      <c r="E13" s="5" t="s">
        <v>5</v>
      </c>
      <c r="F13" s="5" t="s">
        <v>3</v>
      </c>
      <c r="G13" s="5" t="s">
        <v>4</v>
      </c>
      <c r="I13" s="32">
        <v>1.5</v>
      </c>
      <c r="J13" s="33">
        <f t="shared" si="3"/>
        <v>0</v>
      </c>
      <c r="K13" s="34" t="str">
        <f>+J13/J4</f>
        <v>#DIV/0!</v>
      </c>
      <c r="L13" s="34" t="str">
        <f>+K11+K12+K13</f>
        <v>#DIV/0!</v>
      </c>
    </row>
    <row r="14">
      <c r="A14" s="6">
        <v>0.875</v>
      </c>
      <c r="B14" s="7"/>
      <c r="C14" s="8">
        <v>30.875</v>
      </c>
      <c r="D14" s="7">
        <f t="shared" ref="D14:D20" si="4">+B14*C14</f>
        <v>0</v>
      </c>
      <c r="E14" s="7"/>
      <c r="F14" s="7">
        <v>4.2</v>
      </c>
      <c r="G14" s="7">
        <f t="shared" ref="G14:G20" si="5">+E14*F14</f>
        <v>0</v>
      </c>
      <c r="I14" s="7">
        <v>2.0</v>
      </c>
      <c r="J14" s="33">
        <f t="shared" si="3"/>
        <v>0</v>
      </c>
      <c r="K14" s="34" t="str">
        <f>+J14/J4</f>
        <v>#DIV/0!</v>
      </c>
    </row>
    <row r="15">
      <c r="A15" s="6">
        <v>1.0</v>
      </c>
      <c r="B15" s="7"/>
      <c r="C15" s="10">
        <v>34.5</v>
      </c>
      <c r="D15" s="7">
        <f t="shared" si="4"/>
        <v>0</v>
      </c>
      <c r="E15" s="7"/>
      <c r="F15" s="7">
        <v>6.3</v>
      </c>
      <c r="G15" s="7">
        <f t="shared" si="5"/>
        <v>0</v>
      </c>
      <c r="I15" s="7">
        <v>2.5</v>
      </c>
      <c r="J15" s="33">
        <f t="shared" si="3"/>
        <v>0</v>
      </c>
      <c r="K15" s="34" t="str">
        <f>+J15/J4</f>
        <v>#DIV/0!</v>
      </c>
    </row>
    <row r="16">
      <c r="A16" s="6">
        <v>1.5</v>
      </c>
      <c r="B16" s="7"/>
      <c r="C16" s="13">
        <v>51.75</v>
      </c>
      <c r="D16" s="7">
        <f t="shared" si="4"/>
        <v>0</v>
      </c>
      <c r="E16" s="7"/>
      <c r="F16" s="7">
        <v>12.0</v>
      </c>
      <c r="G16" s="7">
        <f t="shared" si="5"/>
        <v>0</v>
      </c>
      <c r="I16" s="7">
        <v>3.0</v>
      </c>
      <c r="J16" s="33">
        <f t="shared" si="3"/>
        <v>0</v>
      </c>
      <c r="K16" s="34" t="str">
        <f>+J16/J4</f>
        <v>#DIV/0!</v>
      </c>
      <c r="L16" s="34" t="str">
        <f>+K14+K15+K16+K17</f>
        <v>#DIV/0!</v>
      </c>
    </row>
    <row r="17">
      <c r="A17" s="6">
        <v>2.0</v>
      </c>
      <c r="B17" s="7"/>
      <c r="C17" s="16">
        <v>69.0</v>
      </c>
      <c r="D17" s="7">
        <f t="shared" si="4"/>
        <v>0</v>
      </c>
      <c r="E17" s="7"/>
      <c r="F17" s="7">
        <v>19.0</v>
      </c>
      <c r="G17" s="7">
        <f t="shared" si="5"/>
        <v>0</v>
      </c>
      <c r="I17" s="23">
        <v>3.5</v>
      </c>
      <c r="J17" s="33">
        <f t="shared" si="3"/>
        <v>0</v>
      </c>
      <c r="K17" s="34" t="str">
        <f>+J17/J4</f>
        <v>#DIV/0!</v>
      </c>
    </row>
    <row r="18">
      <c r="A18" s="6">
        <v>2.5</v>
      </c>
      <c r="B18" s="7"/>
      <c r="C18" s="13">
        <v>86.25</v>
      </c>
      <c r="D18" s="7">
        <f t="shared" si="4"/>
        <v>0</v>
      </c>
      <c r="E18" s="7"/>
      <c r="F18" s="7">
        <v>30.0</v>
      </c>
      <c r="G18" s="7">
        <f t="shared" si="5"/>
        <v>0</v>
      </c>
    </row>
    <row r="19">
      <c r="A19" s="6">
        <v>3.0</v>
      </c>
      <c r="B19" s="19"/>
      <c r="C19" s="7">
        <v>103.5</v>
      </c>
      <c r="D19" s="7">
        <f t="shared" si="4"/>
        <v>0</v>
      </c>
      <c r="E19" s="19"/>
      <c r="F19" s="7">
        <v>36.0</v>
      </c>
      <c r="G19" s="7">
        <f t="shared" si="5"/>
        <v>0</v>
      </c>
    </row>
    <row r="20">
      <c r="A20" s="22">
        <v>3.5</v>
      </c>
      <c r="B20" s="19"/>
      <c r="C20" s="23">
        <v>120.75</v>
      </c>
      <c r="D20" s="7">
        <f t="shared" si="4"/>
        <v>0</v>
      </c>
      <c r="E20" s="19"/>
      <c r="F20" s="23">
        <v>42.0</v>
      </c>
      <c r="G20" s="7">
        <f t="shared" si="5"/>
        <v>0</v>
      </c>
      <c r="I20" s="30" t="s">
        <v>14</v>
      </c>
      <c r="J20" s="7"/>
    </row>
    <row r="21" ht="15.75" customHeight="1">
      <c r="A21" s="6"/>
      <c r="B21" s="24" t="s">
        <v>10</v>
      </c>
      <c r="C21" s="25"/>
      <c r="D21" s="26">
        <f>SUM(D14:D20)</f>
        <v>0</v>
      </c>
      <c r="E21" s="27" t="s">
        <v>10</v>
      </c>
      <c r="F21" s="28"/>
      <c r="G21" s="29">
        <f>SUM(G14:G20)</f>
        <v>0</v>
      </c>
      <c r="I21" s="32">
        <v>0.875</v>
      </c>
      <c r="J21" s="35">
        <f t="shared" ref="J21:J27" si="6">D135+G135+D146+G146+D157+G157+D168+G168+D179+G179+D190+G190+D201+G201+D212+G212</f>
        <v>0</v>
      </c>
      <c r="K21" s="34" t="str">
        <f>+J21/J5</f>
        <v>#DIV/0!</v>
      </c>
    </row>
    <row r="22" ht="15.75" customHeight="1">
      <c r="A22" s="31"/>
      <c r="C22" s="28"/>
      <c r="D22" s="24" t="s">
        <v>12</v>
      </c>
      <c r="E22" s="29">
        <f>+D21+G21</f>
        <v>0</v>
      </c>
      <c r="F22" s="28"/>
      <c r="G22" s="28"/>
      <c r="I22" s="7">
        <v>1.0</v>
      </c>
      <c r="J22" s="35">
        <f t="shared" si="6"/>
        <v>0</v>
      </c>
      <c r="K22" s="34" t="str">
        <f>+J22/J5</f>
        <v>#DIV/0!</v>
      </c>
    </row>
    <row r="23" ht="15.75" customHeight="1">
      <c r="A23" s="1" t="s">
        <v>15</v>
      </c>
      <c r="B23" s="2"/>
      <c r="C23" s="2"/>
      <c r="D23" s="2"/>
      <c r="E23" s="3"/>
      <c r="F23" s="3"/>
      <c r="G23" s="3"/>
      <c r="I23" s="32">
        <v>1.5</v>
      </c>
      <c r="J23" s="35">
        <f t="shared" si="6"/>
        <v>0</v>
      </c>
      <c r="K23" s="34" t="str">
        <f>+J23/J5</f>
        <v>#DIV/0!</v>
      </c>
      <c r="L23" s="34" t="str">
        <f>+K21+K22+K23</f>
        <v>#DIV/0!</v>
      </c>
    </row>
    <row r="24" ht="15.75" customHeight="1">
      <c r="A24" s="4" t="s">
        <v>1</v>
      </c>
      <c r="B24" s="5" t="s">
        <v>2</v>
      </c>
      <c r="C24" s="5" t="s">
        <v>3</v>
      </c>
      <c r="D24" s="5" t="s">
        <v>4</v>
      </c>
      <c r="E24" s="5" t="s">
        <v>5</v>
      </c>
      <c r="F24" s="5" t="s">
        <v>3</v>
      </c>
      <c r="G24" s="5" t="s">
        <v>4</v>
      </c>
      <c r="I24" s="7">
        <v>2.0</v>
      </c>
      <c r="J24" s="35">
        <f t="shared" si="6"/>
        <v>0</v>
      </c>
      <c r="K24" s="34" t="str">
        <f>+J24/J5</f>
        <v>#DIV/0!</v>
      </c>
    </row>
    <row r="25" ht="15.75" customHeight="1">
      <c r="A25" s="6">
        <v>0.875</v>
      </c>
      <c r="B25" s="7"/>
      <c r="C25" s="8">
        <v>30.875</v>
      </c>
      <c r="D25" s="7">
        <f t="shared" ref="D25:D31" si="7">+B25*C25</f>
        <v>0</v>
      </c>
      <c r="E25" s="7"/>
      <c r="F25" s="7">
        <v>4.2</v>
      </c>
      <c r="G25" s="7">
        <f t="shared" ref="G25:G31" si="8">+E25*F25</f>
        <v>0</v>
      </c>
      <c r="I25" s="7">
        <v>2.5</v>
      </c>
      <c r="J25" s="35">
        <f t="shared" si="6"/>
        <v>0</v>
      </c>
      <c r="K25" s="34" t="str">
        <f>+J25/J5</f>
        <v>#DIV/0!</v>
      </c>
    </row>
    <row r="26" ht="15.75" customHeight="1">
      <c r="A26" s="6">
        <v>1.0</v>
      </c>
      <c r="B26" s="7"/>
      <c r="C26" s="10">
        <v>34.5</v>
      </c>
      <c r="D26" s="7">
        <f t="shared" si="7"/>
        <v>0</v>
      </c>
      <c r="E26" s="7"/>
      <c r="F26" s="7">
        <v>6.3</v>
      </c>
      <c r="G26" s="7">
        <f t="shared" si="8"/>
        <v>0</v>
      </c>
      <c r="I26" s="7">
        <v>3.0</v>
      </c>
      <c r="J26" s="35">
        <f t="shared" si="6"/>
        <v>0</v>
      </c>
      <c r="K26" s="34" t="str">
        <f>+J26/J5</f>
        <v>#DIV/0!</v>
      </c>
      <c r="L26" s="34" t="str">
        <f>+K24+K25+K26</f>
        <v>#DIV/0!</v>
      </c>
    </row>
    <row r="27" ht="15.75" customHeight="1">
      <c r="A27" s="6">
        <v>1.5</v>
      </c>
      <c r="B27" s="7"/>
      <c r="C27" s="13">
        <v>51.75</v>
      </c>
      <c r="D27" s="7">
        <f t="shared" si="7"/>
        <v>0</v>
      </c>
      <c r="E27" s="7"/>
      <c r="F27" s="7">
        <v>12.0</v>
      </c>
      <c r="G27" s="7">
        <f t="shared" si="8"/>
        <v>0</v>
      </c>
      <c r="I27" s="23">
        <v>3.5</v>
      </c>
      <c r="J27" s="35">
        <f t="shared" si="6"/>
        <v>0</v>
      </c>
    </row>
    <row r="28" ht="15.75" customHeight="1">
      <c r="A28" s="6">
        <v>2.0</v>
      </c>
      <c r="B28" s="7"/>
      <c r="C28" s="16">
        <v>69.0</v>
      </c>
      <c r="D28" s="7">
        <f t="shared" si="7"/>
        <v>0</v>
      </c>
      <c r="E28" s="7"/>
      <c r="F28" s="7">
        <v>19.0</v>
      </c>
      <c r="G28" s="7">
        <f t="shared" si="8"/>
        <v>0</v>
      </c>
    </row>
    <row r="29" ht="15.75" customHeight="1">
      <c r="A29" s="6">
        <v>2.5</v>
      </c>
      <c r="B29" s="7"/>
      <c r="C29" s="13">
        <v>86.25</v>
      </c>
      <c r="D29" s="7">
        <f t="shared" si="7"/>
        <v>0</v>
      </c>
      <c r="E29" s="7"/>
      <c r="F29" s="7">
        <v>30.0</v>
      </c>
      <c r="G29" s="7">
        <f t="shared" si="8"/>
        <v>0</v>
      </c>
      <c r="I29" s="36" t="s">
        <v>16</v>
      </c>
      <c r="J29" s="36"/>
      <c r="K29" s="37"/>
      <c r="L29" s="28">
        <f>+J11+J12+J13+J21+J22+J23</f>
        <v>0</v>
      </c>
    </row>
    <row r="30" ht="15.75" customHeight="1">
      <c r="A30" s="6">
        <v>3.0</v>
      </c>
      <c r="B30" s="19"/>
      <c r="C30" s="7">
        <v>103.5</v>
      </c>
      <c r="D30" s="7">
        <f t="shared" si="7"/>
        <v>0</v>
      </c>
      <c r="E30" s="19"/>
      <c r="F30" s="7">
        <v>36.0</v>
      </c>
      <c r="G30" s="7">
        <f t="shared" si="8"/>
        <v>0</v>
      </c>
      <c r="I30" s="36" t="s">
        <v>17</v>
      </c>
      <c r="J30" s="36"/>
      <c r="K30" s="36"/>
      <c r="L30" s="38">
        <f>+J14+J15+J16+J24+J25+J26</f>
        <v>0</v>
      </c>
    </row>
    <row r="31" ht="15.75" customHeight="1">
      <c r="A31" s="22">
        <v>3.5</v>
      </c>
      <c r="B31" s="19"/>
      <c r="C31" s="23">
        <v>120.75</v>
      </c>
      <c r="D31" s="7">
        <f t="shared" si="7"/>
        <v>0</v>
      </c>
      <c r="E31" s="19"/>
      <c r="F31" s="23">
        <v>42.0</v>
      </c>
      <c r="G31" s="7">
        <f t="shared" si="8"/>
        <v>0</v>
      </c>
      <c r="I31" s="36" t="s">
        <v>18</v>
      </c>
      <c r="J31" s="36"/>
      <c r="K31" s="7"/>
      <c r="L31" s="39" t="str">
        <f>+L29/J6</f>
        <v>#DIV/0!</v>
      </c>
    </row>
    <row r="32" ht="15.75" customHeight="1">
      <c r="A32" s="6"/>
      <c r="B32" s="24" t="s">
        <v>10</v>
      </c>
      <c r="C32" s="25"/>
      <c r="D32" s="26">
        <f>SUM(D25:D31)</f>
        <v>0</v>
      </c>
      <c r="E32" s="27" t="s">
        <v>10</v>
      </c>
      <c r="F32" s="28"/>
      <c r="G32" s="29">
        <f>SUM(G25:G31)</f>
        <v>0</v>
      </c>
      <c r="I32" s="36" t="s">
        <v>19</v>
      </c>
      <c r="J32" s="36"/>
      <c r="K32" s="7"/>
      <c r="L32" s="39" t="str">
        <f>+L30/J6</f>
        <v>#DIV/0!</v>
      </c>
    </row>
    <row r="33" ht="15.75" customHeight="1">
      <c r="A33" s="31"/>
      <c r="C33" s="28"/>
      <c r="D33" s="24" t="s">
        <v>12</v>
      </c>
      <c r="E33" s="29">
        <f>+D32+G32</f>
        <v>0</v>
      </c>
      <c r="F33" s="28"/>
      <c r="G33" s="28"/>
    </row>
    <row r="34" ht="15.75" customHeight="1">
      <c r="A34" s="40" t="s">
        <v>20</v>
      </c>
      <c r="B34" s="2"/>
      <c r="C34" s="2"/>
      <c r="D34" s="2"/>
      <c r="E34" s="3"/>
      <c r="F34" s="3"/>
      <c r="G34" s="3"/>
    </row>
    <row r="35" ht="15.75" customHeight="1">
      <c r="A35" s="4" t="s">
        <v>1</v>
      </c>
      <c r="B35" s="5" t="s">
        <v>2</v>
      </c>
      <c r="C35" s="5" t="s">
        <v>3</v>
      </c>
      <c r="D35" s="5" t="s">
        <v>4</v>
      </c>
      <c r="E35" s="5" t="s">
        <v>5</v>
      </c>
      <c r="F35" s="5" t="s">
        <v>3</v>
      </c>
      <c r="G35" s="5" t="s">
        <v>4</v>
      </c>
    </row>
    <row r="36" ht="15.75" customHeight="1">
      <c r="A36" s="6">
        <v>0.875</v>
      </c>
      <c r="B36" s="7"/>
      <c r="C36" s="8">
        <v>30.875</v>
      </c>
      <c r="D36" s="7">
        <f t="shared" ref="D36:D42" si="9">+B36*C36</f>
        <v>0</v>
      </c>
      <c r="E36" s="7"/>
      <c r="F36" s="7">
        <v>4.2</v>
      </c>
      <c r="G36" s="7">
        <f t="shared" ref="G36:G42" si="10">+E36*F36</f>
        <v>0</v>
      </c>
    </row>
    <row r="37" ht="15.75" customHeight="1">
      <c r="A37" s="6">
        <v>1.0</v>
      </c>
      <c r="B37" s="7"/>
      <c r="C37" s="10">
        <v>34.5</v>
      </c>
      <c r="D37" s="7">
        <f t="shared" si="9"/>
        <v>0</v>
      </c>
      <c r="E37" s="7"/>
      <c r="F37" s="7">
        <v>6.3</v>
      </c>
      <c r="G37" s="7">
        <f t="shared" si="10"/>
        <v>0</v>
      </c>
    </row>
    <row r="38" ht="15.75" customHeight="1">
      <c r="A38" s="6">
        <v>1.5</v>
      </c>
      <c r="B38" s="7"/>
      <c r="C38" s="13">
        <v>51.75</v>
      </c>
      <c r="D38" s="7">
        <f t="shared" si="9"/>
        <v>0</v>
      </c>
      <c r="E38" s="7"/>
      <c r="F38" s="7">
        <v>12.0</v>
      </c>
      <c r="G38" s="7">
        <f t="shared" si="10"/>
        <v>0</v>
      </c>
    </row>
    <row r="39" ht="15.75" customHeight="1">
      <c r="A39" s="6">
        <v>2.0</v>
      </c>
      <c r="B39" s="7"/>
      <c r="C39" s="16">
        <v>69.0</v>
      </c>
      <c r="D39" s="7">
        <f t="shared" si="9"/>
        <v>0</v>
      </c>
      <c r="E39" s="7"/>
      <c r="F39" s="7">
        <v>19.0</v>
      </c>
      <c r="G39" s="7">
        <f t="shared" si="10"/>
        <v>0</v>
      </c>
    </row>
    <row r="40" ht="15.75" customHeight="1">
      <c r="A40" s="6">
        <v>2.5</v>
      </c>
      <c r="B40" s="7"/>
      <c r="C40" s="13">
        <v>86.25</v>
      </c>
      <c r="D40" s="7">
        <f t="shared" si="9"/>
        <v>0</v>
      </c>
      <c r="E40" s="7"/>
      <c r="F40" s="7">
        <v>30.0</v>
      </c>
      <c r="G40" s="7">
        <f t="shared" si="10"/>
        <v>0</v>
      </c>
    </row>
    <row r="41" ht="15.75" customHeight="1">
      <c r="A41" s="6">
        <v>3.0</v>
      </c>
      <c r="B41" s="19"/>
      <c r="C41" s="7">
        <v>103.5</v>
      </c>
      <c r="D41" s="7">
        <f t="shared" si="9"/>
        <v>0</v>
      </c>
      <c r="E41" s="19"/>
      <c r="F41" s="7">
        <v>36.0</v>
      </c>
      <c r="G41" s="7">
        <f t="shared" si="10"/>
        <v>0</v>
      </c>
    </row>
    <row r="42" ht="15.75" customHeight="1">
      <c r="A42" s="22">
        <v>3.5</v>
      </c>
      <c r="B42" s="19"/>
      <c r="C42" s="23">
        <v>120.75</v>
      </c>
      <c r="D42" s="7">
        <f t="shared" si="9"/>
        <v>0</v>
      </c>
      <c r="E42" s="19"/>
      <c r="F42" s="23">
        <v>42.0</v>
      </c>
      <c r="G42" s="7">
        <f t="shared" si="10"/>
        <v>0</v>
      </c>
    </row>
    <row r="43" ht="15.75" customHeight="1">
      <c r="A43" s="6"/>
      <c r="B43" s="24" t="s">
        <v>10</v>
      </c>
      <c r="C43" s="25"/>
      <c r="D43" s="26">
        <f>SUM(D36:D42)</f>
        <v>0</v>
      </c>
      <c r="E43" s="27" t="s">
        <v>10</v>
      </c>
      <c r="F43" s="28"/>
      <c r="G43" s="29">
        <f>SUM(G36:G42)</f>
        <v>0</v>
      </c>
    </row>
    <row r="44" ht="15.75" customHeight="1">
      <c r="A44" s="31"/>
      <c r="C44" s="28"/>
      <c r="D44" s="24" t="s">
        <v>12</v>
      </c>
      <c r="E44" s="29">
        <f>+D43+G43</f>
        <v>0</v>
      </c>
      <c r="F44" s="28"/>
      <c r="G44" s="28"/>
    </row>
    <row r="45" ht="15.75" customHeight="1">
      <c r="A45" s="40" t="s">
        <v>21</v>
      </c>
      <c r="B45" s="2"/>
      <c r="C45" s="2"/>
      <c r="D45" s="2"/>
      <c r="E45" s="3"/>
      <c r="F45" s="3"/>
      <c r="G45" s="3"/>
    </row>
    <row r="46" ht="15.75" customHeight="1">
      <c r="A46" s="4" t="s">
        <v>1</v>
      </c>
      <c r="B46" s="5" t="s">
        <v>2</v>
      </c>
      <c r="C46" s="5" t="s">
        <v>3</v>
      </c>
      <c r="D46" s="5" t="s">
        <v>4</v>
      </c>
      <c r="E46" s="5" t="s">
        <v>5</v>
      </c>
      <c r="F46" s="5" t="s">
        <v>3</v>
      </c>
      <c r="G46" s="5" t="s">
        <v>4</v>
      </c>
    </row>
    <row r="47" ht="15.75" customHeight="1">
      <c r="A47" s="6">
        <v>0.875</v>
      </c>
      <c r="B47" s="7"/>
      <c r="C47" s="8">
        <v>30.875</v>
      </c>
      <c r="D47" s="7">
        <f t="shared" ref="D47:D53" si="11">+B47*C47</f>
        <v>0</v>
      </c>
      <c r="E47" s="7"/>
      <c r="F47" s="7">
        <v>4.2</v>
      </c>
      <c r="G47" s="7">
        <f t="shared" ref="G47:G53" si="12">+E47*F47</f>
        <v>0</v>
      </c>
    </row>
    <row r="48" ht="15.75" customHeight="1">
      <c r="A48" s="6">
        <v>1.0</v>
      </c>
      <c r="B48" s="7"/>
      <c r="C48" s="10">
        <v>34.5</v>
      </c>
      <c r="D48" s="7">
        <f t="shared" si="11"/>
        <v>0</v>
      </c>
      <c r="E48" s="7"/>
      <c r="F48" s="7">
        <v>6.3</v>
      </c>
      <c r="G48" s="7">
        <f t="shared" si="12"/>
        <v>0</v>
      </c>
    </row>
    <row r="49" ht="15.75" customHeight="1">
      <c r="A49" s="6">
        <v>1.5</v>
      </c>
      <c r="B49" s="7"/>
      <c r="C49" s="13">
        <v>51.75</v>
      </c>
      <c r="D49" s="7">
        <f t="shared" si="11"/>
        <v>0</v>
      </c>
      <c r="E49" s="7"/>
      <c r="F49" s="7">
        <v>12.0</v>
      </c>
      <c r="G49" s="7">
        <f t="shared" si="12"/>
        <v>0</v>
      </c>
    </row>
    <row r="50" ht="15.75" customHeight="1">
      <c r="A50" s="6">
        <v>2.0</v>
      </c>
      <c r="B50" s="7"/>
      <c r="C50" s="16">
        <v>69.0</v>
      </c>
      <c r="D50" s="7">
        <f t="shared" si="11"/>
        <v>0</v>
      </c>
      <c r="E50" s="7"/>
      <c r="F50" s="7">
        <v>19.0</v>
      </c>
      <c r="G50" s="7">
        <f t="shared" si="12"/>
        <v>0</v>
      </c>
    </row>
    <row r="51" ht="15.75" customHeight="1">
      <c r="A51" s="6">
        <v>2.5</v>
      </c>
      <c r="B51" s="7"/>
      <c r="C51" s="13">
        <v>86.25</v>
      </c>
      <c r="D51" s="7">
        <f t="shared" si="11"/>
        <v>0</v>
      </c>
      <c r="E51" s="7"/>
      <c r="F51" s="7">
        <v>30.0</v>
      </c>
      <c r="G51" s="7">
        <f t="shared" si="12"/>
        <v>0</v>
      </c>
    </row>
    <row r="52" ht="15.75" customHeight="1">
      <c r="A52" s="6">
        <v>3.0</v>
      </c>
      <c r="B52" s="19"/>
      <c r="C52" s="7">
        <v>103.5</v>
      </c>
      <c r="D52" s="7">
        <f t="shared" si="11"/>
        <v>0</v>
      </c>
      <c r="E52" s="19"/>
      <c r="F52" s="7">
        <v>36.0</v>
      </c>
      <c r="G52" s="7">
        <f t="shared" si="12"/>
        <v>0</v>
      </c>
    </row>
    <row r="53" ht="15.75" customHeight="1">
      <c r="A53" s="22">
        <v>3.5</v>
      </c>
      <c r="B53" s="19"/>
      <c r="C53" s="23">
        <v>120.75</v>
      </c>
      <c r="D53" s="7">
        <f t="shared" si="11"/>
        <v>0</v>
      </c>
      <c r="E53" s="19"/>
      <c r="F53" s="23">
        <v>42.0</v>
      </c>
      <c r="G53" s="7">
        <f t="shared" si="12"/>
        <v>0</v>
      </c>
    </row>
    <row r="54" ht="15.75" customHeight="1">
      <c r="A54" s="6"/>
      <c r="B54" s="24" t="s">
        <v>10</v>
      </c>
      <c r="C54" s="25"/>
      <c r="D54" s="26">
        <f>SUM(D47:D53)</f>
        <v>0</v>
      </c>
      <c r="E54" s="27" t="s">
        <v>10</v>
      </c>
      <c r="F54" s="28"/>
      <c r="G54" s="29">
        <f>SUM(G47:G53)</f>
        <v>0</v>
      </c>
    </row>
    <row r="55" ht="15.75" customHeight="1">
      <c r="A55" s="31"/>
      <c r="C55" s="28"/>
      <c r="D55" s="24" t="s">
        <v>12</v>
      </c>
      <c r="E55" s="29">
        <f>+D54+G54</f>
        <v>0</v>
      </c>
      <c r="F55" s="28"/>
      <c r="G55" s="28"/>
    </row>
    <row r="56" ht="15.75" customHeight="1">
      <c r="A56" s="40" t="s">
        <v>22</v>
      </c>
      <c r="B56" s="2"/>
      <c r="C56" s="2"/>
      <c r="D56" s="2"/>
      <c r="E56" s="3"/>
      <c r="F56" s="3"/>
      <c r="G56" s="3"/>
    </row>
    <row r="57" ht="15.75" customHeight="1">
      <c r="A57" s="4" t="s">
        <v>1</v>
      </c>
      <c r="B57" s="5" t="s">
        <v>2</v>
      </c>
      <c r="C57" s="5" t="s">
        <v>3</v>
      </c>
      <c r="D57" s="5" t="s">
        <v>4</v>
      </c>
      <c r="E57" s="5" t="s">
        <v>5</v>
      </c>
      <c r="F57" s="5" t="s">
        <v>3</v>
      </c>
      <c r="G57" s="5" t="s">
        <v>4</v>
      </c>
    </row>
    <row r="58" ht="15.75" customHeight="1">
      <c r="A58" s="6">
        <v>0.875</v>
      </c>
      <c r="B58" s="7"/>
      <c r="C58" s="8">
        <v>30.875</v>
      </c>
      <c r="D58" s="7">
        <f t="shared" ref="D58:D64" si="13">+B58*C58</f>
        <v>0</v>
      </c>
      <c r="E58" s="7"/>
      <c r="F58" s="7">
        <v>4.2</v>
      </c>
      <c r="G58" s="7">
        <f t="shared" ref="G58:G64" si="14">+E58*F58</f>
        <v>0</v>
      </c>
    </row>
    <row r="59" ht="15.75" customHeight="1">
      <c r="A59" s="6">
        <v>1.0</v>
      </c>
      <c r="B59" s="7"/>
      <c r="C59" s="10">
        <v>34.5</v>
      </c>
      <c r="D59" s="7">
        <f t="shared" si="13"/>
        <v>0</v>
      </c>
      <c r="E59" s="7"/>
      <c r="F59" s="7">
        <v>6.3</v>
      </c>
      <c r="G59" s="7">
        <f t="shared" si="14"/>
        <v>0</v>
      </c>
    </row>
    <row r="60" ht="15.75" customHeight="1">
      <c r="A60" s="6">
        <v>1.5</v>
      </c>
      <c r="B60" s="7"/>
      <c r="C60" s="13">
        <v>51.75</v>
      </c>
      <c r="D60" s="7">
        <f t="shared" si="13"/>
        <v>0</v>
      </c>
      <c r="E60" s="7"/>
      <c r="F60" s="7">
        <v>12.0</v>
      </c>
      <c r="G60" s="7">
        <f t="shared" si="14"/>
        <v>0</v>
      </c>
    </row>
    <row r="61" ht="15.75" customHeight="1">
      <c r="A61" s="6">
        <v>2.0</v>
      </c>
      <c r="B61" s="7"/>
      <c r="C61" s="16">
        <v>69.0</v>
      </c>
      <c r="D61" s="7">
        <f t="shared" si="13"/>
        <v>0</v>
      </c>
      <c r="E61" s="7"/>
      <c r="F61" s="7">
        <v>19.0</v>
      </c>
      <c r="G61" s="7">
        <f t="shared" si="14"/>
        <v>0</v>
      </c>
    </row>
    <row r="62" ht="15.75" customHeight="1">
      <c r="A62" s="6">
        <v>2.5</v>
      </c>
      <c r="B62" s="7"/>
      <c r="C62" s="13">
        <v>86.25</v>
      </c>
      <c r="D62" s="7">
        <f t="shared" si="13"/>
        <v>0</v>
      </c>
      <c r="E62" s="7"/>
      <c r="F62" s="7">
        <v>30.0</v>
      </c>
      <c r="G62" s="7">
        <f t="shared" si="14"/>
        <v>0</v>
      </c>
    </row>
    <row r="63" ht="15.75" customHeight="1">
      <c r="A63" s="6">
        <v>3.0</v>
      </c>
      <c r="B63" s="19"/>
      <c r="C63" s="7">
        <v>103.5</v>
      </c>
      <c r="D63" s="7">
        <f t="shared" si="13"/>
        <v>0</v>
      </c>
      <c r="E63" s="19"/>
      <c r="F63" s="7">
        <v>36.0</v>
      </c>
      <c r="G63" s="7">
        <f t="shared" si="14"/>
        <v>0</v>
      </c>
    </row>
    <row r="64" ht="15.75" customHeight="1">
      <c r="A64" s="22">
        <v>3.5</v>
      </c>
      <c r="B64" s="19"/>
      <c r="C64" s="23">
        <v>120.75</v>
      </c>
      <c r="D64" s="7">
        <f t="shared" si="13"/>
        <v>0</v>
      </c>
      <c r="E64" s="19"/>
      <c r="F64" s="23">
        <v>42.0</v>
      </c>
      <c r="G64" s="7">
        <f t="shared" si="14"/>
        <v>0</v>
      </c>
    </row>
    <row r="65" ht="15.75" customHeight="1">
      <c r="A65" s="6"/>
      <c r="B65" s="24" t="s">
        <v>10</v>
      </c>
      <c r="C65" s="25"/>
      <c r="D65" s="26">
        <f>SUM(D58:D64)</f>
        <v>0</v>
      </c>
      <c r="E65" s="27" t="s">
        <v>10</v>
      </c>
      <c r="F65" s="28"/>
      <c r="G65" s="29">
        <f>SUM(G57:G64)</f>
        <v>0</v>
      </c>
    </row>
    <row r="66" ht="15.75" customHeight="1">
      <c r="A66" s="31"/>
      <c r="C66" s="28"/>
      <c r="D66" s="24" t="s">
        <v>12</v>
      </c>
      <c r="E66" s="29">
        <f>+D65+G65</f>
        <v>0</v>
      </c>
      <c r="F66" s="28"/>
      <c r="G66" s="28"/>
    </row>
    <row r="67" ht="15.75" customHeight="1">
      <c r="A67" s="40" t="s">
        <v>23</v>
      </c>
      <c r="B67" s="2"/>
      <c r="C67" s="2"/>
      <c r="D67" s="2"/>
      <c r="E67" s="3"/>
      <c r="F67" s="3"/>
      <c r="G67" s="3"/>
    </row>
    <row r="68" ht="15.75" customHeight="1">
      <c r="A68" s="4" t="s">
        <v>1</v>
      </c>
      <c r="B68" s="5" t="s">
        <v>2</v>
      </c>
      <c r="C68" s="5" t="s">
        <v>3</v>
      </c>
      <c r="D68" s="5" t="s">
        <v>4</v>
      </c>
      <c r="E68" s="5" t="s">
        <v>5</v>
      </c>
      <c r="F68" s="5" t="s">
        <v>3</v>
      </c>
      <c r="G68" s="5" t="s">
        <v>4</v>
      </c>
    </row>
    <row r="69" ht="15.75" customHeight="1">
      <c r="A69" s="6">
        <v>0.875</v>
      </c>
      <c r="B69" s="7"/>
      <c r="C69" s="8">
        <v>30.875</v>
      </c>
      <c r="D69" s="7">
        <f t="shared" ref="D69:D75" si="15">+B69*C69</f>
        <v>0</v>
      </c>
      <c r="E69" s="7"/>
      <c r="F69" s="7">
        <v>4.2</v>
      </c>
      <c r="G69" s="7">
        <f t="shared" ref="G69:G75" si="16">+E69*F69</f>
        <v>0</v>
      </c>
    </row>
    <row r="70" ht="15.75" customHeight="1">
      <c r="A70" s="6">
        <v>1.0</v>
      </c>
      <c r="B70" s="7"/>
      <c r="C70" s="10">
        <v>34.5</v>
      </c>
      <c r="D70" s="7">
        <f t="shared" si="15"/>
        <v>0</v>
      </c>
      <c r="E70" s="7"/>
      <c r="F70" s="7">
        <v>6.3</v>
      </c>
      <c r="G70" s="7">
        <f t="shared" si="16"/>
        <v>0</v>
      </c>
    </row>
    <row r="71" ht="15.75" customHeight="1">
      <c r="A71" s="6">
        <v>1.5</v>
      </c>
      <c r="B71" s="7"/>
      <c r="C71" s="13">
        <v>51.75</v>
      </c>
      <c r="D71" s="7">
        <f t="shared" si="15"/>
        <v>0</v>
      </c>
      <c r="E71" s="7"/>
      <c r="F71" s="7">
        <v>12.0</v>
      </c>
      <c r="G71" s="7">
        <f t="shared" si="16"/>
        <v>0</v>
      </c>
    </row>
    <row r="72" ht="15.75" customHeight="1">
      <c r="A72" s="6">
        <v>2.0</v>
      </c>
      <c r="B72" s="7"/>
      <c r="C72" s="16">
        <v>69.0</v>
      </c>
      <c r="D72" s="7">
        <f t="shared" si="15"/>
        <v>0</v>
      </c>
      <c r="E72" s="7"/>
      <c r="F72" s="7">
        <v>19.0</v>
      </c>
      <c r="G72" s="7">
        <f t="shared" si="16"/>
        <v>0</v>
      </c>
    </row>
    <row r="73" ht="15.75" customHeight="1">
      <c r="A73" s="6">
        <v>2.5</v>
      </c>
      <c r="B73" s="7"/>
      <c r="C73" s="13">
        <v>86.25</v>
      </c>
      <c r="D73" s="7">
        <f t="shared" si="15"/>
        <v>0</v>
      </c>
      <c r="E73" s="7"/>
      <c r="F73" s="7">
        <v>30.0</v>
      </c>
      <c r="G73" s="7">
        <f t="shared" si="16"/>
        <v>0</v>
      </c>
    </row>
    <row r="74" ht="15.75" customHeight="1">
      <c r="A74" s="6">
        <v>3.0</v>
      </c>
      <c r="B74" s="19"/>
      <c r="C74" s="7">
        <v>103.5</v>
      </c>
      <c r="D74" s="7">
        <f t="shared" si="15"/>
        <v>0</v>
      </c>
      <c r="E74" s="19"/>
      <c r="F74" s="7">
        <v>36.0</v>
      </c>
      <c r="G74" s="7">
        <f t="shared" si="16"/>
        <v>0</v>
      </c>
    </row>
    <row r="75" ht="15.75" customHeight="1">
      <c r="A75" s="22">
        <v>3.5</v>
      </c>
      <c r="B75" s="19"/>
      <c r="C75" s="23">
        <v>120.75</v>
      </c>
      <c r="D75" s="7">
        <f t="shared" si="15"/>
        <v>0</v>
      </c>
      <c r="E75" s="19"/>
      <c r="F75" s="23">
        <v>42.0</v>
      </c>
      <c r="G75" s="7">
        <f t="shared" si="16"/>
        <v>0</v>
      </c>
    </row>
    <row r="76" ht="15.75" customHeight="1">
      <c r="A76" s="6"/>
      <c r="B76" s="24" t="s">
        <v>10</v>
      </c>
      <c r="C76" s="25"/>
      <c r="D76" s="26">
        <f>SUM(D69:D75)</f>
        <v>0</v>
      </c>
      <c r="E76" s="27" t="s">
        <v>10</v>
      </c>
      <c r="F76" s="28"/>
      <c r="G76" s="29">
        <f>SUM(G69:G75)</f>
        <v>0</v>
      </c>
    </row>
    <row r="77" ht="15.75" customHeight="1">
      <c r="A77" s="31"/>
      <c r="C77" s="28"/>
      <c r="D77" s="24" t="s">
        <v>12</v>
      </c>
      <c r="E77" s="29">
        <f>+D76+G76</f>
        <v>0</v>
      </c>
      <c r="F77" s="28"/>
      <c r="G77" s="28"/>
    </row>
    <row r="78" ht="15.75" customHeight="1">
      <c r="A78" s="40" t="s">
        <v>24</v>
      </c>
      <c r="B78" s="2"/>
      <c r="C78" s="2"/>
      <c r="D78" s="2"/>
      <c r="E78" s="3"/>
      <c r="F78" s="3"/>
      <c r="G78" s="3"/>
    </row>
    <row r="79" ht="15.75" customHeight="1">
      <c r="A79" s="4" t="s">
        <v>1</v>
      </c>
      <c r="B79" s="5" t="s">
        <v>2</v>
      </c>
      <c r="C79" s="5" t="s">
        <v>3</v>
      </c>
      <c r="D79" s="5" t="s">
        <v>4</v>
      </c>
      <c r="E79" s="5" t="s">
        <v>5</v>
      </c>
      <c r="F79" s="5" t="s">
        <v>3</v>
      </c>
      <c r="G79" s="5" t="s">
        <v>4</v>
      </c>
    </row>
    <row r="80" ht="15.75" customHeight="1">
      <c r="A80" s="6">
        <v>0.875</v>
      </c>
      <c r="B80" s="7"/>
      <c r="C80" s="8">
        <v>30.875</v>
      </c>
      <c r="D80" s="7">
        <f t="shared" ref="D80:D86" si="17">+B80*C80</f>
        <v>0</v>
      </c>
      <c r="E80" s="7"/>
      <c r="F80" s="7">
        <v>4.2</v>
      </c>
      <c r="G80" s="7">
        <f t="shared" ref="G80:G86" si="18">+E80*F80</f>
        <v>0</v>
      </c>
    </row>
    <row r="81" ht="15.75" customHeight="1">
      <c r="A81" s="6">
        <v>1.0</v>
      </c>
      <c r="B81" s="7"/>
      <c r="C81" s="10">
        <v>34.5</v>
      </c>
      <c r="D81" s="7">
        <f t="shared" si="17"/>
        <v>0</v>
      </c>
      <c r="E81" s="7"/>
      <c r="F81" s="7">
        <v>6.3</v>
      </c>
      <c r="G81" s="7">
        <f t="shared" si="18"/>
        <v>0</v>
      </c>
    </row>
    <row r="82" ht="15.75" customHeight="1">
      <c r="A82" s="6">
        <v>1.5</v>
      </c>
      <c r="B82" s="7"/>
      <c r="C82" s="13">
        <v>51.75</v>
      </c>
      <c r="D82" s="7">
        <f t="shared" si="17"/>
        <v>0</v>
      </c>
      <c r="E82" s="7"/>
      <c r="F82" s="7">
        <v>12.0</v>
      </c>
      <c r="G82" s="7">
        <f t="shared" si="18"/>
        <v>0</v>
      </c>
    </row>
    <row r="83" ht="15.75" customHeight="1">
      <c r="A83" s="6">
        <v>2.0</v>
      </c>
      <c r="B83" s="7"/>
      <c r="C83" s="16">
        <v>69.0</v>
      </c>
      <c r="D83" s="7">
        <f t="shared" si="17"/>
        <v>0</v>
      </c>
      <c r="E83" s="7"/>
      <c r="F83" s="7">
        <v>19.0</v>
      </c>
      <c r="G83" s="7">
        <f t="shared" si="18"/>
        <v>0</v>
      </c>
    </row>
    <row r="84" ht="15.75" customHeight="1">
      <c r="A84" s="6">
        <v>2.5</v>
      </c>
      <c r="B84" s="7"/>
      <c r="C84" s="13">
        <v>86.25</v>
      </c>
      <c r="D84" s="7">
        <f t="shared" si="17"/>
        <v>0</v>
      </c>
      <c r="E84" s="7"/>
      <c r="F84" s="7">
        <v>30.0</v>
      </c>
      <c r="G84" s="7">
        <f t="shared" si="18"/>
        <v>0</v>
      </c>
    </row>
    <row r="85" ht="15.75" customHeight="1">
      <c r="A85" s="6">
        <v>3.0</v>
      </c>
      <c r="B85" s="19"/>
      <c r="C85" s="7">
        <v>103.5</v>
      </c>
      <c r="D85" s="7">
        <f t="shared" si="17"/>
        <v>0</v>
      </c>
      <c r="E85" s="19"/>
      <c r="F85" s="7">
        <v>36.0</v>
      </c>
      <c r="G85" s="7">
        <f t="shared" si="18"/>
        <v>0</v>
      </c>
    </row>
    <row r="86" ht="15.75" customHeight="1">
      <c r="A86" s="22">
        <v>3.5</v>
      </c>
      <c r="B86" s="19"/>
      <c r="C86" s="23">
        <v>120.75</v>
      </c>
      <c r="D86" s="7">
        <f t="shared" si="17"/>
        <v>0</v>
      </c>
      <c r="E86" s="19"/>
      <c r="F86" s="23">
        <v>42.0</v>
      </c>
      <c r="G86" s="7">
        <f t="shared" si="18"/>
        <v>0</v>
      </c>
    </row>
    <row r="87" ht="15.75" customHeight="1">
      <c r="A87" s="6"/>
      <c r="B87" s="24" t="s">
        <v>10</v>
      </c>
      <c r="C87" s="25"/>
      <c r="D87" s="26">
        <f>SUM(D80:D86)</f>
        <v>0</v>
      </c>
      <c r="E87" s="27" t="s">
        <v>10</v>
      </c>
      <c r="F87" s="28"/>
      <c r="G87" s="29">
        <f>SUM(G80:G86)</f>
        <v>0</v>
      </c>
    </row>
    <row r="88" ht="15.75" customHeight="1">
      <c r="A88" s="31"/>
      <c r="C88" s="28"/>
      <c r="D88" s="24" t="s">
        <v>12</v>
      </c>
      <c r="E88" s="29">
        <f>+D87+G87</f>
        <v>0</v>
      </c>
      <c r="F88" s="28"/>
      <c r="G88" s="28"/>
    </row>
    <row r="89" ht="15.75" customHeight="1">
      <c r="A89" s="40" t="s">
        <v>25</v>
      </c>
      <c r="B89" s="2"/>
      <c r="C89" s="2"/>
      <c r="D89" s="2"/>
      <c r="E89" s="3"/>
      <c r="F89" s="3"/>
      <c r="G89" s="3"/>
    </row>
    <row r="90" ht="15.75" customHeight="1">
      <c r="A90" s="4" t="s">
        <v>1</v>
      </c>
      <c r="B90" s="5" t="s">
        <v>2</v>
      </c>
      <c r="C90" s="5" t="s">
        <v>3</v>
      </c>
      <c r="D90" s="5" t="s">
        <v>4</v>
      </c>
      <c r="E90" s="5" t="s">
        <v>5</v>
      </c>
      <c r="F90" s="5" t="s">
        <v>3</v>
      </c>
      <c r="G90" s="5" t="s">
        <v>4</v>
      </c>
    </row>
    <row r="91" ht="15.75" customHeight="1">
      <c r="A91" s="6">
        <v>0.875</v>
      </c>
      <c r="B91" s="7"/>
      <c r="C91" s="8">
        <v>30.875</v>
      </c>
      <c r="D91" s="7">
        <f t="shared" ref="D91:D97" si="19">+B91*C91</f>
        <v>0</v>
      </c>
      <c r="E91" s="7"/>
      <c r="F91" s="7">
        <v>4.2</v>
      </c>
      <c r="G91" s="7">
        <f t="shared" ref="G91:G97" si="20">+E91*F91</f>
        <v>0</v>
      </c>
    </row>
    <row r="92" ht="15.75" customHeight="1">
      <c r="A92" s="6">
        <v>1.0</v>
      </c>
      <c r="B92" s="7"/>
      <c r="C92" s="10">
        <v>34.5</v>
      </c>
      <c r="D92" s="7">
        <f t="shared" si="19"/>
        <v>0</v>
      </c>
      <c r="E92" s="7"/>
      <c r="F92" s="7">
        <v>6.3</v>
      </c>
      <c r="G92" s="7">
        <f t="shared" si="20"/>
        <v>0</v>
      </c>
    </row>
    <row r="93" ht="15.75" customHeight="1">
      <c r="A93" s="6">
        <v>1.5</v>
      </c>
      <c r="B93" s="7"/>
      <c r="C93" s="13">
        <v>51.75</v>
      </c>
      <c r="D93" s="7">
        <f t="shared" si="19"/>
        <v>0</v>
      </c>
      <c r="E93" s="7"/>
      <c r="F93" s="7">
        <v>12.0</v>
      </c>
      <c r="G93" s="7">
        <f t="shared" si="20"/>
        <v>0</v>
      </c>
    </row>
    <row r="94" ht="15.75" customHeight="1">
      <c r="A94" s="6">
        <v>2.0</v>
      </c>
      <c r="B94" s="7"/>
      <c r="C94" s="16">
        <v>69.0</v>
      </c>
      <c r="D94" s="7">
        <f t="shared" si="19"/>
        <v>0</v>
      </c>
      <c r="E94" s="7"/>
      <c r="F94" s="7">
        <v>19.0</v>
      </c>
      <c r="G94" s="7">
        <f t="shared" si="20"/>
        <v>0</v>
      </c>
    </row>
    <row r="95" ht="15.75" customHeight="1">
      <c r="A95" s="6">
        <v>2.5</v>
      </c>
      <c r="B95" s="7"/>
      <c r="C95" s="13">
        <v>86.25</v>
      </c>
      <c r="D95" s="7">
        <f t="shared" si="19"/>
        <v>0</v>
      </c>
      <c r="E95" s="7"/>
      <c r="F95" s="7">
        <v>30.0</v>
      </c>
      <c r="G95" s="7">
        <f t="shared" si="20"/>
        <v>0</v>
      </c>
    </row>
    <row r="96" ht="15.75" customHeight="1">
      <c r="A96" s="6">
        <v>3.0</v>
      </c>
      <c r="B96" s="19"/>
      <c r="C96" s="7">
        <v>103.5</v>
      </c>
      <c r="D96" s="7">
        <f t="shared" si="19"/>
        <v>0</v>
      </c>
      <c r="E96" s="19"/>
      <c r="F96" s="7">
        <v>36.0</v>
      </c>
      <c r="G96" s="7">
        <f t="shared" si="20"/>
        <v>0</v>
      </c>
    </row>
    <row r="97" ht="15.75" customHeight="1">
      <c r="A97" s="22">
        <v>3.5</v>
      </c>
      <c r="B97" s="19"/>
      <c r="C97" s="23">
        <v>120.75</v>
      </c>
      <c r="D97" s="7">
        <f t="shared" si="19"/>
        <v>0</v>
      </c>
      <c r="E97" s="19"/>
      <c r="F97" s="23">
        <v>42.0</v>
      </c>
      <c r="G97" s="7">
        <f t="shared" si="20"/>
        <v>0</v>
      </c>
    </row>
    <row r="98" ht="15.75" customHeight="1">
      <c r="A98" s="6"/>
      <c r="B98" s="24" t="s">
        <v>10</v>
      </c>
      <c r="C98" s="25"/>
      <c r="D98" s="26">
        <f>SUM(D91:D97)</f>
        <v>0</v>
      </c>
      <c r="E98" s="27" t="s">
        <v>10</v>
      </c>
      <c r="F98" s="28"/>
      <c r="G98" s="29">
        <f>SUM(G91:G97)</f>
        <v>0</v>
      </c>
    </row>
    <row r="99" ht="15.75" customHeight="1">
      <c r="A99" s="31"/>
      <c r="C99" s="28"/>
      <c r="D99" s="24" t="s">
        <v>12</v>
      </c>
      <c r="E99" s="29">
        <f>+D98+G98</f>
        <v>0</v>
      </c>
      <c r="F99" s="28"/>
      <c r="G99" s="28"/>
    </row>
    <row r="100" ht="15.75" customHeight="1">
      <c r="A100" s="40" t="s">
        <v>26</v>
      </c>
      <c r="B100" s="2"/>
      <c r="C100" s="2"/>
      <c r="D100" s="2"/>
      <c r="E100" s="3"/>
      <c r="F100" s="3"/>
      <c r="G100" s="3"/>
    </row>
    <row r="101" ht="15.75" customHeight="1">
      <c r="A101" s="4" t="s">
        <v>1</v>
      </c>
      <c r="B101" s="5" t="s">
        <v>2</v>
      </c>
      <c r="C101" s="5" t="s">
        <v>3</v>
      </c>
      <c r="D101" s="5" t="s">
        <v>4</v>
      </c>
      <c r="E101" s="5" t="s">
        <v>5</v>
      </c>
      <c r="F101" s="5" t="s">
        <v>3</v>
      </c>
      <c r="G101" s="5" t="s">
        <v>4</v>
      </c>
    </row>
    <row r="102" ht="15.75" customHeight="1">
      <c r="A102" s="6">
        <v>0.875</v>
      </c>
      <c r="B102" s="7"/>
      <c r="C102" s="8">
        <v>30.875</v>
      </c>
      <c r="D102" s="7">
        <f t="shared" ref="D102:D108" si="21">+B102*C102</f>
        <v>0</v>
      </c>
      <c r="E102" s="7"/>
      <c r="F102" s="7">
        <v>4.2</v>
      </c>
      <c r="G102" s="7">
        <f t="shared" ref="G102:G108" si="22">+E102*F102</f>
        <v>0</v>
      </c>
    </row>
    <row r="103" ht="15.75" customHeight="1">
      <c r="A103" s="6">
        <v>1.0</v>
      </c>
      <c r="B103" s="7"/>
      <c r="C103" s="10">
        <v>34.5</v>
      </c>
      <c r="D103" s="7">
        <f t="shared" si="21"/>
        <v>0</v>
      </c>
      <c r="E103" s="7"/>
      <c r="F103" s="7">
        <v>6.3</v>
      </c>
      <c r="G103" s="7">
        <f t="shared" si="22"/>
        <v>0</v>
      </c>
    </row>
    <row r="104" ht="15.75" customHeight="1">
      <c r="A104" s="6">
        <v>1.5</v>
      </c>
      <c r="B104" s="7"/>
      <c r="C104" s="13">
        <v>51.75</v>
      </c>
      <c r="D104" s="7">
        <f t="shared" si="21"/>
        <v>0</v>
      </c>
      <c r="E104" s="7"/>
      <c r="F104" s="7">
        <v>12.0</v>
      </c>
      <c r="G104" s="7">
        <f t="shared" si="22"/>
        <v>0</v>
      </c>
    </row>
    <row r="105" ht="15.75" customHeight="1">
      <c r="A105" s="6">
        <v>2.0</v>
      </c>
      <c r="B105" s="7"/>
      <c r="C105" s="16">
        <v>69.0</v>
      </c>
      <c r="D105" s="7">
        <f t="shared" si="21"/>
        <v>0</v>
      </c>
      <c r="E105" s="7"/>
      <c r="F105" s="7">
        <v>19.0</v>
      </c>
      <c r="G105" s="7">
        <f t="shared" si="22"/>
        <v>0</v>
      </c>
    </row>
    <row r="106" ht="15.75" customHeight="1">
      <c r="A106" s="6">
        <v>2.5</v>
      </c>
      <c r="B106" s="7"/>
      <c r="C106" s="13">
        <v>86.25</v>
      </c>
      <c r="D106" s="7">
        <f t="shared" si="21"/>
        <v>0</v>
      </c>
      <c r="E106" s="7"/>
      <c r="F106" s="7">
        <v>30.0</v>
      </c>
      <c r="G106" s="7">
        <f t="shared" si="22"/>
        <v>0</v>
      </c>
    </row>
    <row r="107" ht="15.75" customHeight="1">
      <c r="A107" s="6">
        <v>3.0</v>
      </c>
      <c r="B107" s="19"/>
      <c r="C107" s="7">
        <v>103.5</v>
      </c>
      <c r="D107" s="7">
        <f t="shared" si="21"/>
        <v>0</v>
      </c>
      <c r="E107" s="19"/>
      <c r="F107" s="7">
        <v>36.0</v>
      </c>
      <c r="G107" s="7">
        <f t="shared" si="22"/>
        <v>0</v>
      </c>
    </row>
    <row r="108" ht="15.75" customHeight="1">
      <c r="A108" s="22">
        <v>3.5</v>
      </c>
      <c r="B108" s="19"/>
      <c r="C108" s="23">
        <v>120.75</v>
      </c>
      <c r="D108" s="7">
        <f t="shared" si="21"/>
        <v>0</v>
      </c>
      <c r="E108" s="19"/>
      <c r="F108" s="23">
        <v>42.0</v>
      </c>
      <c r="G108" s="7">
        <f t="shared" si="22"/>
        <v>0</v>
      </c>
    </row>
    <row r="109" ht="15.75" customHeight="1">
      <c r="A109" s="6"/>
      <c r="B109" s="24" t="s">
        <v>10</v>
      </c>
      <c r="C109" s="25"/>
      <c r="D109" s="26">
        <f>SUM(D102:D108)</f>
        <v>0</v>
      </c>
      <c r="E109" s="27" t="s">
        <v>10</v>
      </c>
      <c r="F109" s="28"/>
      <c r="G109" s="29">
        <f>SUM(G102:G108)</f>
        <v>0</v>
      </c>
    </row>
    <row r="110" ht="15.75" customHeight="1">
      <c r="A110" s="31"/>
      <c r="C110" s="28"/>
      <c r="D110" s="24" t="s">
        <v>12</v>
      </c>
      <c r="E110" s="29">
        <f>+D109+G109</f>
        <v>0</v>
      </c>
      <c r="F110" s="28"/>
      <c r="G110" s="28"/>
    </row>
    <row r="111" ht="15.75" customHeight="1">
      <c r="A111" s="40" t="s">
        <v>27</v>
      </c>
      <c r="B111" s="2"/>
      <c r="C111" s="2"/>
      <c r="D111" s="2"/>
      <c r="E111" s="3"/>
      <c r="F111" s="3"/>
      <c r="G111" s="3"/>
    </row>
    <row r="112" ht="15.75" customHeight="1">
      <c r="A112" s="4" t="s">
        <v>1</v>
      </c>
      <c r="B112" s="5" t="s">
        <v>2</v>
      </c>
      <c r="C112" s="5" t="s">
        <v>3</v>
      </c>
      <c r="D112" s="5" t="s">
        <v>4</v>
      </c>
      <c r="E112" s="5" t="s">
        <v>5</v>
      </c>
      <c r="F112" s="5" t="s">
        <v>3</v>
      </c>
      <c r="G112" s="5" t="s">
        <v>4</v>
      </c>
    </row>
    <row r="113" ht="15.75" customHeight="1">
      <c r="A113" s="6">
        <v>0.875</v>
      </c>
      <c r="B113" s="7"/>
      <c r="C113" s="8">
        <v>30.875</v>
      </c>
      <c r="D113" s="7">
        <f t="shared" ref="D113:D119" si="23">+B113*C113</f>
        <v>0</v>
      </c>
      <c r="E113" s="7"/>
      <c r="F113" s="7">
        <v>4.2</v>
      </c>
      <c r="G113" s="7">
        <f t="shared" ref="G113:G119" si="24">+E113*F113</f>
        <v>0</v>
      </c>
    </row>
    <row r="114" ht="15.75" customHeight="1">
      <c r="A114" s="6">
        <v>1.0</v>
      </c>
      <c r="B114" s="7"/>
      <c r="C114" s="10">
        <v>34.5</v>
      </c>
      <c r="D114" s="7">
        <f t="shared" si="23"/>
        <v>0</v>
      </c>
      <c r="E114" s="7"/>
      <c r="F114" s="7">
        <v>6.3</v>
      </c>
      <c r="G114" s="7">
        <f t="shared" si="24"/>
        <v>0</v>
      </c>
    </row>
    <row r="115" ht="15.75" customHeight="1">
      <c r="A115" s="6">
        <v>1.5</v>
      </c>
      <c r="B115" s="7"/>
      <c r="C115" s="13">
        <v>51.75</v>
      </c>
      <c r="D115" s="7">
        <f t="shared" si="23"/>
        <v>0</v>
      </c>
      <c r="E115" s="7"/>
      <c r="F115" s="7">
        <v>12.0</v>
      </c>
      <c r="G115" s="7">
        <f t="shared" si="24"/>
        <v>0</v>
      </c>
    </row>
    <row r="116" ht="15.75" customHeight="1">
      <c r="A116" s="6">
        <v>2.0</v>
      </c>
      <c r="B116" s="7"/>
      <c r="C116" s="16">
        <v>69.0</v>
      </c>
      <c r="D116" s="7">
        <f t="shared" si="23"/>
        <v>0</v>
      </c>
      <c r="E116" s="7"/>
      <c r="F116" s="7">
        <v>19.0</v>
      </c>
      <c r="G116" s="7">
        <f t="shared" si="24"/>
        <v>0</v>
      </c>
    </row>
    <row r="117" ht="15.75" customHeight="1">
      <c r="A117" s="6">
        <v>2.5</v>
      </c>
      <c r="B117" s="7"/>
      <c r="C117" s="13">
        <v>86.25</v>
      </c>
      <c r="D117" s="7">
        <f t="shared" si="23"/>
        <v>0</v>
      </c>
      <c r="E117" s="7"/>
      <c r="F117" s="7">
        <v>30.0</v>
      </c>
      <c r="G117" s="7">
        <f t="shared" si="24"/>
        <v>0</v>
      </c>
    </row>
    <row r="118" ht="15.75" customHeight="1">
      <c r="A118" s="6">
        <v>3.0</v>
      </c>
      <c r="B118" s="19"/>
      <c r="C118" s="7">
        <v>103.5</v>
      </c>
      <c r="D118" s="7">
        <f t="shared" si="23"/>
        <v>0</v>
      </c>
      <c r="E118" s="19"/>
      <c r="F118" s="7">
        <v>36.0</v>
      </c>
      <c r="G118" s="7">
        <f t="shared" si="24"/>
        <v>0</v>
      </c>
    </row>
    <row r="119" ht="15.75" customHeight="1">
      <c r="A119" s="22">
        <v>3.5</v>
      </c>
      <c r="B119" s="19"/>
      <c r="C119" s="23">
        <v>120.75</v>
      </c>
      <c r="D119" s="7">
        <f t="shared" si="23"/>
        <v>0</v>
      </c>
      <c r="E119" s="19"/>
      <c r="F119" s="23">
        <v>42.0</v>
      </c>
      <c r="G119" s="7">
        <f t="shared" si="24"/>
        <v>0</v>
      </c>
    </row>
    <row r="120" ht="15.75" customHeight="1">
      <c r="A120" s="6"/>
      <c r="B120" s="24" t="s">
        <v>10</v>
      </c>
      <c r="C120" s="25"/>
      <c r="D120" s="26">
        <f>SUM(D113:D119)</f>
        <v>0</v>
      </c>
      <c r="E120" s="27" t="s">
        <v>10</v>
      </c>
      <c r="F120" s="28"/>
      <c r="G120" s="29">
        <f>SUM(G113:G119)</f>
        <v>0</v>
      </c>
    </row>
    <row r="121" ht="15.75" customHeight="1">
      <c r="A121" s="31"/>
      <c r="C121" s="28"/>
      <c r="D121" s="24" t="s">
        <v>12</v>
      </c>
      <c r="E121" s="29">
        <f>+D120+G120</f>
        <v>0</v>
      </c>
      <c r="F121" s="28"/>
      <c r="G121" s="28"/>
    </row>
    <row r="122" ht="15.75" customHeight="1">
      <c r="A122" s="40" t="s">
        <v>28</v>
      </c>
      <c r="B122" s="2"/>
      <c r="C122" s="2"/>
      <c r="D122" s="2"/>
      <c r="E122" s="3"/>
      <c r="F122" s="3"/>
      <c r="G122" s="3"/>
    </row>
    <row r="123" ht="15.75" customHeight="1">
      <c r="A123" s="4" t="s">
        <v>1</v>
      </c>
      <c r="B123" s="5" t="s">
        <v>2</v>
      </c>
      <c r="C123" s="5" t="s">
        <v>3</v>
      </c>
      <c r="D123" s="5" t="s">
        <v>4</v>
      </c>
      <c r="E123" s="5" t="s">
        <v>5</v>
      </c>
      <c r="F123" s="5" t="s">
        <v>3</v>
      </c>
      <c r="G123" s="5" t="s">
        <v>4</v>
      </c>
    </row>
    <row r="124" ht="15.75" customHeight="1">
      <c r="A124" s="6">
        <v>0.875</v>
      </c>
      <c r="B124" s="7"/>
      <c r="C124" s="8">
        <v>30.875</v>
      </c>
      <c r="D124" s="7">
        <f t="shared" ref="D124:D130" si="25">+B124*C124</f>
        <v>0</v>
      </c>
      <c r="E124" s="7"/>
      <c r="F124" s="7">
        <v>4.2</v>
      </c>
      <c r="G124" s="7">
        <f t="shared" ref="G124:G130" si="26">+E124*F124</f>
        <v>0</v>
      </c>
    </row>
    <row r="125" ht="15.75" customHeight="1">
      <c r="A125" s="6">
        <v>1.0</v>
      </c>
      <c r="B125" s="7"/>
      <c r="C125" s="10">
        <v>34.5</v>
      </c>
      <c r="D125" s="7">
        <f t="shared" si="25"/>
        <v>0</v>
      </c>
      <c r="E125" s="7"/>
      <c r="F125" s="7">
        <v>6.3</v>
      </c>
      <c r="G125" s="7">
        <f t="shared" si="26"/>
        <v>0</v>
      </c>
    </row>
    <row r="126" ht="15.75" customHeight="1">
      <c r="A126" s="6">
        <v>1.5</v>
      </c>
      <c r="B126" s="7"/>
      <c r="C126" s="13">
        <v>51.75</v>
      </c>
      <c r="D126" s="7">
        <f t="shared" si="25"/>
        <v>0</v>
      </c>
      <c r="E126" s="7"/>
      <c r="F126" s="7">
        <v>12.0</v>
      </c>
      <c r="G126" s="7">
        <f t="shared" si="26"/>
        <v>0</v>
      </c>
    </row>
    <row r="127" ht="15.75" customHeight="1">
      <c r="A127" s="6">
        <v>2.0</v>
      </c>
      <c r="B127" s="7"/>
      <c r="C127" s="16">
        <v>69.0</v>
      </c>
      <c r="D127" s="7">
        <f t="shared" si="25"/>
        <v>0</v>
      </c>
      <c r="E127" s="7"/>
      <c r="F127" s="7">
        <v>19.0</v>
      </c>
      <c r="G127" s="7">
        <f t="shared" si="26"/>
        <v>0</v>
      </c>
    </row>
    <row r="128" ht="15.75" customHeight="1">
      <c r="A128" s="6">
        <v>2.5</v>
      </c>
      <c r="B128" s="7"/>
      <c r="C128" s="13">
        <v>86.25</v>
      </c>
      <c r="D128" s="7">
        <f t="shared" si="25"/>
        <v>0</v>
      </c>
      <c r="E128" s="7"/>
      <c r="F128" s="7">
        <v>30.0</v>
      </c>
      <c r="G128" s="7">
        <f t="shared" si="26"/>
        <v>0</v>
      </c>
    </row>
    <row r="129" ht="15.75" customHeight="1">
      <c r="A129" s="6">
        <v>3.0</v>
      </c>
      <c r="B129" s="19"/>
      <c r="C129" s="7">
        <v>103.5</v>
      </c>
      <c r="D129" s="7">
        <f t="shared" si="25"/>
        <v>0</v>
      </c>
      <c r="E129" s="19"/>
      <c r="F129" s="7">
        <v>36.0</v>
      </c>
      <c r="G129" s="7">
        <f t="shared" si="26"/>
        <v>0</v>
      </c>
    </row>
    <row r="130" ht="15.75" customHeight="1">
      <c r="A130" s="22">
        <v>3.5</v>
      </c>
      <c r="B130" s="19"/>
      <c r="C130" s="23">
        <v>120.75</v>
      </c>
      <c r="D130" s="7">
        <f t="shared" si="25"/>
        <v>0</v>
      </c>
      <c r="E130" s="19"/>
      <c r="F130" s="23">
        <v>42.0</v>
      </c>
      <c r="G130" s="7">
        <f t="shared" si="26"/>
        <v>0</v>
      </c>
    </row>
    <row r="131" ht="15.75" customHeight="1">
      <c r="A131" s="6"/>
      <c r="B131" s="24" t="s">
        <v>10</v>
      </c>
      <c r="C131" s="25"/>
      <c r="D131" s="26">
        <f>SUM(D124:D130)</f>
        <v>0</v>
      </c>
      <c r="E131" s="27" t="s">
        <v>10</v>
      </c>
      <c r="F131" s="28"/>
      <c r="G131" s="29">
        <f>SUM(G124:G130)</f>
        <v>0</v>
      </c>
    </row>
    <row r="132" ht="15.75" customHeight="1">
      <c r="A132" s="31"/>
      <c r="C132" s="28"/>
      <c r="D132" s="24" t="s">
        <v>12</v>
      </c>
      <c r="E132" s="29">
        <f>+D131+G131</f>
        <v>0</v>
      </c>
      <c r="F132" s="28"/>
      <c r="G132" s="28"/>
    </row>
    <row r="133" ht="15.75" customHeight="1">
      <c r="A133" s="40" t="s">
        <v>29</v>
      </c>
      <c r="B133" s="2"/>
      <c r="C133" s="2"/>
      <c r="D133" s="2"/>
      <c r="E133" s="3"/>
      <c r="F133" s="3"/>
      <c r="G133" s="3"/>
    </row>
    <row r="134" ht="15.75" customHeight="1">
      <c r="A134" s="4" t="s">
        <v>1</v>
      </c>
      <c r="B134" s="5" t="s">
        <v>2</v>
      </c>
      <c r="C134" s="5" t="s">
        <v>3</v>
      </c>
      <c r="D134" s="5" t="s">
        <v>4</v>
      </c>
      <c r="E134" s="5" t="s">
        <v>5</v>
      </c>
      <c r="F134" s="5" t="s">
        <v>3</v>
      </c>
      <c r="G134" s="5" t="s">
        <v>4</v>
      </c>
    </row>
    <row r="135" ht="15.75" customHeight="1">
      <c r="A135" s="6">
        <v>0.875</v>
      </c>
      <c r="B135" s="7"/>
      <c r="C135" s="8">
        <v>30.875</v>
      </c>
      <c r="D135" s="7">
        <f t="shared" ref="D135:D141" si="27">+B135*C135</f>
        <v>0</v>
      </c>
      <c r="E135" s="7"/>
      <c r="F135" s="7">
        <v>4.2</v>
      </c>
      <c r="G135" s="7">
        <f t="shared" ref="G135:G141" si="28">+E135*F135</f>
        <v>0</v>
      </c>
    </row>
    <row r="136" ht="15.75" customHeight="1">
      <c r="A136" s="6">
        <v>1.0</v>
      </c>
      <c r="B136" s="7"/>
      <c r="C136" s="10">
        <v>34.5</v>
      </c>
      <c r="D136" s="7">
        <f t="shared" si="27"/>
        <v>0</v>
      </c>
      <c r="E136" s="7"/>
      <c r="F136" s="7">
        <v>6.3</v>
      </c>
      <c r="G136" s="7">
        <f t="shared" si="28"/>
        <v>0</v>
      </c>
    </row>
    <row r="137" ht="15.75" customHeight="1">
      <c r="A137" s="6">
        <v>1.5</v>
      </c>
      <c r="B137" s="7"/>
      <c r="C137" s="13">
        <v>51.75</v>
      </c>
      <c r="D137" s="7">
        <f t="shared" si="27"/>
        <v>0</v>
      </c>
      <c r="E137" s="7"/>
      <c r="F137" s="7">
        <v>12.0</v>
      </c>
      <c r="G137" s="7">
        <f t="shared" si="28"/>
        <v>0</v>
      </c>
    </row>
    <row r="138" ht="15.75" customHeight="1">
      <c r="A138" s="6">
        <v>2.0</v>
      </c>
      <c r="B138" s="7"/>
      <c r="C138" s="16">
        <v>69.0</v>
      </c>
      <c r="D138" s="7">
        <f t="shared" si="27"/>
        <v>0</v>
      </c>
      <c r="E138" s="7"/>
      <c r="F138" s="7">
        <v>19.0</v>
      </c>
      <c r="G138" s="7">
        <f t="shared" si="28"/>
        <v>0</v>
      </c>
    </row>
    <row r="139" ht="15.75" customHeight="1">
      <c r="A139" s="6">
        <v>2.5</v>
      </c>
      <c r="B139" s="7"/>
      <c r="C139" s="13">
        <v>86.25</v>
      </c>
      <c r="D139" s="7">
        <f t="shared" si="27"/>
        <v>0</v>
      </c>
      <c r="E139" s="7"/>
      <c r="F139" s="7">
        <v>30.0</v>
      </c>
      <c r="G139" s="7">
        <f t="shared" si="28"/>
        <v>0</v>
      </c>
    </row>
    <row r="140" ht="15.75" customHeight="1">
      <c r="A140" s="6">
        <v>3.0</v>
      </c>
      <c r="B140" s="19"/>
      <c r="C140" s="7">
        <v>103.5</v>
      </c>
      <c r="D140" s="7">
        <f t="shared" si="27"/>
        <v>0</v>
      </c>
      <c r="E140" s="19"/>
      <c r="F140" s="7">
        <v>36.0</v>
      </c>
      <c r="G140" s="7">
        <f t="shared" si="28"/>
        <v>0</v>
      </c>
    </row>
    <row r="141" ht="15.75" customHeight="1">
      <c r="A141" s="22">
        <v>3.5</v>
      </c>
      <c r="B141" s="19"/>
      <c r="C141" s="23">
        <v>120.75</v>
      </c>
      <c r="D141" s="7">
        <f t="shared" si="27"/>
        <v>0</v>
      </c>
      <c r="E141" s="19"/>
      <c r="F141" s="23">
        <v>42.0</v>
      </c>
      <c r="G141" s="7">
        <f t="shared" si="28"/>
        <v>0</v>
      </c>
    </row>
    <row r="142" ht="15.75" customHeight="1">
      <c r="A142" s="6"/>
      <c r="B142" s="24" t="s">
        <v>10</v>
      </c>
      <c r="C142" s="25"/>
      <c r="D142" s="26">
        <f>SUM(D135:D141)</f>
        <v>0</v>
      </c>
      <c r="E142" s="27" t="s">
        <v>10</v>
      </c>
      <c r="F142" s="28"/>
      <c r="G142" s="29">
        <f>SUM(G135:G141)</f>
        <v>0</v>
      </c>
    </row>
    <row r="143" ht="15.75" customHeight="1">
      <c r="A143" s="31"/>
      <c r="C143" s="28"/>
      <c r="D143" s="24" t="s">
        <v>12</v>
      </c>
      <c r="E143" s="29">
        <f>+D142+G142</f>
        <v>0</v>
      </c>
      <c r="F143" s="28"/>
      <c r="G143" s="28"/>
    </row>
    <row r="144" ht="15.75" customHeight="1">
      <c r="A144" s="40" t="s">
        <v>30</v>
      </c>
      <c r="B144" s="2"/>
      <c r="C144" s="2"/>
      <c r="D144" s="2"/>
      <c r="E144" s="3"/>
      <c r="F144" s="3"/>
      <c r="G144" s="3"/>
    </row>
    <row r="145" ht="15.75" customHeight="1">
      <c r="A145" s="4" t="s">
        <v>1</v>
      </c>
      <c r="B145" s="5" t="s">
        <v>2</v>
      </c>
      <c r="C145" s="5" t="s">
        <v>3</v>
      </c>
      <c r="D145" s="5" t="s">
        <v>4</v>
      </c>
      <c r="E145" s="5" t="s">
        <v>5</v>
      </c>
      <c r="F145" s="5" t="s">
        <v>3</v>
      </c>
      <c r="G145" s="5" t="s">
        <v>4</v>
      </c>
    </row>
    <row r="146" ht="15.75" customHeight="1">
      <c r="A146" s="6">
        <v>0.875</v>
      </c>
      <c r="B146" s="7"/>
      <c r="C146" s="8">
        <v>30.875</v>
      </c>
      <c r="D146" s="7">
        <f t="shared" ref="D146:D152" si="29">+B146*C146</f>
        <v>0</v>
      </c>
      <c r="E146" s="7"/>
      <c r="F146" s="7">
        <v>4.2</v>
      </c>
      <c r="G146" s="7">
        <f t="shared" ref="G146:G152" si="30">+E146*F146</f>
        <v>0</v>
      </c>
    </row>
    <row r="147" ht="15.75" customHeight="1">
      <c r="A147" s="6">
        <v>1.0</v>
      </c>
      <c r="B147" s="7"/>
      <c r="C147" s="10">
        <v>34.5</v>
      </c>
      <c r="D147" s="7">
        <f t="shared" si="29"/>
        <v>0</v>
      </c>
      <c r="E147" s="7"/>
      <c r="F147" s="7">
        <v>6.3</v>
      </c>
      <c r="G147" s="7">
        <f t="shared" si="30"/>
        <v>0</v>
      </c>
    </row>
    <row r="148" ht="15.75" customHeight="1">
      <c r="A148" s="6">
        <v>1.5</v>
      </c>
      <c r="B148" s="7"/>
      <c r="C148" s="13">
        <v>51.75</v>
      </c>
      <c r="D148" s="7">
        <f t="shared" si="29"/>
        <v>0</v>
      </c>
      <c r="E148" s="7"/>
      <c r="F148" s="7">
        <v>12.0</v>
      </c>
      <c r="G148" s="7">
        <f t="shared" si="30"/>
        <v>0</v>
      </c>
    </row>
    <row r="149" ht="15.75" customHeight="1">
      <c r="A149" s="6">
        <v>2.0</v>
      </c>
      <c r="B149" s="7"/>
      <c r="C149" s="16">
        <v>69.0</v>
      </c>
      <c r="D149" s="7">
        <f t="shared" si="29"/>
        <v>0</v>
      </c>
      <c r="E149" s="7"/>
      <c r="F149" s="7">
        <v>19.0</v>
      </c>
      <c r="G149" s="7">
        <f t="shared" si="30"/>
        <v>0</v>
      </c>
    </row>
    <row r="150" ht="15.75" customHeight="1">
      <c r="A150" s="6">
        <v>2.5</v>
      </c>
      <c r="B150" s="7"/>
      <c r="C150" s="13">
        <v>86.25</v>
      </c>
      <c r="D150" s="7">
        <f t="shared" si="29"/>
        <v>0</v>
      </c>
      <c r="E150" s="7"/>
      <c r="F150" s="7">
        <v>30.0</v>
      </c>
      <c r="G150" s="7">
        <f t="shared" si="30"/>
        <v>0</v>
      </c>
    </row>
    <row r="151" ht="15.75" customHeight="1">
      <c r="A151" s="6">
        <v>3.0</v>
      </c>
      <c r="B151" s="19"/>
      <c r="C151" s="7">
        <v>103.5</v>
      </c>
      <c r="D151" s="7">
        <f t="shared" si="29"/>
        <v>0</v>
      </c>
      <c r="E151" s="19"/>
      <c r="F151" s="7">
        <v>36.0</v>
      </c>
      <c r="G151" s="7">
        <f t="shared" si="30"/>
        <v>0</v>
      </c>
    </row>
    <row r="152" ht="15.75" customHeight="1">
      <c r="A152" s="22">
        <v>3.5</v>
      </c>
      <c r="B152" s="19"/>
      <c r="C152" s="23">
        <v>120.75</v>
      </c>
      <c r="D152" s="7">
        <f t="shared" si="29"/>
        <v>0</v>
      </c>
      <c r="E152" s="19"/>
      <c r="F152" s="23">
        <v>42.0</v>
      </c>
      <c r="G152" s="7">
        <f t="shared" si="30"/>
        <v>0</v>
      </c>
    </row>
    <row r="153" ht="15.75" customHeight="1">
      <c r="A153" s="6"/>
      <c r="B153" s="24" t="s">
        <v>10</v>
      </c>
      <c r="C153" s="25"/>
      <c r="D153" s="26">
        <f>SUM(D146:D152)</f>
        <v>0</v>
      </c>
      <c r="E153" s="27" t="s">
        <v>10</v>
      </c>
      <c r="F153" s="28"/>
      <c r="G153" s="29">
        <f>SUM(G146:G152)</f>
        <v>0</v>
      </c>
    </row>
    <row r="154" ht="15.75" customHeight="1">
      <c r="A154" s="31"/>
      <c r="C154" s="28"/>
      <c r="D154" s="24" t="s">
        <v>12</v>
      </c>
      <c r="E154" s="29">
        <f>+D153+G153</f>
        <v>0</v>
      </c>
      <c r="F154" s="28"/>
      <c r="G154" s="28"/>
    </row>
    <row r="155" ht="15.75" customHeight="1">
      <c r="A155" s="40" t="s">
        <v>31</v>
      </c>
      <c r="B155" s="2"/>
      <c r="C155" s="2"/>
      <c r="D155" s="2"/>
      <c r="E155" s="3"/>
      <c r="F155" s="3"/>
      <c r="G155" s="3"/>
    </row>
    <row r="156" ht="15.75" customHeight="1">
      <c r="A156" s="4" t="s">
        <v>1</v>
      </c>
      <c r="B156" s="5" t="s">
        <v>2</v>
      </c>
      <c r="C156" s="5" t="s">
        <v>3</v>
      </c>
      <c r="D156" s="5" t="s">
        <v>4</v>
      </c>
      <c r="E156" s="5" t="s">
        <v>5</v>
      </c>
      <c r="F156" s="5" t="s">
        <v>3</v>
      </c>
      <c r="G156" s="5" t="s">
        <v>4</v>
      </c>
    </row>
    <row r="157" ht="15.75" customHeight="1">
      <c r="A157" s="6">
        <v>0.875</v>
      </c>
      <c r="B157" s="7"/>
      <c r="C157" s="8">
        <v>30.875</v>
      </c>
      <c r="D157" s="7">
        <f t="shared" ref="D157:D163" si="31">+B157*C157</f>
        <v>0</v>
      </c>
      <c r="E157" s="7"/>
      <c r="F157" s="7">
        <v>4.2</v>
      </c>
      <c r="G157" s="7">
        <f t="shared" ref="G157:G163" si="32">+E157*F157</f>
        <v>0</v>
      </c>
    </row>
    <row r="158" ht="15.75" customHeight="1">
      <c r="A158" s="6">
        <v>1.0</v>
      </c>
      <c r="B158" s="7"/>
      <c r="C158" s="10">
        <v>34.5</v>
      </c>
      <c r="D158" s="7">
        <f t="shared" si="31"/>
        <v>0</v>
      </c>
      <c r="E158" s="7"/>
      <c r="F158" s="7">
        <v>6.3</v>
      </c>
      <c r="G158" s="7">
        <f t="shared" si="32"/>
        <v>0</v>
      </c>
    </row>
    <row r="159" ht="15.75" customHeight="1">
      <c r="A159" s="6">
        <v>1.5</v>
      </c>
      <c r="B159" s="7"/>
      <c r="C159" s="13">
        <v>51.75</v>
      </c>
      <c r="D159" s="7">
        <f t="shared" si="31"/>
        <v>0</v>
      </c>
      <c r="E159" s="7"/>
      <c r="F159" s="7">
        <v>12.0</v>
      </c>
      <c r="G159" s="7">
        <f t="shared" si="32"/>
        <v>0</v>
      </c>
    </row>
    <row r="160" ht="15.75" customHeight="1">
      <c r="A160" s="6">
        <v>2.0</v>
      </c>
      <c r="B160" s="7"/>
      <c r="C160" s="16">
        <v>69.0</v>
      </c>
      <c r="D160" s="7">
        <f t="shared" si="31"/>
        <v>0</v>
      </c>
      <c r="E160" s="7"/>
      <c r="F160" s="7">
        <v>19.0</v>
      </c>
      <c r="G160" s="7">
        <f t="shared" si="32"/>
        <v>0</v>
      </c>
    </row>
    <row r="161" ht="15.75" customHeight="1">
      <c r="A161" s="6">
        <v>2.5</v>
      </c>
      <c r="B161" s="7"/>
      <c r="C161" s="13">
        <v>86.25</v>
      </c>
      <c r="D161" s="7">
        <f t="shared" si="31"/>
        <v>0</v>
      </c>
      <c r="E161" s="7"/>
      <c r="F161" s="7">
        <v>30.0</v>
      </c>
      <c r="G161" s="7">
        <f t="shared" si="32"/>
        <v>0</v>
      </c>
    </row>
    <row r="162" ht="15.75" customHeight="1">
      <c r="A162" s="6">
        <v>3.0</v>
      </c>
      <c r="B162" s="19"/>
      <c r="C162" s="7">
        <v>103.5</v>
      </c>
      <c r="D162" s="7">
        <f t="shared" si="31"/>
        <v>0</v>
      </c>
      <c r="E162" s="19"/>
      <c r="F162" s="7">
        <v>36.0</v>
      </c>
      <c r="G162" s="7">
        <f t="shared" si="32"/>
        <v>0</v>
      </c>
    </row>
    <row r="163" ht="15.75" customHeight="1">
      <c r="A163" s="22">
        <v>3.5</v>
      </c>
      <c r="B163" s="19"/>
      <c r="C163" s="23">
        <v>120.75</v>
      </c>
      <c r="D163" s="7">
        <f t="shared" si="31"/>
        <v>0</v>
      </c>
      <c r="E163" s="19"/>
      <c r="F163" s="23">
        <v>42.0</v>
      </c>
      <c r="G163" s="7">
        <f t="shared" si="32"/>
        <v>0</v>
      </c>
    </row>
    <row r="164" ht="15.75" customHeight="1">
      <c r="A164" s="6"/>
      <c r="B164" s="24" t="s">
        <v>10</v>
      </c>
      <c r="C164" s="25"/>
      <c r="D164" s="26">
        <f>SUM(D157:D163)</f>
        <v>0</v>
      </c>
      <c r="E164" s="27" t="s">
        <v>10</v>
      </c>
      <c r="F164" s="28"/>
      <c r="G164" s="29">
        <f>SUM(G157:G163)</f>
        <v>0</v>
      </c>
    </row>
    <row r="165" ht="15.75" customHeight="1">
      <c r="A165" s="31"/>
      <c r="C165" s="28"/>
      <c r="D165" s="24" t="s">
        <v>12</v>
      </c>
      <c r="E165" s="29">
        <f>+D164+G164</f>
        <v>0</v>
      </c>
      <c r="F165" s="28"/>
      <c r="G165" s="28"/>
    </row>
    <row r="166" ht="15.75" customHeight="1">
      <c r="A166" s="40" t="s">
        <v>32</v>
      </c>
      <c r="B166" s="2"/>
      <c r="C166" s="2"/>
      <c r="D166" s="2"/>
      <c r="E166" s="3"/>
      <c r="F166" s="3"/>
      <c r="G166" s="3"/>
    </row>
    <row r="167" ht="15.75" customHeight="1">
      <c r="A167" s="4" t="s">
        <v>1</v>
      </c>
      <c r="B167" s="5" t="s">
        <v>2</v>
      </c>
      <c r="C167" s="5" t="s">
        <v>3</v>
      </c>
      <c r="D167" s="5" t="s">
        <v>4</v>
      </c>
      <c r="E167" s="5" t="s">
        <v>5</v>
      </c>
      <c r="F167" s="5" t="s">
        <v>3</v>
      </c>
      <c r="G167" s="5" t="s">
        <v>4</v>
      </c>
    </row>
    <row r="168" ht="15.75" customHeight="1">
      <c r="A168" s="6">
        <v>0.875</v>
      </c>
      <c r="B168" s="7"/>
      <c r="C168" s="8">
        <v>30.875</v>
      </c>
      <c r="D168" s="7">
        <f t="shared" ref="D168:D174" si="33">+B168*C168</f>
        <v>0</v>
      </c>
      <c r="E168" s="7"/>
      <c r="F168" s="7">
        <v>4.2</v>
      </c>
      <c r="G168" s="7">
        <f t="shared" ref="G168:G174" si="34">+E168*F168</f>
        <v>0</v>
      </c>
    </row>
    <row r="169" ht="15.75" customHeight="1">
      <c r="A169" s="6">
        <v>1.0</v>
      </c>
      <c r="B169" s="7"/>
      <c r="C169" s="10">
        <v>34.5</v>
      </c>
      <c r="D169" s="7">
        <f t="shared" si="33"/>
        <v>0</v>
      </c>
      <c r="E169" s="7"/>
      <c r="F169" s="7">
        <v>6.3</v>
      </c>
      <c r="G169" s="7">
        <f t="shared" si="34"/>
        <v>0</v>
      </c>
    </row>
    <row r="170" ht="15.75" customHeight="1">
      <c r="A170" s="6">
        <v>1.5</v>
      </c>
      <c r="B170" s="7"/>
      <c r="C170" s="13">
        <v>51.75</v>
      </c>
      <c r="D170" s="7">
        <f t="shared" si="33"/>
        <v>0</v>
      </c>
      <c r="E170" s="7"/>
      <c r="F170" s="7">
        <v>12.0</v>
      </c>
      <c r="G170" s="7">
        <f t="shared" si="34"/>
        <v>0</v>
      </c>
    </row>
    <row r="171" ht="15.75" customHeight="1">
      <c r="A171" s="6">
        <v>2.0</v>
      </c>
      <c r="B171" s="7"/>
      <c r="C171" s="16">
        <v>69.0</v>
      </c>
      <c r="D171" s="7">
        <f t="shared" si="33"/>
        <v>0</v>
      </c>
      <c r="E171" s="7"/>
      <c r="F171" s="7">
        <v>19.0</v>
      </c>
      <c r="G171" s="7">
        <f t="shared" si="34"/>
        <v>0</v>
      </c>
    </row>
    <row r="172" ht="15.75" customHeight="1">
      <c r="A172" s="6">
        <v>2.5</v>
      </c>
      <c r="B172" s="7"/>
      <c r="C172" s="13">
        <v>86.25</v>
      </c>
      <c r="D172" s="7">
        <f t="shared" si="33"/>
        <v>0</v>
      </c>
      <c r="E172" s="7"/>
      <c r="F172" s="7">
        <v>30.0</v>
      </c>
      <c r="G172" s="7">
        <f t="shared" si="34"/>
        <v>0</v>
      </c>
    </row>
    <row r="173" ht="15.75" customHeight="1">
      <c r="A173" s="6">
        <v>3.0</v>
      </c>
      <c r="B173" s="19"/>
      <c r="C173" s="7">
        <v>103.5</v>
      </c>
      <c r="D173" s="7">
        <f t="shared" si="33"/>
        <v>0</v>
      </c>
      <c r="E173" s="19"/>
      <c r="F173" s="7">
        <v>36.0</v>
      </c>
      <c r="G173" s="7">
        <f t="shared" si="34"/>
        <v>0</v>
      </c>
    </row>
    <row r="174" ht="15.75" customHeight="1">
      <c r="A174" s="22">
        <v>3.5</v>
      </c>
      <c r="B174" s="19"/>
      <c r="C174" s="23">
        <v>120.75</v>
      </c>
      <c r="D174" s="7">
        <f t="shared" si="33"/>
        <v>0</v>
      </c>
      <c r="E174" s="19"/>
      <c r="F174" s="23">
        <v>42.0</v>
      </c>
      <c r="G174" s="7">
        <f t="shared" si="34"/>
        <v>0</v>
      </c>
    </row>
    <row r="175" ht="15.75" customHeight="1">
      <c r="A175" s="6"/>
      <c r="B175" s="24" t="s">
        <v>10</v>
      </c>
      <c r="C175" s="25"/>
      <c r="D175" s="26">
        <f>SUM(D168:D174)</f>
        <v>0</v>
      </c>
      <c r="E175" s="27" t="s">
        <v>10</v>
      </c>
      <c r="F175" s="28"/>
      <c r="G175" s="29">
        <f>SUM(G168:G174)</f>
        <v>0</v>
      </c>
    </row>
    <row r="176" ht="15.75" customHeight="1">
      <c r="A176" s="31"/>
      <c r="C176" s="28"/>
      <c r="D176" s="24" t="s">
        <v>12</v>
      </c>
      <c r="E176" s="29">
        <f>+D175+G175</f>
        <v>0</v>
      </c>
      <c r="F176" s="28"/>
      <c r="G176" s="28"/>
    </row>
    <row r="177" ht="15.75" customHeight="1">
      <c r="A177" s="40" t="s">
        <v>33</v>
      </c>
      <c r="B177" s="2"/>
      <c r="C177" s="2"/>
      <c r="D177" s="2"/>
      <c r="E177" s="3"/>
      <c r="F177" s="3"/>
      <c r="G177" s="3"/>
    </row>
    <row r="178" ht="15.75" customHeight="1">
      <c r="A178" s="4" t="s">
        <v>1</v>
      </c>
      <c r="B178" s="5" t="s">
        <v>2</v>
      </c>
      <c r="C178" s="5" t="s">
        <v>3</v>
      </c>
      <c r="D178" s="5" t="s">
        <v>4</v>
      </c>
      <c r="E178" s="5" t="s">
        <v>5</v>
      </c>
      <c r="F178" s="5" t="s">
        <v>3</v>
      </c>
      <c r="G178" s="5" t="s">
        <v>4</v>
      </c>
    </row>
    <row r="179" ht="15.75" customHeight="1">
      <c r="A179" s="6">
        <v>0.875</v>
      </c>
      <c r="B179" s="7"/>
      <c r="C179" s="8">
        <v>30.875</v>
      </c>
      <c r="D179" s="7">
        <f t="shared" ref="D179:D185" si="35">+B179*C179</f>
        <v>0</v>
      </c>
      <c r="E179" s="7"/>
      <c r="F179" s="7">
        <v>4.2</v>
      </c>
      <c r="G179" s="7">
        <f t="shared" ref="G179:G185" si="36">+E179*F179</f>
        <v>0</v>
      </c>
    </row>
    <row r="180" ht="15.75" customHeight="1">
      <c r="A180" s="6">
        <v>1.0</v>
      </c>
      <c r="B180" s="7"/>
      <c r="C180" s="10">
        <v>34.5</v>
      </c>
      <c r="D180" s="7">
        <f t="shared" si="35"/>
        <v>0</v>
      </c>
      <c r="E180" s="7"/>
      <c r="F180" s="7">
        <v>6.3</v>
      </c>
      <c r="G180" s="7">
        <f t="shared" si="36"/>
        <v>0</v>
      </c>
    </row>
    <row r="181" ht="15.75" customHeight="1">
      <c r="A181" s="6">
        <v>1.5</v>
      </c>
      <c r="B181" s="7"/>
      <c r="C181" s="13">
        <v>51.75</v>
      </c>
      <c r="D181" s="7">
        <f t="shared" si="35"/>
        <v>0</v>
      </c>
      <c r="E181" s="7"/>
      <c r="F181" s="7">
        <v>12.0</v>
      </c>
      <c r="G181" s="7">
        <f t="shared" si="36"/>
        <v>0</v>
      </c>
    </row>
    <row r="182" ht="15.75" customHeight="1">
      <c r="A182" s="6">
        <v>2.0</v>
      </c>
      <c r="B182" s="7"/>
      <c r="C182" s="16">
        <v>69.0</v>
      </c>
      <c r="D182" s="7">
        <f t="shared" si="35"/>
        <v>0</v>
      </c>
      <c r="E182" s="7"/>
      <c r="F182" s="7">
        <v>19.0</v>
      </c>
      <c r="G182" s="7">
        <f t="shared" si="36"/>
        <v>0</v>
      </c>
    </row>
    <row r="183" ht="15.75" customHeight="1">
      <c r="A183" s="6">
        <v>2.5</v>
      </c>
      <c r="B183" s="7"/>
      <c r="C183" s="13">
        <v>86.25</v>
      </c>
      <c r="D183" s="7">
        <f t="shared" si="35"/>
        <v>0</v>
      </c>
      <c r="E183" s="7"/>
      <c r="F183" s="7">
        <v>30.0</v>
      </c>
      <c r="G183" s="7">
        <f t="shared" si="36"/>
        <v>0</v>
      </c>
    </row>
    <row r="184" ht="15.75" customHeight="1">
      <c r="A184" s="6">
        <v>3.0</v>
      </c>
      <c r="B184" s="19"/>
      <c r="C184" s="7">
        <v>103.5</v>
      </c>
      <c r="D184" s="7">
        <f t="shared" si="35"/>
        <v>0</v>
      </c>
      <c r="E184" s="19"/>
      <c r="F184" s="7">
        <v>36.0</v>
      </c>
      <c r="G184" s="7">
        <f t="shared" si="36"/>
        <v>0</v>
      </c>
    </row>
    <row r="185" ht="15.75" customHeight="1">
      <c r="A185" s="22">
        <v>3.5</v>
      </c>
      <c r="B185" s="19"/>
      <c r="C185" s="23">
        <v>120.75</v>
      </c>
      <c r="D185" s="7">
        <f t="shared" si="35"/>
        <v>0</v>
      </c>
      <c r="E185" s="19"/>
      <c r="F185" s="23">
        <v>42.0</v>
      </c>
      <c r="G185" s="7">
        <f t="shared" si="36"/>
        <v>0</v>
      </c>
    </row>
    <row r="186" ht="15.75" customHeight="1">
      <c r="A186" s="6"/>
      <c r="B186" s="24" t="s">
        <v>10</v>
      </c>
      <c r="C186" s="25"/>
      <c r="D186" s="26">
        <f>SUM(D179:D185)</f>
        <v>0</v>
      </c>
      <c r="E186" s="27" t="s">
        <v>10</v>
      </c>
      <c r="F186" s="28"/>
      <c r="G186" s="29">
        <f>SUM(G179:G185)</f>
        <v>0</v>
      </c>
    </row>
    <row r="187" ht="15.75" customHeight="1">
      <c r="A187" s="31"/>
      <c r="C187" s="28"/>
      <c r="D187" s="24" t="s">
        <v>12</v>
      </c>
      <c r="E187" s="29">
        <f>+D186+G186</f>
        <v>0</v>
      </c>
      <c r="F187" s="28"/>
      <c r="G187" s="28"/>
    </row>
    <row r="188" ht="15.75" customHeight="1">
      <c r="A188" s="40" t="s">
        <v>34</v>
      </c>
      <c r="B188" s="2"/>
      <c r="C188" s="2"/>
      <c r="D188" s="2"/>
      <c r="E188" s="3"/>
      <c r="F188" s="3"/>
      <c r="G188" s="3"/>
    </row>
    <row r="189" ht="15.75" customHeight="1">
      <c r="A189" s="4" t="s">
        <v>1</v>
      </c>
      <c r="B189" s="5" t="s">
        <v>2</v>
      </c>
      <c r="C189" s="5" t="s">
        <v>3</v>
      </c>
      <c r="D189" s="5" t="s">
        <v>4</v>
      </c>
      <c r="E189" s="5" t="s">
        <v>5</v>
      </c>
      <c r="F189" s="5" t="s">
        <v>3</v>
      </c>
      <c r="G189" s="5" t="s">
        <v>4</v>
      </c>
    </row>
    <row r="190" ht="15.75" customHeight="1">
      <c r="A190" s="6">
        <v>0.875</v>
      </c>
      <c r="B190" s="7"/>
      <c r="C190" s="8">
        <v>30.875</v>
      </c>
      <c r="D190" s="7">
        <f t="shared" ref="D190:D196" si="37">+B190*C190</f>
        <v>0</v>
      </c>
      <c r="E190" s="7"/>
      <c r="F190" s="7">
        <v>4.2</v>
      </c>
      <c r="G190" s="7">
        <f t="shared" ref="G190:G196" si="38">+E190*F190</f>
        <v>0</v>
      </c>
    </row>
    <row r="191" ht="15.75" customHeight="1">
      <c r="A191" s="6">
        <v>1.0</v>
      </c>
      <c r="B191" s="7"/>
      <c r="C191" s="10">
        <v>34.5</v>
      </c>
      <c r="D191" s="7">
        <f t="shared" si="37"/>
        <v>0</v>
      </c>
      <c r="E191" s="7"/>
      <c r="F191" s="7">
        <v>6.3</v>
      </c>
      <c r="G191" s="7">
        <f t="shared" si="38"/>
        <v>0</v>
      </c>
    </row>
    <row r="192" ht="15.75" customHeight="1">
      <c r="A192" s="6">
        <v>1.5</v>
      </c>
      <c r="B192" s="7"/>
      <c r="C192" s="13">
        <v>51.75</v>
      </c>
      <c r="D192" s="7">
        <f t="shared" si="37"/>
        <v>0</v>
      </c>
      <c r="E192" s="7"/>
      <c r="F192" s="7">
        <v>12.0</v>
      </c>
      <c r="G192" s="7">
        <f t="shared" si="38"/>
        <v>0</v>
      </c>
    </row>
    <row r="193" ht="15.75" customHeight="1">
      <c r="A193" s="6">
        <v>2.0</v>
      </c>
      <c r="B193" s="7"/>
      <c r="C193" s="16">
        <v>69.0</v>
      </c>
      <c r="D193" s="7">
        <f t="shared" si="37"/>
        <v>0</v>
      </c>
      <c r="E193" s="7"/>
      <c r="F193" s="7">
        <v>19.0</v>
      </c>
      <c r="G193" s="7">
        <f t="shared" si="38"/>
        <v>0</v>
      </c>
    </row>
    <row r="194" ht="15.75" customHeight="1">
      <c r="A194" s="6">
        <v>2.5</v>
      </c>
      <c r="B194" s="7"/>
      <c r="C194" s="13">
        <v>86.25</v>
      </c>
      <c r="D194" s="7">
        <f t="shared" si="37"/>
        <v>0</v>
      </c>
      <c r="E194" s="7"/>
      <c r="F194" s="7">
        <v>30.0</v>
      </c>
      <c r="G194" s="7">
        <f t="shared" si="38"/>
        <v>0</v>
      </c>
    </row>
    <row r="195" ht="15.75" customHeight="1">
      <c r="A195" s="6">
        <v>3.0</v>
      </c>
      <c r="B195" s="19"/>
      <c r="C195" s="7">
        <v>103.5</v>
      </c>
      <c r="D195" s="7">
        <f t="shared" si="37"/>
        <v>0</v>
      </c>
      <c r="E195" s="19"/>
      <c r="F195" s="7">
        <v>36.0</v>
      </c>
      <c r="G195" s="7">
        <f t="shared" si="38"/>
        <v>0</v>
      </c>
    </row>
    <row r="196" ht="15.75" customHeight="1">
      <c r="A196" s="22">
        <v>3.5</v>
      </c>
      <c r="B196" s="19"/>
      <c r="C196" s="23">
        <v>120.75</v>
      </c>
      <c r="D196" s="7">
        <f t="shared" si="37"/>
        <v>0</v>
      </c>
      <c r="E196" s="19"/>
      <c r="F196" s="23">
        <v>42.0</v>
      </c>
      <c r="G196" s="7">
        <f t="shared" si="38"/>
        <v>0</v>
      </c>
    </row>
    <row r="197" ht="15.75" customHeight="1">
      <c r="A197" s="6"/>
      <c r="B197" s="24" t="s">
        <v>10</v>
      </c>
      <c r="C197" s="25"/>
      <c r="D197" s="26">
        <f>SUM(D190:D196)</f>
        <v>0</v>
      </c>
      <c r="E197" s="27" t="s">
        <v>10</v>
      </c>
      <c r="F197" s="28"/>
      <c r="G197" s="29">
        <f>SUM(G190:G196)</f>
        <v>0</v>
      </c>
    </row>
    <row r="198" ht="15.75" customHeight="1">
      <c r="A198" s="31"/>
      <c r="C198" s="28"/>
      <c r="D198" s="24" t="s">
        <v>12</v>
      </c>
      <c r="E198" s="29">
        <f>+D197+G197</f>
        <v>0</v>
      </c>
      <c r="F198" s="28"/>
      <c r="G198" s="28"/>
    </row>
    <row r="199" ht="15.75" customHeight="1">
      <c r="A199" s="40" t="s">
        <v>35</v>
      </c>
      <c r="B199" s="2"/>
      <c r="C199" s="2"/>
      <c r="D199" s="2"/>
      <c r="E199" s="3"/>
      <c r="F199" s="3"/>
      <c r="G199" s="3"/>
    </row>
    <row r="200" ht="15.75" customHeight="1">
      <c r="A200" s="4" t="s">
        <v>1</v>
      </c>
      <c r="B200" s="5" t="s">
        <v>2</v>
      </c>
      <c r="C200" s="5" t="s">
        <v>3</v>
      </c>
      <c r="D200" s="5" t="s">
        <v>4</v>
      </c>
      <c r="E200" s="5" t="s">
        <v>5</v>
      </c>
      <c r="F200" s="5" t="s">
        <v>3</v>
      </c>
      <c r="G200" s="5" t="s">
        <v>4</v>
      </c>
    </row>
    <row r="201" ht="15.75" customHeight="1">
      <c r="A201" s="6">
        <v>0.875</v>
      </c>
      <c r="B201" s="7"/>
      <c r="C201" s="8">
        <v>30.875</v>
      </c>
      <c r="D201" s="7">
        <f t="shared" ref="D201:D207" si="39">+B201*C201</f>
        <v>0</v>
      </c>
      <c r="E201" s="7"/>
      <c r="F201" s="7">
        <v>4.2</v>
      </c>
      <c r="G201" s="7">
        <f t="shared" ref="G201:G207" si="40">+E201*F201</f>
        <v>0</v>
      </c>
    </row>
    <row r="202" ht="15.75" customHeight="1">
      <c r="A202" s="6">
        <v>1.0</v>
      </c>
      <c r="B202" s="7"/>
      <c r="C202" s="10">
        <v>34.5</v>
      </c>
      <c r="D202" s="7">
        <f t="shared" si="39"/>
        <v>0</v>
      </c>
      <c r="E202" s="7"/>
      <c r="F202" s="7">
        <v>6.3</v>
      </c>
      <c r="G202" s="7">
        <f t="shared" si="40"/>
        <v>0</v>
      </c>
    </row>
    <row r="203" ht="15.75" customHeight="1">
      <c r="A203" s="6">
        <v>1.5</v>
      </c>
      <c r="B203" s="7"/>
      <c r="C203" s="13">
        <v>51.75</v>
      </c>
      <c r="D203" s="7">
        <f t="shared" si="39"/>
        <v>0</v>
      </c>
      <c r="E203" s="7"/>
      <c r="F203" s="7">
        <v>12.0</v>
      </c>
      <c r="G203" s="7">
        <f t="shared" si="40"/>
        <v>0</v>
      </c>
    </row>
    <row r="204" ht="15.75" customHeight="1">
      <c r="A204" s="6">
        <v>2.0</v>
      </c>
      <c r="B204" s="7"/>
      <c r="C204" s="16">
        <v>69.0</v>
      </c>
      <c r="D204" s="7">
        <f t="shared" si="39"/>
        <v>0</v>
      </c>
      <c r="E204" s="7"/>
      <c r="F204" s="7">
        <v>19.0</v>
      </c>
      <c r="G204" s="7">
        <f t="shared" si="40"/>
        <v>0</v>
      </c>
    </row>
    <row r="205" ht="15.75" customHeight="1">
      <c r="A205" s="6">
        <v>2.5</v>
      </c>
      <c r="B205" s="7"/>
      <c r="C205" s="13">
        <v>86.25</v>
      </c>
      <c r="D205" s="7">
        <f t="shared" si="39"/>
        <v>0</v>
      </c>
      <c r="E205" s="7"/>
      <c r="F205" s="7">
        <v>30.0</v>
      </c>
      <c r="G205" s="7">
        <f t="shared" si="40"/>
        <v>0</v>
      </c>
    </row>
    <row r="206" ht="15.75" customHeight="1">
      <c r="A206" s="6">
        <v>3.0</v>
      </c>
      <c r="B206" s="19"/>
      <c r="C206" s="7">
        <v>103.5</v>
      </c>
      <c r="D206" s="7">
        <f t="shared" si="39"/>
        <v>0</v>
      </c>
      <c r="E206" s="19"/>
      <c r="F206" s="7">
        <v>36.0</v>
      </c>
      <c r="G206" s="7">
        <f t="shared" si="40"/>
        <v>0</v>
      </c>
    </row>
    <row r="207" ht="15.75" customHeight="1">
      <c r="A207" s="22">
        <v>3.5</v>
      </c>
      <c r="B207" s="19"/>
      <c r="C207" s="23">
        <v>120.75</v>
      </c>
      <c r="D207" s="7">
        <f t="shared" si="39"/>
        <v>0</v>
      </c>
      <c r="E207" s="19"/>
      <c r="F207" s="23">
        <v>42.0</v>
      </c>
      <c r="G207" s="7">
        <f t="shared" si="40"/>
        <v>0</v>
      </c>
    </row>
    <row r="208" ht="15.75" customHeight="1">
      <c r="A208" s="6"/>
      <c r="B208" s="24" t="s">
        <v>10</v>
      </c>
      <c r="C208" s="25"/>
      <c r="D208" s="26">
        <f>SUM(D201:D207)</f>
        <v>0</v>
      </c>
      <c r="E208" s="27" t="s">
        <v>10</v>
      </c>
      <c r="F208" s="28"/>
      <c r="G208" s="29">
        <f>SUM(G201:G207)</f>
        <v>0</v>
      </c>
    </row>
    <row r="209" ht="15.75" customHeight="1">
      <c r="A209" s="31"/>
      <c r="C209" s="28"/>
      <c r="D209" s="24" t="s">
        <v>12</v>
      </c>
      <c r="E209" s="29">
        <f>+D208+G208</f>
        <v>0</v>
      </c>
      <c r="F209" s="28"/>
      <c r="G209" s="28"/>
    </row>
    <row r="210" ht="15.75" customHeight="1">
      <c r="A210" s="1" t="s">
        <v>36</v>
      </c>
      <c r="B210" s="2"/>
      <c r="C210" s="2"/>
      <c r="D210" s="2"/>
      <c r="E210" s="3"/>
      <c r="F210" s="3"/>
      <c r="G210" s="3"/>
    </row>
    <row r="211" ht="15.75" customHeight="1">
      <c r="A211" s="4" t="s">
        <v>1</v>
      </c>
      <c r="B211" s="5" t="s">
        <v>2</v>
      </c>
      <c r="C211" s="5" t="s">
        <v>3</v>
      </c>
      <c r="D211" s="5" t="s">
        <v>4</v>
      </c>
      <c r="E211" s="5" t="s">
        <v>5</v>
      </c>
      <c r="F211" s="5" t="s">
        <v>3</v>
      </c>
      <c r="G211" s="5" t="s">
        <v>4</v>
      </c>
    </row>
    <row r="212" ht="15.75" customHeight="1">
      <c r="A212" s="6">
        <v>0.875</v>
      </c>
      <c r="B212" s="7"/>
      <c r="C212" s="8">
        <v>30.875</v>
      </c>
      <c r="D212" s="7">
        <f t="shared" ref="D212:D218" si="41">+B212*C212</f>
        <v>0</v>
      </c>
      <c r="E212" s="7"/>
      <c r="F212" s="7">
        <v>4.2</v>
      </c>
      <c r="G212" s="7">
        <f t="shared" ref="G212:G218" si="42">+E212*F212</f>
        <v>0</v>
      </c>
    </row>
    <row r="213" ht="15.75" customHeight="1">
      <c r="A213" s="6">
        <v>1.0</v>
      </c>
      <c r="B213" s="7"/>
      <c r="C213" s="10">
        <v>34.5</v>
      </c>
      <c r="D213" s="7">
        <f t="shared" si="41"/>
        <v>0</v>
      </c>
      <c r="E213" s="7"/>
      <c r="F213" s="7">
        <v>6.3</v>
      </c>
      <c r="G213" s="7">
        <f t="shared" si="42"/>
        <v>0</v>
      </c>
    </row>
    <row r="214" ht="15.75" customHeight="1">
      <c r="A214" s="6">
        <v>1.5</v>
      </c>
      <c r="B214" s="7"/>
      <c r="C214" s="13">
        <v>51.75</v>
      </c>
      <c r="D214" s="7">
        <f t="shared" si="41"/>
        <v>0</v>
      </c>
      <c r="E214" s="7"/>
      <c r="F214" s="7">
        <v>12.0</v>
      </c>
      <c r="G214" s="7">
        <f t="shared" si="42"/>
        <v>0</v>
      </c>
    </row>
    <row r="215" ht="15.75" customHeight="1">
      <c r="A215" s="6">
        <v>2.0</v>
      </c>
      <c r="B215" s="7"/>
      <c r="C215" s="16">
        <v>69.0</v>
      </c>
      <c r="D215" s="7">
        <f t="shared" si="41"/>
        <v>0</v>
      </c>
      <c r="E215" s="7"/>
      <c r="F215" s="7">
        <v>19.0</v>
      </c>
      <c r="G215" s="7">
        <f t="shared" si="42"/>
        <v>0</v>
      </c>
    </row>
    <row r="216" ht="15.75" customHeight="1">
      <c r="A216" s="6">
        <v>2.5</v>
      </c>
      <c r="B216" s="7"/>
      <c r="C216" s="13">
        <v>86.25</v>
      </c>
      <c r="D216" s="7">
        <f t="shared" si="41"/>
        <v>0</v>
      </c>
      <c r="E216" s="7"/>
      <c r="F216" s="7">
        <v>30.0</v>
      </c>
      <c r="G216" s="7">
        <f t="shared" si="42"/>
        <v>0</v>
      </c>
    </row>
    <row r="217" ht="15.75" customHeight="1">
      <c r="A217" s="6">
        <v>3.0</v>
      </c>
      <c r="B217" s="19"/>
      <c r="C217" s="7">
        <v>103.5</v>
      </c>
      <c r="D217" s="7">
        <f t="shared" si="41"/>
        <v>0</v>
      </c>
      <c r="E217" s="19"/>
      <c r="F217" s="7">
        <v>36.0</v>
      </c>
      <c r="G217" s="7">
        <f t="shared" si="42"/>
        <v>0</v>
      </c>
    </row>
    <row r="218" ht="15.75" customHeight="1">
      <c r="A218" s="22">
        <v>3.5</v>
      </c>
      <c r="B218" s="19"/>
      <c r="C218" s="23">
        <v>120.75</v>
      </c>
      <c r="D218" s="7">
        <f t="shared" si="41"/>
        <v>0</v>
      </c>
      <c r="E218" s="19"/>
      <c r="F218" s="23">
        <v>42.0</v>
      </c>
      <c r="G218" s="7">
        <f t="shared" si="42"/>
        <v>0</v>
      </c>
    </row>
    <row r="219" ht="15.75" customHeight="1">
      <c r="A219" s="6"/>
      <c r="B219" s="24" t="s">
        <v>10</v>
      </c>
      <c r="C219" s="25"/>
      <c r="D219" s="26">
        <f>SUM(D212:D218)</f>
        <v>0</v>
      </c>
      <c r="E219" s="27" t="s">
        <v>10</v>
      </c>
      <c r="F219" s="28"/>
      <c r="G219" s="29">
        <f>SUM(G212:G218)</f>
        <v>0</v>
      </c>
    </row>
    <row r="220" ht="15.75" customHeight="1">
      <c r="A220" s="31"/>
      <c r="C220" s="28"/>
      <c r="D220" s="24" t="s">
        <v>12</v>
      </c>
      <c r="E220" s="29">
        <f>+D219+G219</f>
        <v>0</v>
      </c>
      <c r="F220" s="28"/>
      <c r="G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10:C10"/>
    <mergeCell ref="B21:C21"/>
    <mergeCell ref="B32:C32"/>
    <mergeCell ref="B43:C43"/>
    <mergeCell ref="B54:C54"/>
    <mergeCell ref="B65:C65"/>
    <mergeCell ref="B76:C76"/>
    <mergeCell ref="B164:C164"/>
    <mergeCell ref="B175:C175"/>
    <mergeCell ref="B186:C186"/>
    <mergeCell ref="B197:C197"/>
    <mergeCell ref="B208:C208"/>
    <mergeCell ref="B219:C219"/>
    <mergeCell ref="B87:C87"/>
    <mergeCell ref="B98:C98"/>
    <mergeCell ref="B109:C109"/>
    <mergeCell ref="B120:C120"/>
    <mergeCell ref="B131:C131"/>
    <mergeCell ref="B142:C142"/>
    <mergeCell ref="B153:C153"/>
  </mergeCells>
  <printOptions/>
  <pageMargins bottom="0.66" footer="0.0" header="0.0" left="0.7" right="0.7" top="0.6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26" width="10.71"/>
  </cols>
  <sheetData>
    <row r="1">
      <c r="A1" s="1" t="s">
        <v>37</v>
      </c>
      <c r="B1" s="2"/>
      <c r="C1" s="2"/>
      <c r="D1" s="2"/>
      <c r="E1" s="3"/>
      <c r="F1" s="3"/>
      <c r="G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3</v>
      </c>
      <c r="G2" s="5" t="s">
        <v>4</v>
      </c>
    </row>
    <row r="3">
      <c r="A3" s="6">
        <v>0.875</v>
      </c>
      <c r="B3" s="7"/>
      <c r="C3" s="8">
        <v>30.875</v>
      </c>
      <c r="D3" s="7">
        <f t="shared" ref="D3:D9" si="1">+B3*C3</f>
        <v>0</v>
      </c>
      <c r="E3" s="7"/>
      <c r="F3" s="7">
        <v>4.2</v>
      </c>
      <c r="G3" s="7">
        <f t="shared" ref="G3:G9" si="2">+E3*F3</f>
        <v>0</v>
      </c>
      <c r="I3" s="9" t="s">
        <v>6</v>
      </c>
    </row>
    <row r="4">
      <c r="A4" s="6">
        <v>1.0</v>
      </c>
      <c r="B4" s="7">
        <f>6+8+3</f>
        <v>17</v>
      </c>
      <c r="C4" s="10">
        <v>34.5</v>
      </c>
      <c r="D4" s="7">
        <f t="shared" si="1"/>
        <v>586.5</v>
      </c>
      <c r="E4" s="7">
        <f>5+8+3</f>
        <v>16</v>
      </c>
      <c r="F4" s="7">
        <v>6.3</v>
      </c>
      <c r="G4" s="7">
        <f t="shared" si="2"/>
        <v>100.8</v>
      </c>
      <c r="I4" s="11" t="s">
        <v>7</v>
      </c>
      <c r="J4" s="12">
        <f>E11+E22+E33+E44+E55+E66+E77+E88+E99+E110+E121+E132</f>
        <v>23720.95</v>
      </c>
    </row>
    <row r="5">
      <c r="A5" s="6">
        <v>1.5</v>
      </c>
      <c r="B5" s="7">
        <f>5+1+5+7+15+11</f>
        <v>44</v>
      </c>
      <c r="C5" s="13">
        <v>51.75</v>
      </c>
      <c r="D5" s="7">
        <f t="shared" si="1"/>
        <v>2277</v>
      </c>
      <c r="E5" s="7">
        <f>4+4+6+15+11</f>
        <v>40</v>
      </c>
      <c r="F5" s="7">
        <v>12.0</v>
      </c>
      <c r="G5" s="7">
        <f t="shared" si="2"/>
        <v>480</v>
      </c>
      <c r="I5" s="14" t="s">
        <v>8</v>
      </c>
      <c r="J5" s="15">
        <f>E143+E154+E165+E176+E187+E198+E209+E220</f>
        <v>0</v>
      </c>
    </row>
    <row r="6">
      <c r="A6" s="6">
        <v>2.0</v>
      </c>
      <c r="B6" s="7">
        <f>1+5+5+12</f>
        <v>23</v>
      </c>
      <c r="C6" s="16">
        <v>69.0</v>
      </c>
      <c r="D6" s="7">
        <f t="shared" si="1"/>
        <v>1587</v>
      </c>
      <c r="E6" s="7">
        <f>1+5+4+12</f>
        <v>22</v>
      </c>
      <c r="F6" s="7">
        <v>19.0</v>
      </c>
      <c r="G6" s="7">
        <f t="shared" si="2"/>
        <v>418</v>
      </c>
      <c r="I6" s="14" t="s">
        <v>9</v>
      </c>
      <c r="J6" s="17">
        <f>+J4+J5</f>
        <v>23720.95</v>
      </c>
    </row>
    <row r="7">
      <c r="A7" s="6">
        <v>2.5</v>
      </c>
      <c r="B7" s="7">
        <f>3</f>
        <v>3</v>
      </c>
      <c r="C7" s="13">
        <v>86.25</v>
      </c>
      <c r="D7" s="7">
        <f t="shared" si="1"/>
        <v>258.75</v>
      </c>
      <c r="E7" s="7">
        <f>1+1</f>
        <v>2</v>
      </c>
      <c r="F7" s="7">
        <v>30.0</v>
      </c>
      <c r="G7" s="7">
        <f t="shared" si="2"/>
        <v>60</v>
      </c>
      <c r="I7" s="14"/>
      <c r="J7" s="18"/>
    </row>
    <row r="8">
      <c r="A8" s="6">
        <v>3.0</v>
      </c>
      <c r="B8" s="19">
        <f>6</f>
        <v>6</v>
      </c>
      <c r="C8" s="7">
        <v>103.5</v>
      </c>
      <c r="D8" s="7">
        <f t="shared" si="1"/>
        <v>621</v>
      </c>
      <c r="E8" s="19">
        <f>5</f>
        <v>5</v>
      </c>
      <c r="F8" s="7">
        <v>36.0</v>
      </c>
      <c r="G8" s="7">
        <f t="shared" si="2"/>
        <v>180</v>
      </c>
      <c r="I8" s="20"/>
      <c r="J8" s="21"/>
    </row>
    <row r="9">
      <c r="A9" s="22">
        <v>3.5</v>
      </c>
      <c r="B9" s="19"/>
      <c r="C9" s="23">
        <v>120.75</v>
      </c>
      <c r="D9" s="7">
        <f t="shared" si="1"/>
        <v>0</v>
      </c>
      <c r="E9" s="19"/>
      <c r="F9" s="23">
        <v>42.0</v>
      </c>
      <c r="G9" s="7">
        <f t="shared" si="2"/>
        <v>0</v>
      </c>
    </row>
    <row r="10">
      <c r="A10" s="6"/>
      <c r="B10" s="24" t="s">
        <v>10</v>
      </c>
      <c r="C10" s="25"/>
      <c r="D10" s="26">
        <f>SUM(D3:D9)</f>
        <v>5330.25</v>
      </c>
      <c r="E10" s="27" t="s">
        <v>10</v>
      </c>
      <c r="F10" s="28"/>
      <c r="G10" s="29">
        <f>SUM(G3:G9)</f>
        <v>1238.8</v>
      </c>
      <c r="I10" s="30" t="s">
        <v>11</v>
      </c>
      <c r="J10" s="7"/>
    </row>
    <row r="11">
      <c r="A11" s="31"/>
      <c r="C11" s="28"/>
      <c r="D11" s="24" t="s">
        <v>12</v>
      </c>
      <c r="E11" s="29">
        <f>+D10+G10</f>
        <v>6569.05</v>
      </c>
      <c r="F11" s="28"/>
      <c r="G11" s="28"/>
      <c r="I11" s="32">
        <v>0.875</v>
      </c>
      <c r="J11" s="33">
        <f t="shared" ref="J11:J17" si="3">D3+G3+D14+G14+D25+G25+D36+G36+D47+G47+D58+G58+D69+G69+D80+G80+D91+G91+D102+G102+D113+G113+D124+G124</f>
        <v>0</v>
      </c>
      <c r="K11" s="34">
        <f>+J11/J4</f>
        <v>0</v>
      </c>
    </row>
    <row r="12">
      <c r="A12" s="1" t="s">
        <v>38</v>
      </c>
      <c r="B12" s="2"/>
      <c r="C12" s="2"/>
      <c r="D12" s="2"/>
      <c r="E12" s="3"/>
      <c r="F12" s="3"/>
      <c r="G12" s="3"/>
      <c r="I12" s="7">
        <v>1.0</v>
      </c>
      <c r="J12" s="33">
        <f t="shared" si="3"/>
        <v>5027.7</v>
      </c>
      <c r="K12" s="34">
        <f>+J12/J4</f>
        <v>0.2119518822</v>
      </c>
    </row>
    <row r="13">
      <c r="A13" s="4" t="s">
        <v>1</v>
      </c>
      <c r="B13" s="5" t="s">
        <v>2</v>
      </c>
      <c r="C13" s="5" t="s">
        <v>3</v>
      </c>
      <c r="D13" s="5" t="s">
        <v>4</v>
      </c>
      <c r="E13" s="5" t="s">
        <v>5</v>
      </c>
      <c r="F13" s="5" t="s">
        <v>3</v>
      </c>
      <c r="G13" s="5" t="s">
        <v>4</v>
      </c>
      <c r="I13" s="32">
        <v>1.5</v>
      </c>
      <c r="J13" s="33">
        <f t="shared" si="3"/>
        <v>6111.75</v>
      </c>
      <c r="K13" s="34">
        <f>+J13/J4</f>
        <v>0.2576519912</v>
      </c>
      <c r="L13" s="34">
        <f>+K11+K12+K13</f>
        <v>0.4696038734</v>
      </c>
    </row>
    <row r="14">
      <c r="A14" s="6">
        <v>0.875</v>
      </c>
      <c r="B14" s="7"/>
      <c r="C14" s="8">
        <v>30.875</v>
      </c>
      <c r="D14" s="7">
        <f t="shared" ref="D14:D20" si="4">+B14*C14</f>
        <v>0</v>
      </c>
      <c r="E14" s="7"/>
      <c r="F14" s="7">
        <v>4.2</v>
      </c>
      <c r="G14" s="7">
        <f t="shared" ref="G14:G20" si="5">+E14*F14</f>
        <v>0</v>
      </c>
      <c r="I14" s="7">
        <v>2.0</v>
      </c>
      <c r="J14" s="33">
        <f t="shared" si="3"/>
        <v>5116</v>
      </c>
      <c r="K14" s="34">
        <f>+J14/J4</f>
        <v>0.2156743301</v>
      </c>
    </row>
    <row r="15">
      <c r="A15" s="6">
        <v>1.0</v>
      </c>
      <c r="B15" s="7">
        <f>7+7+18</f>
        <v>32</v>
      </c>
      <c r="C15" s="10">
        <v>34.5</v>
      </c>
      <c r="D15" s="7">
        <f t="shared" si="4"/>
        <v>1104</v>
      </c>
      <c r="E15" s="7">
        <f>7+7+17</f>
        <v>31</v>
      </c>
      <c r="F15" s="7">
        <v>6.3</v>
      </c>
      <c r="G15" s="7">
        <f t="shared" si="5"/>
        <v>195.3</v>
      </c>
      <c r="I15" s="7">
        <v>2.5</v>
      </c>
      <c r="J15" s="33">
        <f t="shared" si="3"/>
        <v>2205</v>
      </c>
      <c r="K15" s="34">
        <f>+J15/J4</f>
        <v>0.09295580489</v>
      </c>
    </row>
    <row r="16">
      <c r="A16" s="6">
        <v>1.5</v>
      </c>
      <c r="B16" s="7">
        <f>8+5+5+16</f>
        <v>34</v>
      </c>
      <c r="C16" s="13">
        <v>51.75</v>
      </c>
      <c r="D16" s="7">
        <f t="shared" si="4"/>
        <v>1759.5</v>
      </c>
      <c r="E16" s="23">
        <f>8+5+5+15</f>
        <v>33</v>
      </c>
      <c r="F16" s="7">
        <v>12.0</v>
      </c>
      <c r="G16" s="7">
        <f t="shared" si="5"/>
        <v>396</v>
      </c>
      <c r="I16" s="7">
        <v>3.0</v>
      </c>
      <c r="J16" s="33">
        <f t="shared" si="3"/>
        <v>5260.5</v>
      </c>
      <c r="K16" s="34">
        <f>+J16/J4</f>
        <v>0.2217659917</v>
      </c>
      <c r="L16" s="34">
        <f>+K14+K15+K16+K17</f>
        <v>0.5303961266</v>
      </c>
    </row>
    <row r="17">
      <c r="A17" s="6">
        <v>2.0</v>
      </c>
      <c r="B17" s="7">
        <f>4+12</f>
        <v>16</v>
      </c>
      <c r="C17" s="16">
        <v>69.0</v>
      </c>
      <c r="D17" s="7">
        <f t="shared" si="4"/>
        <v>1104</v>
      </c>
      <c r="E17" s="7">
        <f>4+11</f>
        <v>15</v>
      </c>
      <c r="F17" s="7">
        <v>19.0</v>
      </c>
      <c r="G17" s="7">
        <f t="shared" si="5"/>
        <v>285</v>
      </c>
      <c r="I17" s="23">
        <v>3.5</v>
      </c>
      <c r="J17" s="33">
        <f t="shared" si="3"/>
        <v>0</v>
      </c>
      <c r="K17" s="34">
        <f>+J17/J4</f>
        <v>0</v>
      </c>
    </row>
    <row r="18">
      <c r="A18" s="6">
        <v>2.5</v>
      </c>
      <c r="B18" s="7">
        <f>2+2</f>
        <v>4</v>
      </c>
      <c r="C18" s="13">
        <v>86.25</v>
      </c>
      <c r="D18" s="7">
        <f t="shared" si="4"/>
        <v>345</v>
      </c>
      <c r="E18" s="7">
        <f>1+1</f>
        <v>2</v>
      </c>
      <c r="F18" s="7">
        <v>30.0</v>
      </c>
      <c r="G18" s="7">
        <f t="shared" si="5"/>
        <v>60</v>
      </c>
    </row>
    <row r="19">
      <c r="A19" s="6">
        <v>3.0</v>
      </c>
      <c r="B19" s="19">
        <f>5+7+2</f>
        <v>14</v>
      </c>
      <c r="C19" s="7">
        <v>103.5</v>
      </c>
      <c r="D19" s="7">
        <f t="shared" si="4"/>
        <v>1449</v>
      </c>
      <c r="E19" s="19">
        <f>5+6+1</f>
        <v>12</v>
      </c>
      <c r="F19" s="7">
        <v>36.0</v>
      </c>
      <c r="G19" s="7">
        <f t="shared" si="5"/>
        <v>432</v>
      </c>
    </row>
    <row r="20">
      <c r="A20" s="22">
        <v>3.5</v>
      </c>
      <c r="B20" s="19"/>
      <c r="C20" s="23">
        <v>120.75</v>
      </c>
      <c r="D20" s="7">
        <f t="shared" si="4"/>
        <v>0</v>
      </c>
      <c r="E20" s="19"/>
      <c r="F20" s="23">
        <v>42.0</v>
      </c>
      <c r="G20" s="7">
        <f t="shared" si="5"/>
        <v>0</v>
      </c>
      <c r="I20" s="30" t="s">
        <v>14</v>
      </c>
      <c r="J20" s="7"/>
    </row>
    <row r="21" ht="15.75" customHeight="1">
      <c r="A21" s="6"/>
      <c r="B21" s="24" t="s">
        <v>10</v>
      </c>
      <c r="C21" s="25"/>
      <c r="D21" s="26">
        <f>SUM(D14:D20)</f>
        <v>5761.5</v>
      </c>
      <c r="E21" s="27" t="s">
        <v>10</v>
      </c>
      <c r="F21" s="28"/>
      <c r="G21" s="29">
        <f>SUM(G14:G20)</f>
        <v>1368.3</v>
      </c>
      <c r="I21" s="32">
        <v>0.875</v>
      </c>
      <c r="J21" s="35">
        <f t="shared" ref="J21:J27" si="6">D135+G135+D146+G146+D157+G157+D168+G168+D179+G179+D190+G190+D201+G201+D212+G212</f>
        <v>0</v>
      </c>
      <c r="K21" s="34" t="str">
        <f>+J21/J5</f>
        <v>#DIV/0!</v>
      </c>
    </row>
    <row r="22" ht="15.75" customHeight="1">
      <c r="A22" s="31"/>
      <c r="C22" s="28"/>
      <c r="D22" s="24" t="s">
        <v>12</v>
      </c>
      <c r="E22" s="29">
        <f>+D21+G21</f>
        <v>7129.8</v>
      </c>
      <c r="F22" s="28"/>
      <c r="G22" s="28"/>
      <c r="I22" s="7">
        <v>1.0</v>
      </c>
      <c r="J22" s="35">
        <f t="shared" si="6"/>
        <v>0</v>
      </c>
      <c r="K22" s="34" t="str">
        <f>+J22/J5</f>
        <v>#DIV/0!</v>
      </c>
    </row>
    <row r="23" ht="15.75" customHeight="1">
      <c r="A23" s="1" t="s">
        <v>39</v>
      </c>
      <c r="B23" s="2"/>
      <c r="C23" s="2"/>
      <c r="D23" s="2"/>
      <c r="E23" s="3"/>
      <c r="F23" s="3"/>
      <c r="G23" s="3"/>
      <c r="I23" s="32">
        <v>1.5</v>
      </c>
      <c r="J23" s="35">
        <f t="shared" si="6"/>
        <v>0</v>
      </c>
      <c r="K23" s="34" t="str">
        <f>+J23/J5</f>
        <v>#DIV/0!</v>
      </c>
      <c r="L23" s="34" t="str">
        <f>+K21+K22+K23</f>
        <v>#DIV/0!</v>
      </c>
    </row>
    <row r="24" ht="15.75" customHeight="1">
      <c r="A24" s="4" t="s">
        <v>1</v>
      </c>
      <c r="B24" s="5" t="s">
        <v>2</v>
      </c>
      <c r="C24" s="5" t="s">
        <v>3</v>
      </c>
      <c r="D24" s="5" t="s">
        <v>4</v>
      </c>
      <c r="E24" s="5" t="s">
        <v>5</v>
      </c>
      <c r="F24" s="5" t="s">
        <v>3</v>
      </c>
      <c r="G24" s="5" t="s">
        <v>4</v>
      </c>
      <c r="I24" s="7">
        <v>2.0</v>
      </c>
      <c r="J24" s="35">
        <f t="shared" si="6"/>
        <v>0</v>
      </c>
      <c r="K24" s="34" t="str">
        <f>+J24/J5</f>
        <v>#DIV/0!</v>
      </c>
    </row>
    <row r="25" ht="15.75" customHeight="1">
      <c r="A25" s="6">
        <v>0.875</v>
      </c>
      <c r="B25" s="7"/>
      <c r="C25" s="8">
        <v>30.875</v>
      </c>
      <c r="D25" s="7">
        <f t="shared" ref="D25:D31" si="7">+B25*C25</f>
        <v>0</v>
      </c>
      <c r="E25" s="7"/>
      <c r="F25" s="7">
        <v>4.2</v>
      </c>
      <c r="G25" s="7">
        <f t="shared" ref="G25:G31" si="8">+E25*F25</f>
        <v>0</v>
      </c>
      <c r="I25" s="7">
        <v>2.5</v>
      </c>
      <c r="J25" s="35">
        <f t="shared" si="6"/>
        <v>0</v>
      </c>
      <c r="K25" s="34" t="str">
        <f>+J25/J5</f>
        <v>#DIV/0!</v>
      </c>
    </row>
    <row r="26" ht="15.75" customHeight="1">
      <c r="A26" s="6">
        <v>1.0</v>
      </c>
      <c r="B26" s="7">
        <f>6+9+17</f>
        <v>32</v>
      </c>
      <c r="C26" s="10">
        <v>34.5</v>
      </c>
      <c r="D26" s="7">
        <f t="shared" si="7"/>
        <v>1104</v>
      </c>
      <c r="E26" s="7">
        <f>5+16+9</f>
        <v>30</v>
      </c>
      <c r="F26" s="7">
        <v>6.3</v>
      </c>
      <c r="G26" s="7">
        <f t="shared" si="8"/>
        <v>189</v>
      </c>
      <c r="I26" s="7">
        <v>3.0</v>
      </c>
      <c r="J26" s="35">
        <f t="shared" si="6"/>
        <v>0</v>
      </c>
      <c r="K26" s="34" t="str">
        <f>+J26/J5</f>
        <v>#DIV/0!</v>
      </c>
      <c r="L26" s="34" t="str">
        <f>+K24+K25+K26</f>
        <v>#DIV/0!</v>
      </c>
    </row>
    <row r="27" ht="15.75" customHeight="1">
      <c r="A27" s="6">
        <v>1.5</v>
      </c>
      <c r="B27" s="7">
        <f>10</f>
        <v>10</v>
      </c>
      <c r="C27" s="13">
        <v>51.75</v>
      </c>
      <c r="D27" s="7">
        <f t="shared" si="7"/>
        <v>517.5</v>
      </c>
      <c r="E27" s="23">
        <v>10.0</v>
      </c>
      <c r="F27" s="7">
        <v>12.0</v>
      </c>
      <c r="G27" s="7">
        <f t="shared" si="8"/>
        <v>120</v>
      </c>
      <c r="I27" s="23">
        <v>3.5</v>
      </c>
      <c r="J27" s="35">
        <f t="shared" si="6"/>
        <v>0</v>
      </c>
    </row>
    <row r="28" ht="15.75" customHeight="1">
      <c r="A28" s="6">
        <v>2.0</v>
      </c>
      <c r="B28" s="7">
        <f>11+1</f>
        <v>12</v>
      </c>
      <c r="C28" s="16">
        <v>69.0</v>
      </c>
      <c r="D28" s="7">
        <f t="shared" si="7"/>
        <v>828</v>
      </c>
      <c r="E28" s="23">
        <v>11.0</v>
      </c>
      <c r="F28" s="7">
        <v>19.0</v>
      </c>
      <c r="G28" s="7">
        <f t="shared" si="8"/>
        <v>209</v>
      </c>
    </row>
    <row r="29" ht="15.75" customHeight="1">
      <c r="A29" s="6">
        <v>2.5</v>
      </c>
      <c r="B29" s="7">
        <f>1</f>
        <v>1</v>
      </c>
      <c r="C29" s="13">
        <v>86.25</v>
      </c>
      <c r="D29" s="7">
        <f t="shared" si="7"/>
        <v>86.25</v>
      </c>
      <c r="E29" s="23">
        <v>1.0</v>
      </c>
      <c r="F29" s="7">
        <v>30.0</v>
      </c>
      <c r="G29" s="7">
        <f t="shared" si="8"/>
        <v>30</v>
      </c>
      <c r="I29" s="36" t="s">
        <v>16</v>
      </c>
      <c r="J29" s="36"/>
      <c r="K29" s="37"/>
      <c r="L29" s="41">
        <f>+J11+J12+J13+J21+J22+J23</f>
        <v>11139.45</v>
      </c>
    </row>
    <row r="30" ht="15.75" customHeight="1">
      <c r="A30" s="6">
        <v>3.0</v>
      </c>
      <c r="B30" s="19">
        <f>15</f>
        <v>15</v>
      </c>
      <c r="C30" s="7">
        <v>103.5</v>
      </c>
      <c r="D30" s="7">
        <f t="shared" si="7"/>
        <v>1552.5</v>
      </c>
      <c r="E30" s="42">
        <v>14.0</v>
      </c>
      <c r="F30" s="7">
        <v>36.0</v>
      </c>
      <c r="G30" s="7">
        <f t="shared" si="8"/>
        <v>504</v>
      </c>
      <c r="I30" s="36" t="s">
        <v>17</v>
      </c>
      <c r="J30" s="36"/>
      <c r="K30" s="36"/>
      <c r="L30" s="43">
        <f>+J14+J15+J16+J24+J25+J26</f>
        <v>12581.5</v>
      </c>
    </row>
    <row r="31" ht="15.75" customHeight="1">
      <c r="A31" s="22">
        <v>3.5</v>
      </c>
      <c r="B31" s="19"/>
      <c r="C31" s="23">
        <v>120.75</v>
      </c>
      <c r="D31" s="7">
        <f t="shared" si="7"/>
        <v>0</v>
      </c>
      <c r="E31" s="19"/>
      <c r="F31" s="23">
        <v>42.0</v>
      </c>
      <c r="G31" s="7">
        <f t="shared" si="8"/>
        <v>0</v>
      </c>
      <c r="I31" s="36" t="s">
        <v>18</v>
      </c>
      <c r="J31" s="36"/>
      <c r="K31" s="7"/>
      <c r="L31" s="39">
        <f>+L29/J6</f>
        <v>0.4696038734</v>
      </c>
    </row>
    <row r="32" ht="15.75" customHeight="1">
      <c r="A32" s="6"/>
      <c r="B32" s="24" t="s">
        <v>10</v>
      </c>
      <c r="C32" s="25"/>
      <c r="D32" s="26">
        <f>SUM(D25:D31)</f>
        <v>4088.25</v>
      </c>
      <c r="E32" s="27" t="s">
        <v>10</v>
      </c>
      <c r="F32" s="28"/>
      <c r="G32" s="29">
        <f>SUM(G25:G31)</f>
        <v>1052</v>
      </c>
      <c r="I32" s="36" t="s">
        <v>19</v>
      </c>
      <c r="J32" s="36"/>
      <c r="K32" s="7"/>
      <c r="L32" s="39">
        <f>+L30/J6</f>
        <v>0.5303961266</v>
      </c>
    </row>
    <row r="33" ht="15.75" customHeight="1">
      <c r="A33" s="31"/>
      <c r="C33" s="28"/>
      <c r="D33" s="24" t="s">
        <v>12</v>
      </c>
      <c r="E33" s="29">
        <f>+D32+G32</f>
        <v>5140.25</v>
      </c>
      <c r="F33" s="28"/>
      <c r="G33" s="28"/>
    </row>
    <row r="34" ht="15.75" customHeight="1">
      <c r="A34" s="1" t="s">
        <v>40</v>
      </c>
      <c r="B34" s="2"/>
      <c r="C34" s="2"/>
      <c r="D34" s="2"/>
      <c r="E34" s="3"/>
      <c r="F34" s="3"/>
      <c r="G34" s="3"/>
    </row>
    <row r="35" ht="15.75" customHeight="1">
      <c r="A35" s="4" t="s">
        <v>1</v>
      </c>
      <c r="B35" s="5" t="s">
        <v>2</v>
      </c>
      <c r="C35" s="5" t="s">
        <v>3</v>
      </c>
      <c r="D35" s="5" t="s">
        <v>4</v>
      </c>
      <c r="E35" s="5" t="s">
        <v>5</v>
      </c>
      <c r="F35" s="5" t="s">
        <v>3</v>
      </c>
      <c r="G35" s="5" t="s">
        <v>4</v>
      </c>
    </row>
    <row r="36" ht="15.75" customHeight="1">
      <c r="A36" s="6">
        <v>0.875</v>
      </c>
      <c r="B36" s="7"/>
      <c r="C36" s="8">
        <v>30.875</v>
      </c>
      <c r="D36" s="7">
        <f t="shared" ref="D36:D42" si="9">+B36*C36</f>
        <v>0</v>
      </c>
      <c r="E36" s="7"/>
      <c r="F36" s="7">
        <v>4.2</v>
      </c>
      <c r="G36" s="7">
        <f t="shared" ref="G36:G42" si="10">+E36*F36</f>
        <v>0</v>
      </c>
    </row>
    <row r="37" ht="15.75" customHeight="1">
      <c r="A37" s="6">
        <v>1.0</v>
      </c>
      <c r="B37" s="7">
        <f>8+10+17+5+3</f>
        <v>43</v>
      </c>
      <c r="C37" s="10">
        <v>34.5</v>
      </c>
      <c r="D37" s="7">
        <f t="shared" si="9"/>
        <v>1483.5</v>
      </c>
      <c r="E37" s="7">
        <f>7+10+17+5+3</f>
        <v>42</v>
      </c>
      <c r="F37" s="7">
        <v>6.3</v>
      </c>
      <c r="G37" s="7">
        <f t="shared" si="10"/>
        <v>264.6</v>
      </c>
    </row>
    <row r="38" ht="15.75" customHeight="1">
      <c r="A38" s="6">
        <v>1.5</v>
      </c>
      <c r="B38" s="7">
        <f>1+6+2</f>
        <v>9</v>
      </c>
      <c r="C38" s="13">
        <v>51.75</v>
      </c>
      <c r="D38" s="7">
        <f t="shared" si="9"/>
        <v>465.75</v>
      </c>
      <c r="E38" s="7">
        <f>1+5+2</f>
        <v>8</v>
      </c>
      <c r="F38" s="7">
        <v>12.0</v>
      </c>
      <c r="G38" s="7">
        <f t="shared" si="10"/>
        <v>96</v>
      </c>
    </row>
    <row r="39" ht="15.75" customHeight="1">
      <c r="A39" s="6">
        <v>2.0</v>
      </c>
      <c r="B39" s="7">
        <f>3+4+1</f>
        <v>8</v>
      </c>
      <c r="C39" s="16">
        <v>69.0</v>
      </c>
      <c r="D39" s="7">
        <f t="shared" si="9"/>
        <v>552</v>
      </c>
      <c r="E39" s="7">
        <f>2+4+1</f>
        <v>7</v>
      </c>
      <c r="F39" s="7">
        <v>19.0</v>
      </c>
      <c r="G39" s="7">
        <f t="shared" si="10"/>
        <v>133</v>
      </c>
    </row>
    <row r="40" ht="15.75" customHeight="1">
      <c r="A40" s="6">
        <v>2.5</v>
      </c>
      <c r="B40" s="7">
        <f>9+3</f>
        <v>12</v>
      </c>
      <c r="C40" s="13">
        <v>86.25</v>
      </c>
      <c r="D40" s="7">
        <f t="shared" si="9"/>
        <v>1035</v>
      </c>
      <c r="E40" s="7">
        <f>9+2</f>
        <v>11</v>
      </c>
      <c r="F40" s="7">
        <v>30.0</v>
      </c>
      <c r="G40" s="7">
        <f t="shared" si="10"/>
        <v>330</v>
      </c>
    </row>
    <row r="41" ht="15.75" customHeight="1">
      <c r="A41" s="6">
        <v>3.0</v>
      </c>
      <c r="B41" s="19">
        <f>1+3</f>
        <v>4</v>
      </c>
      <c r="C41" s="7">
        <v>103.5</v>
      </c>
      <c r="D41" s="7">
        <f t="shared" si="9"/>
        <v>414</v>
      </c>
      <c r="E41" s="19">
        <f>3</f>
        <v>3</v>
      </c>
      <c r="F41" s="7">
        <v>36.0</v>
      </c>
      <c r="G41" s="7">
        <f t="shared" si="10"/>
        <v>108</v>
      </c>
    </row>
    <row r="42" ht="15.75" customHeight="1">
      <c r="A42" s="22">
        <v>3.5</v>
      </c>
      <c r="B42" s="19"/>
      <c r="C42" s="23">
        <v>120.75</v>
      </c>
      <c r="D42" s="7">
        <f t="shared" si="9"/>
        <v>0</v>
      </c>
      <c r="E42" s="19"/>
      <c r="F42" s="23">
        <v>42.0</v>
      </c>
      <c r="G42" s="7">
        <f t="shared" si="10"/>
        <v>0</v>
      </c>
    </row>
    <row r="43" ht="15.75" customHeight="1">
      <c r="A43" s="6"/>
      <c r="B43" s="24" t="s">
        <v>10</v>
      </c>
      <c r="C43" s="25"/>
      <c r="D43" s="26">
        <f>SUM(D36:D42)</f>
        <v>3950.25</v>
      </c>
      <c r="E43" s="27" t="s">
        <v>10</v>
      </c>
      <c r="F43" s="28"/>
      <c r="G43" s="29">
        <f>SUM(G36:G42)</f>
        <v>931.6</v>
      </c>
    </row>
    <row r="44" ht="15.75" customHeight="1">
      <c r="A44" s="31"/>
      <c r="C44" s="28"/>
      <c r="D44" s="24" t="s">
        <v>12</v>
      </c>
      <c r="E44" s="29">
        <f>+D43+G43</f>
        <v>4881.85</v>
      </c>
      <c r="F44" s="28"/>
      <c r="G44" s="28"/>
    </row>
    <row r="45" ht="15.75" customHeight="1">
      <c r="A45" s="40" t="s">
        <v>21</v>
      </c>
      <c r="B45" s="2"/>
      <c r="C45" s="2"/>
      <c r="D45" s="2"/>
      <c r="E45" s="3"/>
      <c r="F45" s="3"/>
      <c r="G45" s="3"/>
    </row>
    <row r="46" ht="15.75" customHeight="1">
      <c r="A46" s="4" t="s">
        <v>1</v>
      </c>
      <c r="B46" s="5" t="s">
        <v>2</v>
      </c>
      <c r="C46" s="5" t="s">
        <v>3</v>
      </c>
      <c r="D46" s="5" t="s">
        <v>4</v>
      </c>
      <c r="E46" s="5" t="s">
        <v>5</v>
      </c>
      <c r="F46" s="5" t="s">
        <v>3</v>
      </c>
      <c r="G46" s="5" t="s">
        <v>4</v>
      </c>
    </row>
    <row r="47" ht="15.75" customHeight="1">
      <c r="A47" s="6">
        <v>0.875</v>
      </c>
      <c r="B47" s="7"/>
      <c r="C47" s="8">
        <v>30.875</v>
      </c>
      <c r="D47" s="7">
        <f t="shared" ref="D47:D53" si="11">+B47*C47</f>
        <v>0</v>
      </c>
      <c r="E47" s="7"/>
      <c r="F47" s="7">
        <v>4.2</v>
      </c>
      <c r="G47" s="7">
        <f t="shared" ref="G47:G53" si="12">+E47*F47</f>
        <v>0</v>
      </c>
    </row>
    <row r="48" ht="15.75" customHeight="1">
      <c r="A48" s="6">
        <v>1.0</v>
      </c>
      <c r="B48" s="7"/>
      <c r="C48" s="10">
        <v>34.5</v>
      </c>
      <c r="D48" s="7">
        <f t="shared" si="11"/>
        <v>0</v>
      </c>
      <c r="E48" s="7"/>
      <c r="F48" s="7">
        <v>6.3</v>
      </c>
      <c r="G48" s="7">
        <f t="shared" si="12"/>
        <v>0</v>
      </c>
    </row>
    <row r="49" ht="15.75" customHeight="1">
      <c r="A49" s="6">
        <v>1.5</v>
      </c>
      <c r="B49" s="7"/>
      <c r="C49" s="13">
        <v>51.75</v>
      </c>
      <c r="D49" s="7">
        <f t="shared" si="11"/>
        <v>0</v>
      </c>
      <c r="E49" s="7"/>
      <c r="F49" s="7">
        <v>12.0</v>
      </c>
      <c r="G49" s="7">
        <f t="shared" si="12"/>
        <v>0</v>
      </c>
    </row>
    <row r="50" ht="15.75" customHeight="1">
      <c r="A50" s="6">
        <v>2.0</v>
      </c>
      <c r="B50" s="7"/>
      <c r="C50" s="16">
        <v>69.0</v>
      </c>
      <c r="D50" s="7">
        <f t="shared" si="11"/>
        <v>0</v>
      </c>
      <c r="E50" s="7"/>
      <c r="F50" s="7">
        <v>19.0</v>
      </c>
      <c r="G50" s="7">
        <f t="shared" si="12"/>
        <v>0</v>
      </c>
    </row>
    <row r="51" ht="15.75" customHeight="1">
      <c r="A51" s="6">
        <v>2.5</v>
      </c>
      <c r="B51" s="7"/>
      <c r="C51" s="13">
        <v>86.25</v>
      </c>
      <c r="D51" s="7">
        <f t="shared" si="11"/>
        <v>0</v>
      </c>
      <c r="E51" s="7"/>
      <c r="F51" s="7">
        <v>30.0</v>
      </c>
      <c r="G51" s="7">
        <f t="shared" si="12"/>
        <v>0</v>
      </c>
    </row>
    <row r="52" ht="15.75" customHeight="1">
      <c r="A52" s="6">
        <v>3.0</v>
      </c>
      <c r="B52" s="19"/>
      <c r="C52" s="7">
        <v>103.5</v>
      </c>
      <c r="D52" s="7">
        <f t="shared" si="11"/>
        <v>0</v>
      </c>
      <c r="E52" s="19"/>
      <c r="F52" s="7">
        <v>36.0</v>
      </c>
      <c r="G52" s="7">
        <f t="shared" si="12"/>
        <v>0</v>
      </c>
    </row>
    <row r="53" ht="15.75" customHeight="1">
      <c r="A53" s="22">
        <v>3.5</v>
      </c>
      <c r="B53" s="19"/>
      <c r="C53" s="23">
        <v>120.75</v>
      </c>
      <c r="D53" s="7">
        <f t="shared" si="11"/>
        <v>0</v>
      </c>
      <c r="E53" s="19"/>
      <c r="F53" s="23">
        <v>42.0</v>
      </c>
      <c r="G53" s="7">
        <f t="shared" si="12"/>
        <v>0</v>
      </c>
    </row>
    <row r="54" ht="15.75" customHeight="1">
      <c r="A54" s="6"/>
      <c r="B54" s="24" t="s">
        <v>10</v>
      </c>
      <c r="C54" s="25"/>
      <c r="D54" s="26">
        <f>SUM(D47:D53)</f>
        <v>0</v>
      </c>
      <c r="E54" s="27" t="s">
        <v>10</v>
      </c>
      <c r="F54" s="28"/>
      <c r="G54" s="29">
        <f>SUM(G47:G53)</f>
        <v>0</v>
      </c>
    </row>
    <row r="55" ht="15.75" customHeight="1">
      <c r="A55" s="31"/>
      <c r="C55" s="28"/>
      <c r="D55" s="24" t="s">
        <v>12</v>
      </c>
      <c r="E55" s="29">
        <f>+D54+G54</f>
        <v>0</v>
      </c>
      <c r="F55" s="28"/>
      <c r="G55" s="28"/>
    </row>
    <row r="56" ht="15.75" customHeight="1">
      <c r="A56" s="40" t="s">
        <v>22</v>
      </c>
      <c r="B56" s="2"/>
      <c r="C56" s="2"/>
      <c r="D56" s="2"/>
      <c r="E56" s="3"/>
      <c r="F56" s="3"/>
      <c r="G56" s="3"/>
    </row>
    <row r="57" ht="15.75" customHeight="1">
      <c r="A57" s="4" t="s">
        <v>1</v>
      </c>
      <c r="B57" s="5" t="s">
        <v>2</v>
      </c>
      <c r="C57" s="5" t="s">
        <v>3</v>
      </c>
      <c r="D57" s="5" t="s">
        <v>4</v>
      </c>
      <c r="E57" s="5" t="s">
        <v>5</v>
      </c>
      <c r="F57" s="5" t="s">
        <v>3</v>
      </c>
      <c r="G57" s="5" t="s">
        <v>4</v>
      </c>
    </row>
    <row r="58" ht="15.75" customHeight="1">
      <c r="A58" s="6">
        <v>0.875</v>
      </c>
      <c r="B58" s="7"/>
      <c r="C58" s="8">
        <v>30.875</v>
      </c>
      <c r="D58" s="7">
        <f t="shared" ref="D58:D64" si="13">+B58*C58</f>
        <v>0</v>
      </c>
      <c r="E58" s="7"/>
      <c r="F58" s="7">
        <v>4.2</v>
      </c>
      <c r="G58" s="7">
        <f t="shared" ref="G58:G64" si="14">+E58*F58</f>
        <v>0</v>
      </c>
    </row>
    <row r="59" ht="15.75" customHeight="1">
      <c r="A59" s="6">
        <v>1.0</v>
      </c>
      <c r="B59" s="7"/>
      <c r="C59" s="10">
        <v>34.5</v>
      </c>
      <c r="D59" s="7">
        <f t="shared" si="13"/>
        <v>0</v>
      </c>
      <c r="E59" s="7"/>
      <c r="F59" s="7">
        <v>6.3</v>
      </c>
      <c r="G59" s="7">
        <f t="shared" si="14"/>
        <v>0</v>
      </c>
    </row>
    <row r="60" ht="15.75" customHeight="1">
      <c r="A60" s="6">
        <v>1.5</v>
      </c>
      <c r="B60" s="7"/>
      <c r="C60" s="13">
        <v>51.75</v>
      </c>
      <c r="D60" s="7">
        <f t="shared" si="13"/>
        <v>0</v>
      </c>
      <c r="E60" s="7"/>
      <c r="F60" s="7">
        <v>12.0</v>
      </c>
      <c r="G60" s="7">
        <f t="shared" si="14"/>
        <v>0</v>
      </c>
    </row>
    <row r="61" ht="15.75" customHeight="1">
      <c r="A61" s="6">
        <v>2.0</v>
      </c>
      <c r="B61" s="7"/>
      <c r="C61" s="16">
        <v>69.0</v>
      </c>
      <c r="D61" s="7">
        <f t="shared" si="13"/>
        <v>0</v>
      </c>
      <c r="E61" s="7"/>
      <c r="F61" s="7">
        <v>19.0</v>
      </c>
      <c r="G61" s="7">
        <f t="shared" si="14"/>
        <v>0</v>
      </c>
    </row>
    <row r="62" ht="15.75" customHeight="1">
      <c r="A62" s="6">
        <v>2.5</v>
      </c>
      <c r="B62" s="7"/>
      <c r="C62" s="13">
        <v>86.25</v>
      </c>
      <c r="D62" s="7">
        <f t="shared" si="13"/>
        <v>0</v>
      </c>
      <c r="E62" s="7"/>
      <c r="F62" s="7">
        <v>30.0</v>
      </c>
      <c r="G62" s="7">
        <f t="shared" si="14"/>
        <v>0</v>
      </c>
    </row>
    <row r="63" ht="15.75" customHeight="1">
      <c r="A63" s="6">
        <v>3.0</v>
      </c>
      <c r="B63" s="19"/>
      <c r="C63" s="7">
        <v>103.5</v>
      </c>
      <c r="D63" s="7">
        <f t="shared" si="13"/>
        <v>0</v>
      </c>
      <c r="E63" s="19"/>
      <c r="F63" s="7">
        <v>36.0</v>
      </c>
      <c r="G63" s="7">
        <f t="shared" si="14"/>
        <v>0</v>
      </c>
    </row>
    <row r="64" ht="15.75" customHeight="1">
      <c r="A64" s="22">
        <v>3.5</v>
      </c>
      <c r="B64" s="19"/>
      <c r="C64" s="23">
        <v>120.75</v>
      </c>
      <c r="D64" s="7">
        <f t="shared" si="13"/>
        <v>0</v>
      </c>
      <c r="E64" s="19"/>
      <c r="F64" s="23">
        <v>42.0</v>
      </c>
      <c r="G64" s="7">
        <f t="shared" si="14"/>
        <v>0</v>
      </c>
    </row>
    <row r="65" ht="15.75" customHeight="1">
      <c r="A65" s="6"/>
      <c r="B65" s="24" t="s">
        <v>10</v>
      </c>
      <c r="C65" s="25"/>
      <c r="D65" s="26">
        <f>SUM(D58:D64)</f>
        <v>0</v>
      </c>
      <c r="E65" s="27" t="s">
        <v>10</v>
      </c>
      <c r="F65" s="28"/>
      <c r="G65" s="29">
        <f>SUM(G57:G64)</f>
        <v>0</v>
      </c>
    </row>
    <row r="66" ht="15.75" customHeight="1">
      <c r="A66" s="31"/>
      <c r="C66" s="28"/>
      <c r="D66" s="24" t="s">
        <v>12</v>
      </c>
      <c r="E66" s="29">
        <f>+D65+G65</f>
        <v>0</v>
      </c>
      <c r="F66" s="28"/>
      <c r="G66" s="28"/>
    </row>
    <row r="67" ht="15.75" customHeight="1">
      <c r="A67" s="40" t="s">
        <v>23</v>
      </c>
      <c r="B67" s="2"/>
      <c r="C67" s="2"/>
      <c r="D67" s="2"/>
      <c r="E67" s="3"/>
      <c r="F67" s="3"/>
      <c r="G67" s="3"/>
    </row>
    <row r="68" ht="15.75" customHeight="1">
      <c r="A68" s="4" t="s">
        <v>1</v>
      </c>
      <c r="B68" s="5" t="s">
        <v>2</v>
      </c>
      <c r="C68" s="5" t="s">
        <v>3</v>
      </c>
      <c r="D68" s="5" t="s">
        <v>4</v>
      </c>
      <c r="E68" s="5" t="s">
        <v>5</v>
      </c>
      <c r="F68" s="5" t="s">
        <v>3</v>
      </c>
      <c r="G68" s="5" t="s">
        <v>4</v>
      </c>
    </row>
    <row r="69" ht="15.75" customHeight="1">
      <c r="A69" s="6">
        <v>0.875</v>
      </c>
      <c r="B69" s="7"/>
      <c r="C69" s="8">
        <v>30.875</v>
      </c>
      <c r="D69" s="7">
        <f t="shared" ref="D69:D75" si="15">+B69*C69</f>
        <v>0</v>
      </c>
      <c r="E69" s="7"/>
      <c r="F69" s="7">
        <v>4.2</v>
      </c>
      <c r="G69" s="7">
        <f t="shared" ref="G69:G75" si="16">+E69*F69</f>
        <v>0</v>
      </c>
    </row>
    <row r="70" ht="15.75" customHeight="1">
      <c r="A70" s="6">
        <v>1.0</v>
      </c>
      <c r="B70" s="7"/>
      <c r="C70" s="10">
        <v>34.5</v>
      </c>
      <c r="D70" s="7">
        <f t="shared" si="15"/>
        <v>0</v>
      </c>
      <c r="E70" s="7"/>
      <c r="F70" s="7">
        <v>6.3</v>
      </c>
      <c r="G70" s="7">
        <f t="shared" si="16"/>
        <v>0</v>
      </c>
    </row>
    <row r="71" ht="15.75" customHeight="1">
      <c r="A71" s="6">
        <v>1.5</v>
      </c>
      <c r="B71" s="7"/>
      <c r="C71" s="13">
        <v>51.75</v>
      </c>
      <c r="D71" s="7">
        <f t="shared" si="15"/>
        <v>0</v>
      </c>
      <c r="E71" s="7"/>
      <c r="F71" s="7">
        <v>12.0</v>
      </c>
      <c r="G71" s="7">
        <f t="shared" si="16"/>
        <v>0</v>
      </c>
    </row>
    <row r="72" ht="15.75" customHeight="1">
      <c r="A72" s="6">
        <v>2.0</v>
      </c>
      <c r="B72" s="7"/>
      <c r="C72" s="16">
        <v>69.0</v>
      </c>
      <c r="D72" s="7">
        <f t="shared" si="15"/>
        <v>0</v>
      </c>
      <c r="E72" s="7"/>
      <c r="F72" s="7">
        <v>19.0</v>
      </c>
      <c r="G72" s="7">
        <f t="shared" si="16"/>
        <v>0</v>
      </c>
    </row>
    <row r="73" ht="15.75" customHeight="1">
      <c r="A73" s="6">
        <v>2.5</v>
      </c>
      <c r="B73" s="7"/>
      <c r="C73" s="13">
        <v>86.25</v>
      </c>
      <c r="D73" s="7">
        <f t="shared" si="15"/>
        <v>0</v>
      </c>
      <c r="E73" s="7"/>
      <c r="F73" s="7">
        <v>30.0</v>
      </c>
      <c r="G73" s="7">
        <f t="shared" si="16"/>
        <v>0</v>
      </c>
    </row>
    <row r="74" ht="15.75" customHeight="1">
      <c r="A74" s="6">
        <v>3.0</v>
      </c>
      <c r="B74" s="19"/>
      <c r="C74" s="7">
        <v>103.5</v>
      </c>
      <c r="D74" s="7">
        <f t="shared" si="15"/>
        <v>0</v>
      </c>
      <c r="E74" s="19"/>
      <c r="F74" s="7">
        <v>36.0</v>
      </c>
      <c r="G74" s="7">
        <f t="shared" si="16"/>
        <v>0</v>
      </c>
    </row>
    <row r="75" ht="15.75" customHeight="1">
      <c r="A75" s="22">
        <v>3.5</v>
      </c>
      <c r="B75" s="19"/>
      <c r="C75" s="23">
        <v>120.75</v>
      </c>
      <c r="D75" s="7">
        <f t="shared" si="15"/>
        <v>0</v>
      </c>
      <c r="E75" s="19"/>
      <c r="F75" s="23">
        <v>42.0</v>
      </c>
      <c r="G75" s="7">
        <f t="shared" si="16"/>
        <v>0</v>
      </c>
    </row>
    <row r="76" ht="15.75" customHeight="1">
      <c r="A76" s="6"/>
      <c r="B76" s="24" t="s">
        <v>10</v>
      </c>
      <c r="C76" s="25"/>
      <c r="D76" s="26">
        <f>SUM(D69:D75)</f>
        <v>0</v>
      </c>
      <c r="E76" s="27" t="s">
        <v>10</v>
      </c>
      <c r="F76" s="28"/>
      <c r="G76" s="29">
        <f>SUM(G69:G75)</f>
        <v>0</v>
      </c>
    </row>
    <row r="77" ht="15.75" customHeight="1">
      <c r="A77" s="31"/>
      <c r="C77" s="28"/>
      <c r="D77" s="24" t="s">
        <v>12</v>
      </c>
      <c r="E77" s="29">
        <f>+D76+G76</f>
        <v>0</v>
      </c>
      <c r="F77" s="28"/>
      <c r="G77" s="28"/>
    </row>
    <row r="78" ht="15.75" customHeight="1">
      <c r="A78" s="40" t="s">
        <v>24</v>
      </c>
      <c r="B78" s="2"/>
      <c r="C78" s="2"/>
      <c r="D78" s="2"/>
      <c r="E78" s="3"/>
      <c r="F78" s="3"/>
      <c r="G78" s="3"/>
    </row>
    <row r="79" ht="15.75" customHeight="1">
      <c r="A79" s="4" t="s">
        <v>1</v>
      </c>
      <c r="B79" s="5" t="s">
        <v>2</v>
      </c>
      <c r="C79" s="5" t="s">
        <v>3</v>
      </c>
      <c r="D79" s="5" t="s">
        <v>4</v>
      </c>
      <c r="E79" s="5" t="s">
        <v>5</v>
      </c>
      <c r="F79" s="5" t="s">
        <v>3</v>
      </c>
      <c r="G79" s="5" t="s">
        <v>4</v>
      </c>
    </row>
    <row r="80" ht="15.75" customHeight="1">
      <c r="A80" s="6">
        <v>0.875</v>
      </c>
      <c r="B80" s="7"/>
      <c r="C80" s="8">
        <v>30.875</v>
      </c>
      <c r="D80" s="7">
        <f t="shared" ref="D80:D86" si="17">+B80*C80</f>
        <v>0</v>
      </c>
      <c r="E80" s="7"/>
      <c r="F80" s="7">
        <v>4.2</v>
      </c>
      <c r="G80" s="7">
        <f t="shared" ref="G80:G86" si="18">+E80*F80</f>
        <v>0</v>
      </c>
    </row>
    <row r="81" ht="15.75" customHeight="1">
      <c r="A81" s="6">
        <v>1.0</v>
      </c>
      <c r="B81" s="7"/>
      <c r="C81" s="10">
        <v>34.5</v>
      </c>
      <c r="D81" s="7">
        <f t="shared" si="17"/>
        <v>0</v>
      </c>
      <c r="E81" s="7"/>
      <c r="F81" s="7">
        <v>6.3</v>
      </c>
      <c r="G81" s="7">
        <f t="shared" si="18"/>
        <v>0</v>
      </c>
    </row>
    <row r="82" ht="15.75" customHeight="1">
      <c r="A82" s="6">
        <v>1.5</v>
      </c>
      <c r="B82" s="7"/>
      <c r="C82" s="13">
        <v>51.75</v>
      </c>
      <c r="D82" s="7">
        <f t="shared" si="17"/>
        <v>0</v>
      </c>
      <c r="E82" s="7"/>
      <c r="F82" s="7">
        <v>12.0</v>
      </c>
      <c r="G82" s="7">
        <f t="shared" si="18"/>
        <v>0</v>
      </c>
    </row>
    <row r="83" ht="15.75" customHeight="1">
      <c r="A83" s="6">
        <v>2.0</v>
      </c>
      <c r="B83" s="7"/>
      <c r="C83" s="16">
        <v>69.0</v>
      </c>
      <c r="D83" s="7">
        <f t="shared" si="17"/>
        <v>0</v>
      </c>
      <c r="E83" s="7"/>
      <c r="F83" s="7">
        <v>19.0</v>
      </c>
      <c r="G83" s="7">
        <f t="shared" si="18"/>
        <v>0</v>
      </c>
    </row>
    <row r="84" ht="15.75" customHeight="1">
      <c r="A84" s="6">
        <v>2.5</v>
      </c>
      <c r="B84" s="7"/>
      <c r="C84" s="13">
        <v>86.25</v>
      </c>
      <c r="D84" s="7">
        <f t="shared" si="17"/>
        <v>0</v>
      </c>
      <c r="E84" s="7"/>
      <c r="F84" s="7">
        <v>30.0</v>
      </c>
      <c r="G84" s="7">
        <f t="shared" si="18"/>
        <v>0</v>
      </c>
    </row>
    <row r="85" ht="15.75" customHeight="1">
      <c r="A85" s="6">
        <v>3.0</v>
      </c>
      <c r="B85" s="19"/>
      <c r="C85" s="7">
        <v>103.5</v>
      </c>
      <c r="D85" s="7">
        <f t="shared" si="17"/>
        <v>0</v>
      </c>
      <c r="E85" s="19"/>
      <c r="F85" s="7">
        <v>36.0</v>
      </c>
      <c r="G85" s="7">
        <f t="shared" si="18"/>
        <v>0</v>
      </c>
    </row>
    <row r="86" ht="15.75" customHeight="1">
      <c r="A86" s="22">
        <v>3.5</v>
      </c>
      <c r="B86" s="19"/>
      <c r="C86" s="23">
        <v>120.75</v>
      </c>
      <c r="D86" s="7">
        <f t="shared" si="17"/>
        <v>0</v>
      </c>
      <c r="E86" s="19"/>
      <c r="F86" s="23">
        <v>42.0</v>
      </c>
      <c r="G86" s="7">
        <f t="shared" si="18"/>
        <v>0</v>
      </c>
    </row>
    <row r="87" ht="15.75" customHeight="1">
      <c r="A87" s="6"/>
      <c r="B87" s="24" t="s">
        <v>10</v>
      </c>
      <c r="C87" s="25"/>
      <c r="D87" s="26">
        <f>SUM(D80:D86)</f>
        <v>0</v>
      </c>
      <c r="E87" s="27" t="s">
        <v>10</v>
      </c>
      <c r="F87" s="28"/>
      <c r="G87" s="29">
        <f>SUM(G80:G86)</f>
        <v>0</v>
      </c>
    </row>
    <row r="88" ht="15.75" customHeight="1">
      <c r="A88" s="31"/>
      <c r="C88" s="28"/>
      <c r="D88" s="24" t="s">
        <v>12</v>
      </c>
      <c r="E88" s="29">
        <f>+D87+G87</f>
        <v>0</v>
      </c>
      <c r="F88" s="28"/>
      <c r="G88" s="28"/>
    </row>
    <row r="89" ht="15.75" customHeight="1">
      <c r="A89" s="40" t="s">
        <v>25</v>
      </c>
      <c r="B89" s="2"/>
      <c r="C89" s="2"/>
      <c r="D89" s="2"/>
      <c r="E89" s="3"/>
      <c r="F89" s="3"/>
      <c r="G89" s="3"/>
    </row>
    <row r="90" ht="15.75" customHeight="1">
      <c r="A90" s="4" t="s">
        <v>1</v>
      </c>
      <c r="B90" s="5" t="s">
        <v>2</v>
      </c>
      <c r="C90" s="5" t="s">
        <v>3</v>
      </c>
      <c r="D90" s="5" t="s">
        <v>4</v>
      </c>
      <c r="E90" s="5" t="s">
        <v>5</v>
      </c>
      <c r="F90" s="5" t="s">
        <v>3</v>
      </c>
      <c r="G90" s="5" t="s">
        <v>4</v>
      </c>
    </row>
    <row r="91" ht="15.75" customHeight="1">
      <c r="A91" s="6">
        <v>0.875</v>
      </c>
      <c r="B91" s="7"/>
      <c r="C91" s="8">
        <v>30.875</v>
      </c>
      <c r="D91" s="7">
        <f t="shared" ref="D91:D97" si="19">+B91*C91</f>
        <v>0</v>
      </c>
      <c r="E91" s="7"/>
      <c r="F91" s="7">
        <v>4.2</v>
      </c>
      <c r="G91" s="7">
        <f t="shared" ref="G91:G97" si="20">+E91*F91</f>
        <v>0</v>
      </c>
    </row>
    <row r="92" ht="15.75" customHeight="1">
      <c r="A92" s="6">
        <v>1.0</v>
      </c>
      <c r="B92" s="7"/>
      <c r="C92" s="10">
        <v>34.5</v>
      </c>
      <c r="D92" s="7">
        <f t="shared" si="19"/>
        <v>0</v>
      </c>
      <c r="E92" s="7"/>
      <c r="F92" s="7">
        <v>6.3</v>
      </c>
      <c r="G92" s="7">
        <f t="shared" si="20"/>
        <v>0</v>
      </c>
    </row>
    <row r="93" ht="15.75" customHeight="1">
      <c r="A93" s="6">
        <v>1.5</v>
      </c>
      <c r="B93" s="7"/>
      <c r="C93" s="13">
        <v>51.75</v>
      </c>
      <c r="D93" s="7">
        <f t="shared" si="19"/>
        <v>0</v>
      </c>
      <c r="E93" s="7"/>
      <c r="F93" s="7">
        <v>12.0</v>
      </c>
      <c r="G93" s="7">
        <f t="shared" si="20"/>
        <v>0</v>
      </c>
    </row>
    <row r="94" ht="15.75" customHeight="1">
      <c r="A94" s="6">
        <v>2.0</v>
      </c>
      <c r="B94" s="7"/>
      <c r="C94" s="16">
        <v>69.0</v>
      </c>
      <c r="D94" s="7">
        <f t="shared" si="19"/>
        <v>0</v>
      </c>
      <c r="E94" s="7"/>
      <c r="F94" s="7">
        <v>19.0</v>
      </c>
      <c r="G94" s="7">
        <f t="shared" si="20"/>
        <v>0</v>
      </c>
    </row>
    <row r="95" ht="15.75" customHeight="1">
      <c r="A95" s="6">
        <v>2.5</v>
      </c>
      <c r="B95" s="7"/>
      <c r="C95" s="13">
        <v>86.25</v>
      </c>
      <c r="D95" s="7">
        <f t="shared" si="19"/>
        <v>0</v>
      </c>
      <c r="E95" s="7"/>
      <c r="F95" s="7">
        <v>30.0</v>
      </c>
      <c r="G95" s="7">
        <f t="shared" si="20"/>
        <v>0</v>
      </c>
    </row>
    <row r="96" ht="15.75" customHeight="1">
      <c r="A96" s="6">
        <v>3.0</v>
      </c>
      <c r="B96" s="19"/>
      <c r="C96" s="7">
        <v>103.5</v>
      </c>
      <c r="D96" s="7">
        <f t="shared" si="19"/>
        <v>0</v>
      </c>
      <c r="E96" s="19"/>
      <c r="F96" s="7">
        <v>36.0</v>
      </c>
      <c r="G96" s="7">
        <f t="shared" si="20"/>
        <v>0</v>
      </c>
    </row>
    <row r="97" ht="15.75" customHeight="1">
      <c r="A97" s="22">
        <v>3.5</v>
      </c>
      <c r="B97" s="19"/>
      <c r="C97" s="23">
        <v>120.75</v>
      </c>
      <c r="D97" s="7">
        <f t="shared" si="19"/>
        <v>0</v>
      </c>
      <c r="E97" s="19"/>
      <c r="F97" s="23">
        <v>42.0</v>
      </c>
      <c r="G97" s="7">
        <f t="shared" si="20"/>
        <v>0</v>
      </c>
    </row>
    <row r="98" ht="15.75" customHeight="1">
      <c r="A98" s="6"/>
      <c r="B98" s="24" t="s">
        <v>10</v>
      </c>
      <c r="C98" s="25"/>
      <c r="D98" s="26">
        <f>SUM(D91:D97)</f>
        <v>0</v>
      </c>
      <c r="E98" s="27" t="s">
        <v>10</v>
      </c>
      <c r="F98" s="28"/>
      <c r="G98" s="29">
        <f>SUM(G91:G97)</f>
        <v>0</v>
      </c>
    </row>
    <row r="99" ht="15.75" customHeight="1">
      <c r="A99" s="31"/>
      <c r="C99" s="28"/>
      <c r="D99" s="24" t="s">
        <v>12</v>
      </c>
      <c r="E99" s="29">
        <f>+D98+G98</f>
        <v>0</v>
      </c>
      <c r="F99" s="28"/>
      <c r="G99" s="28"/>
    </row>
    <row r="100" ht="15.75" customHeight="1">
      <c r="A100" s="40" t="s">
        <v>26</v>
      </c>
      <c r="B100" s="2"/>
      <c r="C100" s="2"/>
      <c r="D100" s="2"/>
      <c r="E100" s="3"/>
      <c r="F100" s="3"/>
      <c r="G100" s="3"/>
    </row>
    <row r="101" ht="15.75" customHeight="1">
      <c r="A101" s="4" t="s">
        <v>1</v>
      </c>
      <c r="B101" s="5" t="s">
        <v>2</v>
      </c>
      <c r="C101" s="5" t="s">
        <v>3</v>
      </c>
      <c r="D101" s="5" t="s">
        <v>4</v>
      </c>
      <c r="E101" s="5" t="s">
        <v>5</v>
      </c>
      <c r="F101" s="5" t="s">
        <v>3</v>
      </c>
      <c r="G101" s="5" t="s">
        <v>4</v>
      </c>
    </row>
    <row r="102" ht="15.75" customHeight="1">
      <c r="A102" s="6">
        <v>0.875</v>
      </c>
      <c r="B102" s="7"/>
      <c r="C102" s="8">
        <v>30.875</v>
      </c>
      <c r="D102" s="7">
        <f t="shared" ref="D102:D108" si="21">+B102*C102</f>
        <v>0</v>
      </c>
      <c r="E102" s="7"/>
      <c r="F102" s="7">
        <v>4.2</v>
      </c>
      <c r="G102" s="7">
        <f t="shared" ref="G102:G108" si="22">+E102*F102</f>
        <v>0</v>
      </c>
    </row>
    <row r="103" ht="15.75" customHeight="1">
      <c r="A103" s="6">
        <v>1.0</v>
      </c>
      <c r="B103" s="7"/>
      <c r="C103" s="10">
        <v>34.5</v>
      </c>
      <c r="D103" s="7">
        <f t="shared" si="21"/>
        <v>0</v>
      </c>
      <c r="E103" s="7"/>
      <c r="F103" s="7">
        <v>6.3</v>
      </c>
      <c r="G103" s="7">
        <f t="shared" si="22"/>
        <v>0</v>
      </c>
    </row>
    <row r="104" ht="15.75" customHeight="1">
      <c r="A104" s="6">
        <v>1.5</v>
      </c>
      <c r="B104" s="7"/>
      <c r="C104" s="13">
        <v>51.75</v>
      </c>
      <c r="D104" s="7">
        <f t="shared" si="21"/>
        <v>0</v>
      </c>
      <c r="E104" s="7"/>
      <c r="F104" s="7">
        <v>12.0</v>
      </c>
      <c r="G104" s="7">
        <f t="shared" si="22"/>
        <v>0</v>
      </c>
    </row>
    <row r="105" ht="15.75" customHeight="1">
      <c r="A105" s="6">
        <v>2.0</v>
      </c>
      <c r="B105" s="7"/>
      <c r="C105" s="16">
        <v>69.0</v>
      </c>
      <c r="D105" s="7">
        <f t="shared" si="21"/>
        <v>0</v>
      </c>
      <c r="E105" s="7"/>
      <c r="F105" s="7">
        <v>19.0</v>
      </c>
      <c r="G105" s="7">
        <f t="shared" si="22"/>
        <v>0</v>
      </c>
    </row>
    <row r="106" ht="15.75" customHeight="1">
      <c r="A106" s="6">
        <v>2.5</v>
      </c>
      <c r="B106" s="7"/>
      <c r="C106" s="13">
        <v>86.25</v>
      </c>
      <c r="D106" s="7">
        <f t="shared" si="21"/>
        <v>0</v>
      </c>
      <c r="E106" s="7"/>
      <c r="F106" s="7">
        <v>30.0</v>
      </c>
      <c r="G106" s="7">
        <f t="shared" si="22"/>
        <v>0</v>
      </c>
    </row>
    <row r="107" ht="15.75" customHeight="1">
      <c r="A107" s="6">
        <v>3.0</v>
      </c>
      <c r="B107" s="19"/>
      <c r="C107" s="7">
        <v>103.5</v>
      </c>
      <c r="D107" s="7">
        <f t="shared" si="21"/>
        <v>0</v>
      </c>
      <c r="E107" s="19"/>
      <c r="F107" s="7">
        <v>36.0</v>
      </c>
      <c r="G107" s="7">
        <f t="shared" si="22"/>
        <v>0</v>
      </c>
    </row>
    <row r="108" ht="15.75" customHeight="1">
      <c r="A108" s="22">
        <v>3.5</v>
      </c>
      <c r="B108" s="19"/>
      <c r="C108" s="23">
        <v>120.75</v>
      </c>
      <c r="D108" s="7">
        <f t="shared" si="21"/>
        <v>0</v>
      </c>
      <c r="E108" s="19"/>
      <c r="F108" s="23">
        <v>42.0</v>
      </c>
      <c r="G108" s="7">
        <f t="shared" si="22"/>
        <v>0</v>
      </c>
    </row>
    <row r="109" ht="15.75" customHeight="1">
      <c r="A109" s="6"/>
      <c r="B109" s="24" t="s">
        <v>10</v>
      </c>
      <c r="C109" s="25"/>
      <c r="D109" s="26">
        <f>SUM(D102:D108)</f>
        <v>0</v>
      </c>
      <c r="E109" s="27" t="s">
        <v>10</v>
      </c>
      <c r="F109" s="28"/>
      <c r="G109" s="29">
        <f>SUM(G102:G108)</f>
        <v>0</v>
      </c>
    </row>
    <row r="110" ht="15.75" customHeight="1">
      <c r="A110" s="31"/>
      <c r="C110" s="28"/>
      <c r="D110" s="24" t="s">
        <v>12</v>
      </c>
      <c r="E110" s="29">
        <f>+D109+G109</f>
        <v>0</v>
      </c>
      <c r="F110" s="28"/>
      <c r="G110" s="28"/>
    </row>
    <row r="111" ht="15.75" customHeight="1">
      <c r="A111" s="40" t="s">
        <v>27</v>
      </c>
      <c r="B111" s="2"/>
      <c r="C111" s="2"/>
      <c r="D111" s="2"/>
      <c r="E111" s="3"/>
      <c r="F111" s="3"/>
      <c r="G111" s="3"/>
    </row>
    <row r="112" ht="15.75" customHeight="1">
      <c r="A112" s="4" t="s">
        <v>1</v>
      </c>
      <c r="B112" s="5" t="s">
        <v>2</v>
      </c>
      <c r="C112" s="5" t="s">
        <v>3</v>
      </c>
      <c r="D112" s="5" t="s">
        <v>4</v>
      </c>
      <c r="E112" s="5" t="s">
        <v>5</v>
      </c>
      <c r="F112" s="5" t="s">
        <v>3</v>
      </c>
      <c r="G112" s="5" t="s">
        <v>4</v>
      </c>
    </row>
    <row r="113" ht="15.75" customHeight="1">
      <c r="A113" s="6">
        <v>0.875</v>
      </c>
      <c r="B113" s="7"/>
      <c r="C113" s="8">
        <v>30.875</v>
      </c>
      <c r="D113" s="7">
        <f t="shared" ref="D113:D119" si="23">+B113*C113</f>
        <v>0</v>
      </c>
      <c r="E113" s="7"/>
      <c r="F113" s="7">
        <v>4.2</v>
      </c>
      <c r="G113" s="7">
        <f t="shared" ref="G113:G119" si="24">+E113*F113</f>
        <v>0</v>
      </c>
    </row>
    <row r="114" ht="15.75" customHeight="1">
      <c r="A114" s="6">
        <v>1.0</v>
      </c>
      <c r="B114" s="7"/>
      <c r="C114" s="10">
        <v>34.5</v>
      </c>
      <c r="D114" s="7">
        <f t="shared" si="23"/>
        <v>0</v>
      </c>
      <c r="E114" s="7"/>
      <c r="F114" s="7">
        <v>6.3</v>
      </c>
      <c r="G114" s="7">
        <f t="shared" si="24"/>
        <v>0</v>
      </c>
    </row>
    <row r="115" ht="15.75" customHeight="1">
      <c r="A115" s="6">
        <v>1.5</v>
      </c>
      <c r="B115" s="7"/>
      <c r="C115" s="13">
        <v>51.75</v>
      </c>
      <c r="D115" s="7">
        <f t="shared" si="23"/>
        <v>0</v>
      </c>
      <c r="E115" s="7"/>
      <c r="F115" s="7">
        <v>12.0</v>
      </c>
      <c r="G115" s="7">
        <f t="shared" si="24"/>
        <v>0</v>
      </c>
    </row>
    <row r="116" ht="15.75" customHeight="1">
      <c r="A116" s="6">
        <v>2.0</v>
      </c>
      <c r="B116" s="7"/>
      <c r="C116" s="16">
        <v>69.0</v>
      </c>
      <c r="D116" s="7">
        <f t="shared" si="23"/>
        <v>0</v>
      </c>
      <c r="E116" s="7"/>
      <c r="F116" s="7">
        <v>19.0</v>
      </c>
      <c r="G116" s="7">
        <f t="shared" si="24"/>
        <v>0</v>
      </c>
    </row>
    <row r="117" ht="15.75" customHeight="1">
      <c r="A117" s="6">
        <v>2.5</v>
      </c>
      <c r="B117" s="7"/>
      <c r="C117" s="13">
        <v>86.25</v>
      </c>
      <c r="D117" s="7">
        <f t="shared" si="23"/>
        <v>0</v>
      </c>
      <c r="E117" s="7"/>
      <c r="F117" s="7">
        <v>30.0</v>
      </c>
      <c r="G117" s="7">
        <f t="shared" si="24"/>
        <v>0</v>
      </c>
    </row>
    <row r="118" ht="15.75" customHeight="1">
      <c r="A118" s="6">
        <v>3.0</v>
      </c>
      <c r="B118" s="19"/>
      <c r="C118" s="7">
        <v>103.5</v>
      </c>
      <c r="D118" s="7">
        <f t="shared" si="23"/>
        <v>0</v>
      </c>
      <c r="E118" s="19"/>
      <c r="F118" s="7">
        <v>36.0</v>
      </c>
      <c r="G118" s="7">
        <f t="shared" si="24"/>
        <v>0</v>
      </c>
    </row>
    <row r="119" ht="15.75" customHeight="1">
      <c r="A119" s="22">
        <v>3.5</v>
      </c>
      <c r="B119" s="19"/>
      <c r="C119" s="23">
        <v>120.75</v>
      </c>
      <c r="D119" s="7">
        <f t="shared" si="23"/>
        <v>0</v>
      </c>
      <c r="E119" s="19"/>
      <c r="F119" s="23">
        <v>42.0</v>
      </c>
      <c r="G119" s="7">
        <f t="shared" si="24"/>
        <v>0</v>
      </c>
    </row>
    <row r="120" ht="15.75" customHeight="1">
      <c r="A120" s="6"/>
      <c r="B120" s="24" t="s">
        <v>10</v>
      </c>
      <c r="C120" s="25"/>
      <c r="D120" s="26">
        <f>SUM(D113:D119)</f>
        <v>0</v>
      </c>
      <c r="E120" s="27" t="s">
        <v>10</v>
      </c>
      <c r="F120" s="28"/>
      <c r="G120" s="29">
        <f>SUM(G113:G119)</f>
        <v>0</v>
      </c>
    </row>
    <row r="121" ht="15.75" customHeight="1">
      <c r="A121" s="31"/>
      <c r="C121" s="28"/>
      <c r="D121" s="24" t="s">
        <v>12</v>
      </c>
      <c r="E121" s="29">
        <f>+D120+G120</f>
        <v>0</v>
      </c>
      <c r="F121" s="28"/>
      <c r="G121" s="28"/>
    </row>
    <row r="122" ht="15.75" customHeight="1">
      <c r="A122" s="40" t="s">
        <v>28</v>
      </c>
      <c r="B122" s="2"/>
      <c r="C122" s="2"/>
      <c r="D122" s="2"/>
      <c r="E122" s="3"/>
      <c r="F122" s="3"/>
      <c r="G122" s="3"/>
    </row>
    <row r="123" ht="15.75" customHeight="1">
      <c r="A123" s="4" t="s">
        <v>1</v>
      </c>
      <c r="B123" s="5" t="s">
        <v>2</v>
      </c>
      <c r="C123" s="5" t="s">
        <v>3</v>
      </c>
      <c r="D123" s="5" t="s">
        <v>4</v>
      </c>
      <c r="E123" s="5" t="s">
        <v>5</v>
      </c>
      <c r="F123" s="5" t="s">
        <v>3</v>
      </c>
      <c r="G123" s="5" t="s">
        <v>4</v>
      </c>
    </row>
    <row r="124" ht="15.75" customHeight="1">
      <c r="A124" s="6">
        <v>0.875</v>
      </c>
      <c r="B124" s="7"/>
      <c r="C124" s="8">
        <v>30.875</v>
      </c>
      <c r="D124" s="7">
        <f t="shared" ref="D124:D130" si="25">+B124*C124</f>
        <v>0</v>
      </c>
      <c r="E124" s="7"/>
      <c r="F124" s="7">
        <v>4.2</v>
      </c>
      <c r="G124" s="7">
        <f t="shared" ref="G124:G130" si="26">+E124*F124</f>
        <v>0</v>
      </c>
    </row>
    <row r="125" ht="15.75" customHeight="1">
      <c r="A125" s="6">
        <v>1.0</v>
      </c>
      <c r="B125" s="7"/>
      <c r="C125" s="10">
        <v>34.5</v>
      </c>
      <c r="D125" s="7">
        <f t="shared" si="25"/>
        <v>0</v>
      </c>
      <c r="E125" s="7"/>
      <c r="F125" s="7">
        <v>6.3</v>
      </c>
      <c r="G125" s="7">
        <f t="shared" si="26"/>
        <v>0</v>
      </c>
    </row>
    <row r="126" ht="15.75" customHeight="1">
      <c r="A126" s="6">
        <v>1.5</v>
      </c>
      <c r="B126" s="7"/>
      <c r="C126" s="13">
        <v>51.75</v>
      </c>
      <c r="D126" s="7">
        <f t="shared" si="25"/>
        <v>0</v>
      </c>
      <c r="E126" s="7"/>
      <c r="F126" s="7">
        <v>12.0</v>
      </c>
      <c r="G126" s="7">
        <f t="shared" si="26"/>
        <v>0</v>
      </c>
    </row>
    <row r="127" ht="15.75" customHeight="1">
      <c r="A127" s="6">
        <v>2.0</v>
      </c>
      <c r="B127" s="7"/>
      <c r="C127" s="16">
        <v>69.0</v>
      </c>
      <c r="D127" s="7">
        <f t="shared" si="25"/>
        <v>0</v>
      </c>
      <c r="E127" s="7"/>
      <c r="F127" s="7">
        <v>19.0</v>
      </c>
      <c r="G127" s="7">
        <f t="shared" si="26"/>
        <v>0</v>
      </c>
    </row>
    <row r="128" ht="15.75" customHeight="1">
      <c r="A128" s="6">
        <v>2.5</v>
      </c>
      <c r="B128" s="7"/>
      <c r="C128" s="13">
        <v>86.25</v>
      </c>
      <c r="D128" s="7">
        <f t="shared" si="25"/>
        <v>0</v>
      </c>
      <c r="E128" s="7"/>
      <c r="F128" s="7">
        <v>30.0</v>
      </c>
      <c r="G128" s="7">
        <f t="shared" si="26"/>
        <v>0</v>
      </c>
    </row>
    <row r="129" ht="15.75" customHeight="1">
      <c r="A129" s="6">
        <v>3.0</v>
      </c>
      <c r="B129" s="19"/>
      <c r="C129" s="7">
        <v>103.5</v>
      </c>
      <c r="D129" s="7">
        <f t="shared" si="25"/>
        <v>0</v>
      </c>
      <c r="E129" s="19"/>
      <c r="F129" s="7">
        <v>36.0</v>
      </c>
      <c r="G129" s="7">
        <f t="shared" si="26"/>
        <v>0</v>
      </c>
    </row>
    <row r="130" ht="15.75" customHeight="1">
      <c r="A130" s="22">
        <v>3.5</v>
      </c>
      <c r="B130" s="19"/>
      <c r="C130" s="23">
        <v>120.75</v>
      </c>
      <c r="D130" s="7">
        <f t="shared" si="25"/>
        <v>0</v>
      </c>
      <c r="E130" s="19"/>
      <c r="F130" s="23">
        <v>42.0</v>
      </c>
      <c r="G130" s="7">
        <f t="shared" si="26"/>
        <v>0</v>
      </c>
    </row>
    <row r="131" ht="15.75" customHeight="1">
      <c r="A131" s="6"/>
      <c r="B131" s="24" t="s">
        <v>10</v>
      </c>
      <c r="C131" s="25"/>
      <c r="D131" s="26">
        <f>SUM(D124:D130)</f>
        <v>0</v>
      </c>
      <c r="E131" s="27" t="s">
        <v>10</v>
      </c>
      <c r="F131" s="28"/>
      <c r="G131" s="29">
        <f>SUM(G124:G130)</f>
        <v>0</v>
      </c>
    </row>
    <row r="132" ht="15.75" customHeight="1">
      <c r="A132" s="31"/>
      <c r="C132" s="28"/>
      <c r="D132" s="24" t="s">
        <v>12</v>
      </c>
      <c r="E132" s="29">
        <f>+D131+G131</f>
        <v>0</v>
      </c>
      <c r="F132" s="28"/>
      <c r="G132" s="28"/>
    </row>
    <row r="133" ht="15.75" customHeight="1">
      <c r="A133" s="40" t="s">
        <v>29</v>
      </c>
      <c r="B133" s="2"/>
      <c r="C133" s="2"/>
      <c r="D133" s="2"/>
      <c r="E133" s="3"/>
      <c r="F133" s="3"/>
      <c r="G133" s="3"/>
    </row>
    <row r="134" ht="15.75" customHeight="1">
      <c r="A134" s="4" t="s">
        <v>1</v>
      </c>
      <c r="B134" s="5" t="s">
        <v>2</v>
      </c>
      <c r="C134" s="5" t="s">
        <v>3</v>
      </c>
      <c r="D134" s="5" t="s">
        <v>4</v>
      </c>
      <c r="E134" s="5" t="s">
        <v>5</v>
      </c>
      <c r="F134" s="5" t="s">
        <v>3</v>
      </c>
      <c r="G134" s="5" t="s">
        <v>4</v>
      </c>
    </row>
    <row r="135" ht="15.75" customHeight="1">
      <c r="A135" s="6">
        <v>0.875</v>
      </c>
      <c r="B135" s="7"/>
      <c r="C135" s="8">
        <v>30.875</v>
      </c>
      <c r="D135" s="7">
        <f t="shared" ref="D135:D141" si="27">+B135*C135</f>
        <v>0</v>
      </c>
      <c r="E135" s="7"/>
      <c r="F135" s="7">
        <v>4.2</v>
      </c>
      <c r="G135" s="7">
        <f t="shared" ref="G135:G141" si="28">+E135*F135</f>
        <v>0</v>
      </c>
    </row>
    <row r="136" ht="15.75" customHeight="1">
      <c r="A136" s="6">
        <v>1.0</v>
      </c>
      <c r="B136" s="7"/>
      <c r="C136" s="10">
        <v>34.5</v>
      </c>
      <c r="D136" s="7">
        <f t="shared" si="27"/>
        <v>0</v>
      </c>
      <c r="E136" s="7"/>
      <c r="F136" s="7">
        <v>6.3</v>
      </c>
      <c r="G136" s="7">
        <f t="shared" si="28"/>
        <v>0</v>
      </c>
    </row>
    <row r="137" ht="15.75" customHeight="1">
      <c r="A137" s="6">
        <v>1.5</v>
      </c>
      <c r="B137" s="7"/>
      <c r="C137" s="13">
        <v>51.75</v>
      </c>
      <c r="D137" s="7">
        <f t="shared" si="27"/>
        <v>0</v>
      </c>
      <c r="E137" s="7"/>
      <c r="F137" s="7">
        <v>12.0</v>
      </c>
      <c r="G137" s="7">
        <f t="shared" si="28"/>
        <v>0</v>
      </c>
    </row>
    <row r="138" ht="15.75" customHeight="1">
      <c r="A138" s="6">
        <v>2.0</v>
      </c>
      <c r="B138" s="7"/>
      <c r="C138" s="16">
        <v>69.0</v>
      </c>
      <c r="D138" s="7">
        <f t="shared" si="27"/>
        <v>0</v>
      </c>
      <c r="E138" s="7"/>
      <c r="F138" s="7">
        <v>19.0</v>
      </c>
      <c r="G138" s="7">
        <f t="shared" si="28"/>
        <v>0</v>
      </c>
    </row>
    <row r="139" ht="15.75" customHeight="1">
      <c r="A139" s="6">
        <v>2.5</v>
      </c>
      <c r="B139" s="7"/>
      <c r="C139" s="13">
        <v>86.25</v>
      </c>
      <c r="D139" s="7">
        <f t="shared" si="27"/>
        <v>0</v>
      </c>
      <c r="E139" s="7"/>
      <c r="F139" s="7">
        <v>30.0</v>
      </c>
      <c r="G139" s="7">
        <f t="shared" si="28"/>
        <v>0</v>
      </c>
    </row>
    <row r="140" ht="15.75" customHeight="1">
      <c r="A140" s="6">
        <v>3.0</v>
      </c>
      <c r="B140" s="19"/>
      <c r="C140" s="7">
        <v>103.5</v>
      </c>
      <c r="D140" s="7">
        <f t="shared" si="27"/>
        <v>0</v>
      </c>
      <c r="E140" s="19"/>
      <c r="F140" s="7">
        <v>36.0</v>
      </c>
      <c r="G140" s="7">
        <f t="shared" si="28"/>
        <v>0</v>
      </c>
    </row>
    <row r="141" ht="15.75" customHeight="1">
      <c r="A141" s="22">
        <v>3.5</v>
      </c>
      <c r="B141" s="19"/>
      <c r="C141" s="23">
        <v>120.75</v>
      </c>
      <c r="D141" s="7">
        <f t="shared" si="27"/>
        <v>0</v>
      </c>
      <c r="E141" s="19"/>
      <c r="F141" s="23">
        <v>42.0</v>
      </c>
      <c r="G141" s="7">
        <f t="shared" si="28"/>
        <v>0</v>
      </c>
    </row>
    <row r="142" ht="15.75" customHeight="1">
      <c r="A142" s="6"/>
      <c r="B142" s="24" t="s">
        <v>10</v>
      </c>
      <c r="C142" s="25"/>
      <c r="D142" s="26">
        <f>SUM(D135:D141)</f>
        <v>0</v>
      </c>
      <c r="E142" s="27" t="s">
        <v>10</v>
      </c>
      <c r="F142" s="28"/>
      <c r="G142" s="29">
        <f>SUM(G135:G141)</f>
        <v>0</v>
      </c>
    </row>
    <row r="143" ht="15.75" customHeight="1">
      <c r="A143" s="31"/>
      <c r="C143" s="28"/>
      <c r="D143" s="24" t="s">
        <v>12</v>
      </c>
      <c r="E143" s="29">
        <f>+D142+G142</f>
        <v>0</v>
      </c>
      <c r="F143" s="28"/>
      <c r="G143" s="28"/>
    </row>
    <row r="144" ht="15.75" customHeight="1">
      <c r="A144" s="40" t="s">
        <v>30</v>
      </c>
      <c r="B144" s="2"/>
      <c r="C144" s="2"/>
      <c r="D144" s="2"/>
      <c r="E144" s="3"/>
      <c r="F144" s="3"/>
      <c r="G144" s="3"/>
    </row>
    <row r="145" ht="15.75" customHeight="1">
      <c r="A145" s="4" t="s">
        <v>1</v>
      </c>
      <c r="B145" s="5" t="s">
        <v>2</v>
      </c>
      <c r="C145" s="5" t="s">
        <v>3</v>
      </c>
      <c r="D145" s="5" t="s">
        <v>4</v>
      </c>
      <c r="E145" s="5" t="s">
        <v>5</v>
      </c>
      <c r="F145" s="5" t="s">
        <v>3</v>
      </c>
      <c r="G145" s="5" t="s">
        <v>4</v>
      </c>
    </row>
    <row r="146" ht="15.75" customHeight="1">
      <c r="A146" s="6">
        <v>0.875</v>
      </c>
      <c r="B146" s="7"/>
      <c r="C146" s="8">
        <v>30.875</v>
      </c>
      <c r="D146" s="7">
        <f t="shared" ref="D146:D152" si="29">+B146*C146</f>
        <v>0</v>
      </c>
      <c r="E146" s="7"/>
      <c r="F146" s="7">
        <v>4.2</v>
      </c>
      <c r="G146" s="7">
        <f t="shared" ref="G146:G152" si="30">+E146*F146</f>
        <v>0</v>
      </c>
    </row>
    <row r="147" ht="15.75" customHeight="1">
      <c r="A147" s="6">
        <v>1.0</v>
      </c>
      <c r="B147" s="7"/>
      <c r="C147" s="10">
        <v>34.5</v>
      </c>
      <c r="D147" s="7">
        <f t="shared" si="29"/>
        <v>0</v>
      </c>
      <c r="E147" s="7"/>
      <c r="F147" s="7">
        <v>6.3</v>
      </c>
      <c r="G147" s="7">
        <f t="shared" si="30"/>
        <v>0</v>
      </c>
    </row>
    <row r="148" ht="15.75" customHeight="1">
      <c r="A148" s="6">
        <v>1.5</v>
      </c>
      <c r="B148" s="7"/>
      <c r="C148" s="13">
        <v>51.75</v>
      </c>
      <c r="D148" s="7">
        <f t="shared" si="29"/>
        <v>0</v>
      </c>
      <c r="E148" s="7"/>
      <c r="F148" s="7">
        <v>12.0</v>
      </c>
      <c r="G148" s="7">
        <f t="shared" si="30"/>
        <v>0</v>
      </c>
    </row>
    <row r="149" ht="15.75" customHeight="1">
      <c r="A149" s="6">
        <v>2.0</v>
      </c>
      <c r="B149" s="7"/>
      <c r="C149" s="16">
        <v>69.0</v>
      </c>
      <c r="D149" s="7">
        <f t="shared" si="29"/>
        <v>0</v>
      </c>
      <c r="E149" s="7"/>
      <c r="F149" s="7">
        <v>19.0</v>
      </c>
      <c r="G149" s="7">
        <f t="shared" si="30"/>
        <v>0</v>
      </c>
    </row>
    <row r="150" ht="15.75" customHeight="1">
      <c r="A150" s="6">
        <v>2.5</v>
      </c>
      <c r="B150" s="7"/>
      <c r="C150" s="13">
        <v>86.25</v>
      </c>
      <c r="D150" s="7">
        <f t="shared" si="29"/>
        <v>0</v>
      </c>
      <c r="E150" s="7"/>
      <c r="F150" s="7">
        <v>30.0</v>
      </c>
      <c r="G150" s="7">
        <f t="shared" si="30"/>
        <v>0</v>
      </c>
    </row>
    <row r="151" ht="15.75" customHeight="1">
      <c r="A151" s="6">
        <v>3.0</v>
      </c>
      <c r="B151" s="19"/>
      <c r="C151" s="7">
        <v>103.5</v>
      </c>
      <c r="D151" s="7">
        <f t="shared" si="29"/>
        <v>0</v>
      </c>
      <c r="E151" s="19"/>
      <c r="F151" s="7">
        <v>36.0</v>
      </c>
      <c r="G151" s="7">
        <f t="shared" si="30"/>
        <v>0</v>
      </c>
    </row>
    <row r="152" ht="15.75" customHeight="1">
      <c r="A152" s="22">
        <v>3.5</v>
      </c>
      <c r="B152" s="19"/>
      <c r="C152" s="23">
        <v>120.75</v>
      </c>
      <c r="D152" s="7">
        <f t="shared" si="29"/>
        <v>0</v>
      </c>
      <c r="E152" s="19"/>
      <c r="F152" s="23">
        <v>42.0</v>
      </c>
      <c r="G152" s="7">
        <f t="shared" si="30"/>
        <v>0</v>
      </c>
    </row>
    <row r="153" ht="15.75" customHeight="1">
      <c r="A153" s="6"/>
      <c r="B153" s="24" t="s">
        <v>10</v>
      </c>
      <c r="C153" s="25"/>
      <c r="D153" s="26">
        <f>SUM(D146:D152)</f>
        <v>0</v>
      </c>
      <c r="E153" s="27" t="s">
        <v>10</v>
      </c>
      <c r="F153" s="28"/>
      <c r="G153" s="29">
        <f>SUM(G146:G152)</f>
        <v>0</v>
      </c>
    </row>
    <row r="154" ht="15.75" customHeight="1">
      <c r="A154" s="31"/>
      <c r="C154" s="28"/>
      <c r="D154" s="24" t="s">
        <v>12</v>
      </c>
      <c r="E154" s="29">
        <f>+D153+G153</f>
        <v>0</v>
      </c>
      <c r="F154" s="28"/>
      <c r="G154" s="28"/>
    </row>
    <row r="155" ht="15.75" customHeight="1">
      <c r="A155" s="40" t="s">
        <v>31</v>
      </c>
      <c r="B155" s="2"/>
      <c r="C155" s="2"/>
      <c r="D155" s="2"/>
      <c r="E155" s="3"/>
      <c r="F155" s="3"/>
      <c r="G155" s="3"/>
    </row>
    <row r="156" ht="15.75" customHeight="1">
      <c r="A156" s="4" t="s">
        <v>1</v>
      </c>
      <c r="B156" s="5" t="s">
        <v>2</v>
      </c>
      <c r="C156" s="5" t="s">
        <v>3</v>
      </c>
      <c r="D156" s="5" t="s">
        <v>4</v>
      </c>
      <c r="E156" s="5" t="s">
        <v>5</v>
      </c>
      <c r="F156" s="5" t="s">
        <v>3</v>
      </c>
      <c r="G156" s="5" t="s">
        <v>4</v>
      </c>
    </row>
    <row r="157" ht="15.75" customHeight="1">
      <c r="A157" s="6">
        <v>0.875</v>
      </c>
      <c r="B157" s="7"/>
      <c r="C157" s="8">
        <v>30.875</v>
      </c>
      <c r="D157" s="7">
        <f t="shared" ref="D157:D163" si="31">+B157*C157</f>
        <v>0</v>
      </c>
      <c r="E157" s="7"/>
      <c r="F157" s="7">
        <v>4.2</v>
      </c>
      <c r="G157" s="7">
        <f t="shared" ref="G157:G163" si="32">+E157*F157</f>
        <v>0</v>
      </c>
    </row>
    <row r="158" ht="15.75" customHeight="1">
      <c r="A158" s="6">
        <v>1.0</v>
      </c>
      <c r="B158" s="7"/>
      <c r="C158" s="10">
        <v>34.5</v>
      </c>
      <c r="D158" s="7">
        <f t="shared" si="31"/>
        <v>0</v>
      </c>
      <c r="E158" s="7"/>
      <c r="F158" s="7">
        <v>6.3</v>
      </c>
      <c r="G158" s="7">
        <f t="shared" si="32"/>
        <v>0</v>
      </c>
    </row>
    <row r="159" ht="15.75" customHeight="1">
      <c r="A159" s="6">
        <v>1.5</v>
      </c>
      <c r="B159" s="7"/>
      <c r="C159" s="13">
        <v>51.75</v>
      </c>
      <c r="D159" s="7">
        <f t="shared" si="31"/>
        <v>0</v>
      </c>
      <c r="E159" s="7"/>
      <c r="F159" s="7">
        <v>12.0</v>
      </c>
      <c r="G159" s="7">
        <f t="shared" si="32"/>
        <v>0</v>
      </c>
    </row>
    <row r="160" ht="15.75" customHeight="1">
      <c r="A160" s="6">
        <v>2.0</v>
      </c>
      <c r="B160" s="7"/>
      <c r="C160" s="16">
        <v>69.0</v>
      </c>
      <c r="D160" s="7">
        <f t="shared" si="31"/>
        <v>0</v>
      </c>
      <c r="E160" s="7"/>
      <c r="F160" s="7">
        <v>19.0</v>
      </c>
      <c r="G160" s="7">
        <f t="shared" si="32"/>
        <v>0</v>
      </c>
    </row>
    <row r="161" ht="15.75" customHeight="1">
      <c r="A161" s="6">
        <v>2.5</v>
      </c>
      <c r="B161" s="7"/>
      <c r="C161" s="13">
        <v>86.25</v>
      </c>
      <c r="D161" s="7">
        <f t="shared" si="31"/>
        <v>0</v>
      </c>
      <c r="E161" s="7"/>
      <c r="F161" s="7">
        <v>30.0</v>
      </c>
      <c r="G161" s="7">
        <f t="shared" si="32"/>
        <v>0</v>
      </c>
    </row>
    <row r="162" ht="15.75" customHeight="1">
      <c r="A162" s="6">
        <v>3.0</v>
      </c>
      <c r="B162" s="19"/>
      <c r="C162" s="7">
        <v>103.5</v>
      </c>
      <c r="D162" s="7">
        <f t="shared" si="31"/>
        <v>0</v>
      </c>
      <c r="E162" s="19"/>
      <c r="F162" s="7">
        <v>36.0</v>
      </c>
      <c r="G162" s="7">
        <f t="shared" si="32"/>
        <v>0</v>
      </c>
    </row>
    <row r="163" ht="15.75" customHeight="1">
      <c r="A163" s="22">
        <v>3.5</v>
      </c>
      <c r="B163" s="19"/>
      <c r="C163" s="23">
        <v>120.75</v>
      </c>
      <c r="D163" s="7">
        <f t="shared" si="31"/>
        <v>0</v>
      </c>
      <c r="E163" s="19"/>
      <c r="F163" s="23">
        <v>42.0</v>
      </c>
      <c r="G163" s="7">
        <f t="shared" si="32"/>
        <v>0</v>
      </c>
    </row>
    <row r="164" ht="15.75" customHeight="1">
      <c r="A164" s="6"/>
      <c r="B164" s="24" t="s">
        <v>10</v>
      </c>
      <c r="C164" s="25"/>
      <c r="D164" s="26">
        <f>SUM(D157:D163)</f>
        <v>0</v>
      </c>
      <c r="E164" s="27" t="s">
        <v>10</v>
      </c>
      <c r="F164" s="28"/>
      <c r="G164" s="29">
        <f>SUM(G157:G163)</f>
        <v>0</v>
      </c>
    </row>
    <row r="165" ht="15.75" customHeight="1">
      <c r="A165" s="31"/>
      <c r="C165" s="28"/>
      <c r="D165" s="24" t="s">
        <v>12</v>
      </c>
      <c r="E165" s="29">
        <f>+D164+G164</f>
        <v>0</v>
      </c>
      <c r="F165" s="28"/>
      <c r="G165" s="28"/>
    </row>
    <row r="166" ht="15.75" customHeight="1">
      <c r="A166" s="40" t="s">
        <v>32</v>
      </c>
      <c r="B166" s="2"/>
      <c r="C166" s="2"/>
      <c r="D166" s="2"/>
      <c r="E166" s="3"/>
      <c r="F166" s="3"/>
      <c r="G166" s="3"/>
    </row>
    <row r="167" ht="15.75" customHeight="1">
      <c r="A167" s="4" t="s">
        <v>1</v>
      </c>
      <c r="B167" s="5" t="s">
        <v>2</v>
      </c>
      <c r="C167" s="5" t="s">
        <v>3</v>
      </c>
      <c r="D167" s="5" t="s">
        <v>4</v>
      </c>
      <c r="E167" s="5" t="s">
        <v>5</v>
      </c>
      <c r="F167" s="5" t="s">
        <v>3</v>
      </c>
      <c r="G167" s="5" t="s">
        <v>4</v>
      </c>
    </row>
    <row r="168" ht="15.75" customHeight="1">
      <c r="A168" s="6">
        <v>0.875</v>
      </c>
      <c r="B168" s="7"/>
      <c r="C168" s="8">
        <v>30.875</v>
      </c>
      <c r="D168" s="7">
        <f t="shared" ref="D168:D174" si="33">+B168*C168</f>
        <v>0</v>
      </c>
      <c r="E168" s="7"/>
      <c r="F168" s="7">
        <v>4.2</v>
      </c>
      <c r="G168" s="7">
        <f t="shared" ref="G168:G174" si="34">+E168*F168</f>
        <v>0</v>
      </c>
    </row>
    <row r="169" ht="15.75" customHeight="1">
      <c r="A169" s="6">
        <v>1.0</v>
      </c>
      <c r="B169" s="7"/>
      <c r="C169" s="10">
        <v>34.5</v>
      </c>
      <c r="D169" s="7">
        <f t="shared" si="33"/>
        <v>0</v>
      </c>
      <c r="E169" s="7"/>
      <c r="F169" s="7">
        <v>6.3</v>
      </c>
      <c r="G169" s="7">
        <f t="shared" si="34"/>
        <v>0</v>
      </c>
    </row>
    <row r="170" ht="15.75" customHeight="1">
      <c r="A170" s="6">
        <v>1.5</v>
      </c>
      <c r="B170" s="7"/>
      <c r="C170" s="13">
        <v>51.75</v>
      </c>
      <c r="D170" s="7">
        <f t="shared" si="33"/>
        <v>0</v>
      </c>
      <c r="E170" s="7"/>
      <c r="F170" s="7">
        <v>12.0</v>
      </c>
      <c r="G170" s="7">
        <f t="shared" si="34"/>
        <v>0</v>
      </c>
    </row>
    <row r="171" ht="15.75" customHeight="1">
      <c r="A171" s="6">
        <v>2.0</v>
      </c>
      <c r="B171" s="7"/>
      <c r="C171" s="16">
        <v>69.0</v>
      </c>
      <c r="D171" s="7">
        <f t="shared" si="33"/>
        <v>0</v>
      </c>
      <c r="E171" s="7"/>
      <c r="F171" s="7">
        <v>19.0</v>
      </c>
      <c r="G171" s="7">
        <f t="shared" si="34"/>
        <v>0</v>
      </c>
    </row>
    <row r="172" ht="15.75" customHeight="1">
      <c r="A172" s="6">
        <v>2.5</v>
      </c>
      <c r="B172" s="7"/>
      <c r="C172" s="13">
        <v>86.25</v>
      </c>
      <c r="D172" s="7">
        <f t="shared" si="33"/>
        <v>0</v>
      </c>
      <c r="E172" s="7"/>
      <c r="F172" s="7">
        <v>30.0</v>
      </c>
      <c r="G172" s="7">
        <f t="shared" si="34"/>
        <v>0</v>
      </c>
    </row>
    <row r="173" ht="15.75" customHeight="1">
      <c r="A173" s="6">
        <v>3.0</v>
      </c>
      <c r="B173" s="19"/>
      <c r="C173" s="7">
        <v>103.5</v>
      </c>
      <c r="D173" s="7">
        <f t="shared" si="33"/>
        <v>0</v>
      </c>
      <c r="E173" s="19"/>
      <c r="F173" s="7">
        <v>36.0</v>
      </c>
      <c r="G173" s="7">
        <f t="shared" si="34"/>
        <v>0</v>
      </c>
    </row>
    <row r="174" ht="15.75" customHeight="1">
      <c r="A174" s="22">
        <v>3.5</v>
      </c>
      <c r="B174" s="19"/>
      <c r="C174" s="23">
        <v>120.75</v>
      </c>
      <c r="D174" s="7">
        <f t="shared" si="33"/>
        <v>0</v>
      </c>
      <c r="E174" s="19"/>
      <c r="F174" s="23">
        <v>42.0</v>
      </c>
      <c r="G174" s="7">
        <f t="shared" si="34"/>
        <v>0</v>
      </c>
    </row>
    <row r="175" ht="15.75" customHeight="1">
      <c r="A175" s="6"/>
      <c r="B175" s="24" t="s">
        <v>10</v>
      </c>
      <c r="C175" s="25"/>
      <c r="D175" s="26">
        <f>SUM(D168:D174)</f>
        <v>0</v>
      </c>
      <c r="E175" s="27" t="s">
        <v>10</v>
      </c>
      <c r="F175" s="28"/>
      <c r="G175" s="29">
        <f>SUM(G168:G174)</f>
        <v>0</v>
      </c>
    </row>
    <row r="176" ht="15.75" customHeight="1">
      <c r="A176" s="31"/>
      <c r="C176" s="28"/>
      <c r="D176" s="24" t="s">
        <v>12</v>
      </c>
      <c r="E176" s="29">
        <f>+D175+G175</f>
        <v>0</v>
      </c>
      <c r="F176" s="28"/>
      <c r="G176" s="28"/>
    </row>
    <row r="177" ht="15.75" customHeight="1">
      <c r="A177" s="40" t="s">
        <v>33</v>
      </c>
      <c r="B177" s="2"/>
      <c r="C177" s="2"/>
      <c r="D177" s="2"/>
      <c r="E177" s="3"/>
      <c r="F177" s="3"/>
      <c r="G177" s="3"/>
    </row>
    <row r="178" ht="15.75" customHeight="1">
      <c r="A178" s="4" t="s">
        <v>1</v>
      </c>
      <c r="B178" s="5" t="s">
        <v>2</v>
      </c>
      <c r="C178" s="5" t="s">
        <v>3</v>
      </c>
      <c r="D178" s="5" t="s">
        <v>4</v>
      </c>
      <c r="E178" s="5" t="s">
        <v>5</v>
      </c>
      <c r="F178" s="5" t="s">
        <v>3</v>
      </c>
      <c r="G178" s="5" t="s">
        <v>4</v>
      </c>
    </row>
    <row r="179" ht="15.75" customHeight="1">
      <c r="A179" s="6">
        <v>0.875</v>
      </c>
      <c r="B179" s="7"/>
      <c r="C179" s="8">
        <v>30.875</v>
      </c>
      <c r="D179" s="7">
        <f t="shared" ref="D179:D185" si="35">+B179*C179</f>
        <v>0</v>
      </c>
      <c r="E179" s="7"/>
      <c r="F179" s="7">
        <v>4.2</v>
      </c>
      <c r="G179" s="7">
        <f t="shared" ref="G179:G185" si="36">+E179*F179</f>
        <v>0</v>
      </c>
    </row>
    <row r="180" ht="15.75" customHeight="1">
      <c r="A180" s="6">
        <v>1.0</v>
      </c>
      <c r="B180" s="7"/>
      <c r="C180" s="10">
        <v>34.5</v>
      </c>
      <c r="D180" s="7">
        <f t="shared" si="35"/>
        <v>0</v>
      </c>
      <c r="E180" s="7"/>
      <c r="F180" s="7">
        <v>6.3</v>
      </c>
      <c r="G180" s="7">
        <f t="shared" si="36"/>
        <v>0</v>
      </c>
    </row>
    <row r="181" ht="15.75" customHeight="1">
      <c r="A181" s="6">
        <v>1.5</v>
      </c>
      <c r="B181" s="7"/>
      <c r="C181" s="13">
        <v>51.75</v>
      </c>
      <c r="D181" s="7">
        <f t="shared" si="35"/>
        <v>0</v>
      </c>
      <c r="E181" s="7"/>
      <c r="F181" s="7">
        <v>12.0</v>
      </c>
      <c r="G181" s="7">
        <f t="shared" si="36"/>
        <v>0</v>
      </c>
    </row>
    <row r="182" ht="15.75" customHeight="1">
      <c r="A182" s="6">
        <v>2.0</v>
      </c>
      <c r="B182" s="7"/>
      <c r="C182" s="16">
        <v>69.0</v>
      </c>
      <c r="D182" s="7">
        <f t="shared" si="35"/>
        <v>0</v>
      </c>
      <c r="E182" s="7"/>
      <c r="F182" s="7">
        <v>19.0</v>
      </c>
      <c r="G182" s="7">
        <f t="shared" si="36"/>
        <v>0</v>
      </c>
    </row>
    <row r="183" ht="15.75" customHeight="1">
      <c r="A183" s="6">
        <v>2.5</v>
      </c>
      <c r="B183" s="7"/>
      <c r="C183" s="13">
        <v>86.25</v>
      </c>
      <c r="D183" s="7">
        <f t="shared" si="35"/>
        <v>0</v>
      </c>
      <c r="E183" s="7"/>
      <c r="F183" s="7">
        <v>30.0</v>
      </c>
      <c r="G183" s="7">
        <f t="shared" si="36"/>
        <v>0</v>
      </c>
    </row>
    <row r="184" ht="15.75" customHeight="1">
      <c r="A184" s="6">
        <v>3.0</v>
      </c>
      <c r="B184" s="19"/>
      <c r="C184" s="7">
        <v>103.5</v>
      </c>
      <c r="D184" s="7">
        <f t="shared" si="35"/>
        <v>0</v>
      </c>
      <c r="E184" s="19"/>
      <c r="F184" s="7">
        <v>36.0</v>
      </c>
      <c r="G184" s="7">
        <f t="shared" si="36"/>
        <v>0</v>
      </c>
    </row>
    <row r="185" ht="15.75" customHeight="1">
      <c r="A185" s="22">
        <v>3.5</v>
      </c>
      <c r="B185" s="19"/>
      <c r="C185" s="23">
        <v>120.75</v>
      </c>
      <c r="D185" s="7">
        <f t="shared" si="35"/>
        <v>0</v>
      </c>
      <c r="E185" s="19"/>
      <c r="F185" s="23">
        <v>42.0</v>
      </c>
      <c r="G185" s="7">
        <f t="shared" si="36"/>
        <v>0</v>
      </c>
    </row>
    <row r="186" ht="15.75" customHeight="1">
      <c r="A186" s="6"/>
      <c r="B186" s="24" t="s">
        <v>10</v>
      </c>
      <c r="C186" s="25"/>
      <c r="D186" s="26">
        <f>SUM(D179:D185)</f>
        <v>0</v>
      </c>
      <c r="E186" s="27" t="s">
        <v>10</v>
      </c>
      <c r="F186" s="28"/>
      <c r="G186" s="29">
        <f>SUM(G179:G185)</f>
        <v>0</v>
      </c>
    </row>
    <row r="187" ht="15.75" customHeight="1">
      <c r="A187" s="31"/>
      <c r="C187" s="28"/>
      <c r="D187" s="24" t="s">
        <v>12</v>
      </c>
      <c r="E187" s="29">
        <f>+D186+G186</f>
        <v>0</v>
      </c>
      <c r="F187" s="28"/>
      <c r="G187" s="28"/>
    </row>
    <row r="188" ht="15.75" customHeight="1">
      <c r="A188" s="40" t="s">
        <v>34</v>
      </c>
      <c r="B188" s="2"/>
      <c r="C188" s="2"/>
      <c r="D188" s="2"/>
      <c r="E188" s="3"/>
      <c r="F188" s="3"/>
      <c r="G188" s="3"/>
    </row>
    <row r="189" ht="15.75" customHeight="1">
      <c r="A189" s="4" t="s">
        <v>1</v>
      </c>
      <c r="B189" s="5" t="s">
        <v>2</v>
      </c>
      <c r="C189" s="5" t="s">
        <v>3</v>
      </c>
      <c r="D189" s="5" t="s">
        <v>4</v>
      </c>
      <c r="E189" s="5" t="s">
        <v>5</v>
      </c>
      <c r="F189" s="5" t="s">
        <v>3</v>
      </c>
      <c r="G189" s="5" t="s">
        <v>4</v>
      </c>
    </row>
    <row r="190" ht="15.75" customHeight="1">
      <c r="A190" s="6">
        <v>0.875</v>
      </c>
      <c r="B190" s="7"/>
      <c r="C190" s="8">
        <v>30.875</v>
      </c>
      <c r="D190" s="7">
        <f t="shared" ref="D190:D196" si="37">+B190*C190</f>
        <v>0</v>
      </c>
      <c r="E190" s="7"/>
      <c r="F190" s="7">
        <v>4.2</v>
      </c>
      <c r="G190" s="7">
        <f t="shared" ref="G190:G196" si="38">+E190*F190</f>
        <v>0</v>
      </c>
    </row>
    <row r="191" ht="15.75" customHeight="1">
      <c r="A191" s="6">
        <v>1.0</v>
      </c>
      <c r="B191" s="7"/>
      <c r="C191" s="10">
        <v>34.5</v>
      </c>
      <c r="D191" s="7">
        <f t="shared" si="37"/>
        <v>0</v>
      </c>
      <c r="E191" s="7"/>
      <c r="F191" s="7">
        <v>6.3</v>
      </c>
      <c r="G191" s="7">
        <f t="shared" si="38"/>
        <v>0</v>
      </c>
    </row>
    <row r="192" ht="15.75" customHeight="1">
      <c r="A192" s="6">
        <v>1.5</v>
      </c>
      <c r="B192" s="7"/>
      <c r="C192" s="13">
        <v>51.75</v>
      </c>
      <c r="D192" s="7">
        <f t="shared" si="37"/>
        <v>0</v>
      </c>
      <c r="E192" s="7"/>
      <c r="F192" s="7">
        <v>12.0</v>
      </c>
      <c r="G192" s="7">
        <f t="shared" si="38"/>
        <v>0</v>
      </c>
    </row>
    <row r="193" ht="15.75" customHeight="1">
      <c r="A193" s="6">
        <v>2.0</v>
      </c>
      <c r="B193" s="7"/>
      <c r="C193" s="16">
        <v>69.0</v>
      </c>
      <c r="D193" s="7">
        <f t="shared" si="37"/>
        <v>0</v>
      </c>
      <c r="E193" s="7"/>
      <c r="F193" s="7">
        <v>19.0</v>
      </c>
      <c r="G193" s="7">
        <f t="shared" si="38"/>
        <v>0</v>
      </c>
    </row>
    <row r="194" ht="15.75" customHeight="1">
      <c r="A194" s="6">
        <v>2.5</v>
      </c>
      <c r="B194" s="7"/>
      <c r="C194" s="13">
        <v>86.25</v>
      </c>
      <c r="D194" s="7">
        <f t="shared" si="37"/>
        <v>0</v>
      </c>
      <c r="E194" s="7"/>
      <c r="F194" s="7">
        <v>30.0</v>
      </c>
      <c r="G194" s="7">
        <f t="shared" si="38"/>
        <v>0</v>
      </c>
    </row>
    <row r="195" ht="15.75" customHeight="1">
      <c r="A195" s="6">
        <v>3.0</v>
      </c>
      <c r="B195" s="19"/>
      <c r="C195" s="7">
        <v>103.5</v>
      </c>
      <c r="D195" s="7">
        <f t="shared" si="37"/>
        <v>0</v>
      </c>
      <c r="E195" s="19"/>
      <c r="F195" s="7">
        <v>36.0</v>
      </c>
      <c r="G195" s="7">
        <f t="shared" si="38"/>
        <v>0</v>
      </c>
    </row>
    <row r="196" ht="15.75" customHeight="1">
      <c r="A196" s="22">
        <v>3.5</v>
      </c>
      <c r="B196" s="19"/>
      <c r="C196" s="23">
        <v>120.75</v>
      </c>
      <c r="D196" s="7">
        <f t="shared" si="37"/>
        <v>0</v>
      </c>
      <c r="E196" s="19"/>
      <c r="F196" s="23">
        <v>42.0</v>
      </c>
      <c r="G196" s="7">
        <f t="shared" si="38"/>
        <v>0</v>
      </c>
    </row>
    <row r="197" ht="15.75" customHeight="1">
      <c r="A197" s="6"/>
      <c r="B197" s="24" t="s">
        <v>10</v>
      </c>
      <c r="C197" s="25"/>
      <c r="D197" s="26">
        <f>SUM(D190:D196)</f>
        <v>0</v>
      </c>
      <c r="E197" s="27" t="s">
        <v>10</v>
      </c>
      <c r="F197" s="28"/>
      <c r="G197" s="29">
        <f>SUM(G190:G196)</f>
        <v>0</v>
      </c>
    </row>
    <row r="198" ht="15.75" customHeight="1">
      <c r="A198" s="31"/>
      <c r="C198" s="28"/>
      <c r="D198" s="24" t="s">
        <v>12</v>
      </c>
      <c r="E198" s="29">
        <f>+D197+G197</f>
        <v>0</v>
      </c>
      <c r="F198" s="28"/>
      <c r="G198" s="28"/>
    </row>
    <row r="199" ht="15.75" customHeight="1">
      <c r="A199" s="40" t="s">
        <v>35</v>
      </c>
      <c r="B199" s="2"/>
      <c r="C199" s="2"/>
      <c r="D199" s="2"/>
      <c r="E199" s="3"/>
      <c r="F199" s="3"/>
      <c r="G199" s="3"/>
    </row>
    <row r="200" ht="15.75" customHeight="1">
      <c r="A200" s="4" t="s">
        <v>1</v>
      </c>
      <c r="B200" s="5" t="s">
        <v>2</v>
      </c>
      <c r="C200" s="5" t="s">
        <v>3</v>
      </c>
      <c r="D200" s="5" t="s">
        <v>4</v>
      </c>
      <c r="E200" s="5" t="s">
        <v>5</v>
      </c>
      <c r="F200" s="5" t="s">
        <v>3</v>
      </c>
      <c r="G200" s="5" t="s">
        <v>4</v>
      </c>
    </row>
    <row r="201" ht="15.75" customHeight="1">
      <c r="A201" s="6">
        <v>0.875</v>
      </c>
      <c r="B201" s="7"/>
      <c r="C201" s="8">
        <v>30.875</v>
      </c>
      <c r="D201" s="7">
        <f t="shared" ref="D201:D207" si="39">+B201*C201</f>
        <v>0</v>
      </c>
      <c r="E201" s="7"/>
      <c r="F201" s="7">
        <v>4.2</v>
      </c>
      <c r="G201" s="7">
        <f t="shared" ref="G201:G207" si="40">+E201*F201</f>
        <v>0</v>
      </c>
    </row>
    <row r="202" ht="15.75" customHeight="1">
      <c r="A202" s="6">
        <v>1.0</v>
      </c>
      <c r="B202" s="7"/>
      <c r="C202" s="10">
        <v>34.5</v>
      </c>
      <c r="D202" s="7">
        <f t="shared" si="39"/>
        <v>0</v>
      </c>
      <c r="E202" s="7"/>
      <c r="F202" s="7">
        <v>6.3</v>
      </c>
      <c r="G202" s="7">
        <f t="shared" si="40"/>
        <v>0</v>
      </c>
    </row>
    <row r="203" ht="15.75" customHeight="1">
      <c r="A203" s="6">
        <v>1.5</v>
      </c>
      <c r="B203" s="7"/>
      <c r="C203" s="13">
        <v>51.75</v>
      </c>
      <c r="D203" s="7">
        <f t="shared" si="39"/>
        <v>0</v>
      </c>
      <c r="E203" s="7"/>
      <c r="F203" s="7">
        <v>12.0</v>
      </c>
      <c r="G203" s="7">
        <f t="shared" si="40"/>
        <v>0</v>
      </c>
    </row>
    <row r="204" ht="15.75" customHeight="1">
      <c r="A204" s="6">
        <v>2.0</v>
      </c>
      <c r="B204" s="7"/>
      <c r="C204" s="16">
        <v>69.0</v>
      </c>
      <c r="D204" s="7">
        <f t="shared" si="39"/>
        <v>0</v>
      </c>
      <c r="E204" s="7"/>
      <c r="F204" s="7">
        <v>19.0</v>
      </c>
      <c r="G204" s="7">
        <f t="shared" si="40"/>
        <v>0</v>
      </c>
    </row>
    <row r="205" ht="15.75" customHeight="1">
      <c r="A205" s="6">
        <v>2.5</v>
      </c>
      <c r="B205" s="7"/>
      <c r="C205" s="13">
        <v>86.25</v>
      </c>
      <c r="D205" s="7">
        <f t="shared" si="39"/>
        <v>0</v>
      </c>
      <c r="E205" s="7"/>
      <c r="F205" s="7">
        <v>30.0</v>
      </c>
      <c r="G205" s="7">
        <f t="shared" si="40"/>
        <v>0</v>
      </c>
    </row>
    <row r="206" ht="15.75" customHeight="1">
      <c r="A206" s="6">
        <v>3.0</v>
      </c>
      <c r="B206" s="19"/>
      <c r="C206" s="7">
        <v>103.5</v>
      </c>
      <c r="D206" s="7">
        <f t="shared" si="39"/>
        <v>0</v>
      </c>
      <c r="E206" s="19"/>
      <c r="F206" s="7">
        <v>36.0</v>
      </c>
      <c r="G206" s="7">
        <f t="shared" si="40"/>
        <v>0</v>
      </c>
    </row>
    <row r="207" ht="15.75" customHeight="1">
      <c r="A207" s="22">
        <v>3.5</v>
      </c>
      <c r="B207" s="19"/>
      <c r="C207" s="23">
        <v>120.75</v>
      </c>
      <c r="D207" s="7">
        <f t="shared" si="39"/>
        <v>0</v>
      </c>
      <c r="E207" s="19"/>
      <c r="F207" s="23">
        <v>42.0</v>
      </c>
      <c r="G207" s="7">
        <f t="shared" si="40"/>
        <v>0</v>
      </c>
    </row>
    <row r="208" ht="15.75" customHeight="1">
      <c r="A208" s="6"/>
      <c r="B208" s="24" t="s">
        <v>10</v>
      </c>
      <c r="C208" s="25"/>
      <c r="D208" s="26">
        <f>SUM(D201:D207)</f>
        <v>0</v>
      </c>
      <c r="E208" s="27" t="s">
        <v>10</v>
      </c>
      <c r="F208" s="28"/>
      <c r="G208" s="29">
        <f>SUM(G201:G207)</f>
        <v>0</v>
      </c>
    </row>
    <row r="209" ht="15.75" customHeight="1">
      <c r="A209" s="31"/>
      <c r="C209" s="28"/>
      <c r="D209" s="24" t="s">
        <v>12</v>
      </c>
      <c r="E209" s="29">
        <f>+D208+G208</f>
        <v>0</v>
      </c>
      <c r="F209" s="28"/>
      <c r="G209" s="28"/>
    </row>
    <row r="210" ht="15.75" customHeight="1">
      <c r="A210" s="1" t="s">
        <v>36</v>
      </c>
      <c r="B210" s="2"/>
      <c r="C210" s="2"/>
      <c r="D210" s="2"/>
      <c r="E210" s="3"/>
      <c r="F210" s="3"/>
      <c r="G210" s="3"/>
    </row>
    <row r="211" ht="15.75" customHeight="1">
      <c r="A211" s="4" t="s">
        <v>1</v>
      </c>
      <c r="B211" s="5" t="s">
        <v>2</v>
      </c>
      <c r="C211" s="5" t="s">
        <v>3</v>
      </c>
      <c r="D211" s="5" t="s">
        <v>4</v>
      </c>
      <c r="E211" s="5" t="s">
        <v>5</v>
      </c>
      <c r="F211" s="5" t="s">
        <v>3</v>
      </c>
      <c r="G211" s="5" t="s">
        <v>4</v>
      </c>
    </row>
    <row r="212" ht="15.75" customHeight="1">
      <c r="A212" s="6">
        <v>0.875</v>
      </c>
      <c r="B212" s="7"/>
      <c r="C212" s="8">
        <v>30.875</v>
      </c>
      <c r="D212" s="7">
        <f t="shared" ref="D212:D218" si="41">+B212*C212</f>
        <v>0</v>
      </c>
      <c r="E212" s="7"/>
      <c r="F212" s="7">
        <v>4.2</v>
      </c>
      <c r="G212" s="7">
        <f t="shared" ref="G212:G218" si="42">+E212*F212</f>
        <v>0</v>
      </c>
    </row>
    <row r="213" ht="15.75" customHeight="1">
      <c r="A213" s="6">
        <v>1.0</v>
      </c>
      <c r="B213" s="7"/>
      <c r="C213" s="10">
        <v>34.5</v>
      </c>
      <c r="D213" s="7">
        <f t="shared" si="41"/>
        <v>0</v>
      </c>
      <c r="E213" s="7"/>
      <c r="F213" s="7">
        <v>6.3</v>
      </c>
      <c r="G213" s="7">
        <f t="shared" si="42"/>
        <v>0</v>
      </c>
    </row>
    <row r="214" ht="15.75" customHeight="1">
      <c r="A214" s="6">
        <v>1.5</v>
      </c>
      <c r="B214" s="7"/>
      <c r="C214" s="13">
        <v>51.75</v>
      </c>
      <c r="D214" s="7">
        <f t="shared" si="41"/>
        <v>0</v>
      </c>
      <c r="E214" s="7"/>
      <c r="F214" s="7">
        <v>12.0</v>
      </c>
      <c r="G214" s="7">
        <f t="shared" si="42"/>
        <v>0</v>
      </c>
    </row>
    <row r="215" ht="15.75" customHeight="1">
      <c r="A215" s="6">
        <v>2.0</v>
      </c>
      <c r="B215" s="7"/>
      <c r="C215" s="16">
        <v>69.0</v>
      </c>
      <c r="D215" s="7">
        <f t="shared" si="41"/>
        <v>0</v>
      </c>
      <c r="E215" s="7"/>
      <c r="F215" s="7">
        <v>19.0</v>
      </c>
      <c r="G215" s="7">
        <f t="shared" si="42"/>
        <v>0</v>
      </c>
    </row>
    <row r="216" ht="15.75" customHeight="1">
      <c r="A216" s="6">
        <v>2.5</v>
      </c>
      <c r="B216" s="7"/>
      <c r="C216" s="13">
        <v>86.25</v>
      </c>
      <c r="D216" s="7">
        <f t="shared" si="41"/>
        <v>0</v>
      </c>
      <c r="E216" s="7"/>
      <c r="F216" s="7">
        <v>30.0</v>
      </c>
      <c r="G216" s="7">
        <f t="shared" si="42"/>
        <v>0</v>
      </c>
    </row>
    <row r="217" ht="15.75" customHeight="1">
      <c r="A217" s="6">
        <v>3.0</v>
      </c>
      <c r="B217" s="19"/>
      <c r="C217" s="7">
        <v>103.5</v>
      </c>
      <c r="D217" s="7">
        <f t="shared" si="41"/>
        <v>0</v>
      </c>
      <c r="E217" s="19"/>
      <c r="F217" s="7">
        <v>36.0</v>
      </c>
      <c r="G217" s="7">
        <f t="shared" si="42"/>
        <v>0</v>
      </c>
    </row>
    <row r="218" ht="15.75" customHeight="1">
      <c r="A218" s="22">
        <v>3.5</v>
      </c>
      <c r="B218" s="19"/>
      <c r="C218" s="23">
        <v>120.75</v>
      </c>
      <c r="D218" s="7">
        <f t="shared" si="41"/>
        <v>0</v>
      </c>
      <c r="E218" s="19"/>
      <c r="F218" s="23">
        <v>42.0</v>
      </c>
      <c r="G218" s="7">
        <f t="shared" si="42"/>
        <v>0</v>
      </c>
    </row>
    <row r="219" ht="15.75" customHeight="1">
      <c r="A219" s="6"/>
      <c r="B219" s="24" t="s">
        <v>10</v>
      </c>
      <c r="C219" s="25"/>
      <c r="D219" s="26">
        <f>SUM(D212:D218)</f>
        <v>0</v>
      </c>
      <c r="E219" s="27" t="s">
        <v>10</v>
      </c>
      <c r="F219" s="28"/>
      <c r="G219" s="29">
        <f>SUM(G212:G218)</f>
        <v>0</v>
      </c>
    </row>
    <row r="220" ht="15.75" customHeight="1">
      <c r="A220" s="31"/>
      <c r="C220" s="28"/>
      <c r="D220" s="24" t="s">
        <v>12</v>
      </c>
      <c r="E220" s="29">
        <f>+D219+G219</f>
        <v>0</v>
      </c>
      <c r="F220" s="28"/>
      <c r="G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10:C10"/>
    <mergeCell ref="B21:C21"/>
    <mergeCell ref="B32:C32"/>
    <mergeCell ref="B43:C43"/>
    <mergeCell ref="B54:C54"/>
    <mergeCell ref="B65:C65"/>
    <mergeCell ref="B76:C76"/>
    <mergeCell ref="B164:C164"/>
    <mergeCell ref="B175:C175"/>
    <mergeCell ref="B186:C186"/>
    <mergeCell ref="B197:C197"/>
    <mergeCell ref="B208:C208"/>
    <mergeCell ref="B219:C219"/>
    <mergeCell ref="B87:C87"/>
    <mergeCell ref="B98:C98"/>
    <mergeCell ref="B109:C109"/>
    <mergeCell ref="B120:C120"/>
    <mergeCell ref="B131:C131"/>
    <mergeCell ref="B142:C142"/>
    <mergeCell ref="B153:C153"/>
  </mergeCells>
  <printOptions/>
  <pageMargins bottom="0.66" footer="0.0" header="0.0" left="0.7" right="0.7" top="0.63"/>
  <pageSetup paperSize="9" orientation="portrait"/>
  <drawing r:id="rId1"/>
</worksheet>
</file>