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MANTELLOD\documentacion a presentar\Funciones-20210804T140215Z-001\Funciones\"/>
    </mc:Choice>
  </mc:AlternateContent>
  <xr:revisionPtr revIDLastSave="0" documentId="13_ncr:1_{7ADAB1F5-586A-480A-999F-4BB6D6E3DB0E}" xr6:coauthVersionLast="47" xr6:coauthVersionMax="47" xr10:uidLastSave="{00000000-0000-0000-0000-000000000000}"/>
  <bookViews>
    <workbookView minimized="1" xWindow="1860" yWindow="1860" windowWidth="15375" windowHeight="7875" xr2:uid="{54E71E86-629C-4290-AB68-10257EBD56AC}"/>
  </bookViews>
  <sheets>
    <sheet name="Correos" sheetId="1" r:id="rId1"/>
  </sheets>
  <definedNames>
    <definedName name="_xlnm._FilterDatabase" localSheetId="0" hidden="1">Correos!$B$2:$J$42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<sst xmlns="http://schemas.openxmlformats.org/spreadsheetml/2006/main" count="219" uniqueCount="133">
  <si>
    <t>#</t>
  </si>
  <si>
    <t>Nombre</t>
  </si>
  <si>
    <t>Apellidos</t>
  </si>
  <si>
    <t>Nombres completos</t>
  </si>
  <si>
    <t>Correo</t>
  </si>
  <si>
    <t># de Licencias</t>
  </si>
  <si>
    <t>Lic. asignada</t>
  </si>
  <si>
    <t>Licencia</t>
  </si>
  <si>
    <t>Angelo</t>
  </si>
  <si>
    <t>Sereni Nuñez</t>
  </si>
  <si>
    <t>angelo@mantellod.com.ec</t>
  </si>
  <si>
    <t>S</t>
  </si>
  <si>
    <t>Profesional</t>
  </si>
  <si>
    <t>Mariuxi</t>
  </si>
  <si>
    <t>Saman de Sereni</t>
  </si>
  <si>
    <t>mariuxi@mantellod.com.ec</t>
  </si>
  <si>
    <t>Limitada</t>
  </si>
  <si>
    <t>Ana</t>
  </si>
  <si>
    <t>Patiño</t>
  </si>
  <si>
    <t>contable@mantellod.com.ec</t>
  </si>
  <si>
    <t>Mónica</t>
  </si>
  <si>
    <t>Sánchez Chevez</t>
  </si>
  <si>
    <t>contable.expo@mantellod.com.ec</t>
  </si>
  <si>
    <t>Charito</t>
  </si>
  <si>
    <t>Plúas Vera</t>
  </si>
  <si>
    <t>operaciones@mantellod.com.ec</t>
  </si>
  <si>
    <t>Esther</t>
  </si>
  <si>
    <t>Sepa Ayala</t>
  </si>
  <si>
    <t>esther@mantellod.com.ec</t>
  </si>
  <si>
    <t>Walter</t>
  </si>
  <si>
    <t>Cadena Saldarriaga</t>
  </si>
  <si>
    <t>walter@mantellod.com.ec</t>
  </si>
  <si>
    <t>Samantha</t>
  </si>
  <si>
    <t>Morán Patiño</t>
  </si>
  <si>
    <t>asistentecontable1@mantellod.com.ec</t>
  </si>
  <si>
    <t>Fabricio</t>
  </si>
  <si>
    <t>asistentecontable2@mantellod.com.ec</t>
  </si>
  <si>
    <t>David</t>
  </si>
  <si>
    <t>Sarmiento Cobeña</t>
  </si>
  <si>
    <t>asistentecontable3@mantellod.com.ec</t>
  </si>
  <si>
    <t>Janina</t>
  </si>
  <si>
    <t>asistentecontable4@mantellod.com.ec</t>
  </si>
  <si>
    <t>Verónica</t>
  </si>
  <si>
    <t>Prado Peñaherrera</t>
  </si>
  <si>
    <t>asistentecontable5@mantellod.com.ec</t>
  </si>
  <si>
    <t>Tatiana</t>
  </si>
  <si>
    <t>Sepa Chavarria</t>
  </si>
  <si>
    <t>materiaprima1@mantellod.com.ec</t>
  </si>
  <si>
    <t>Ligia</t>
  </si>
  <si>
    <t>Vite Mendoza</t>
  </si>
  <si>
    <t>materiaprima2@mantellod.com.ec</t>
  </si>
  <si>
    <t>Nayeli</t>
  </si>
  <si>
    <t>Ostaiza Cusme</t>
  </si>
  <si>
    <t>materiaprima3@mantellod.com.ec</t>
  </si>
  <si>
    <t>Loor Zambrano</t>
  </si>
  <si>
    <t>materiaprima4@mantellod.com.ec</t>
  </si>
  <si>
    <t>María</t>
  </si>
  <si>
    <t>Jama Arteaga</t>
  </si>
  <si>
    <t>guias1@mantellod.com.ec</t>
  </si>
  <si>
    <t>N</t>
  </si>
  <si>
    <t>Luís</t>
  </si>
  <si>
    <t>Ruíz Jumbo</t>
  </si>
  <si>
    <t>guias2@mantellod.com.ec</t>
  </si>
  <si>
    <t>Ruth</t>
  </si>
  <si>
    <t>talentohumano1@mantellod.com.ec</t>
  </si>
  <si>
    <t>Rosa</t>
  </si>
  <si>
    <t>Veliz Alcivar</t>
  </si>
  <si>
    <t>talentohumano2@mantellod.com.ec</t>
  </si>
  <si>
    <t>Jorge</t>
  </si>
  <si>
    <t>Mendoza Guarderas</t>
  </si>
  <si>
    <t>juridico@mantellod.com.ec</t>
  </si>
  <si>
    <t>Mairerlin</t>
  </si>
  <si>
    <t>Ascanio Asocar</t>
  </si>
  <si>
    <t>seguridadindustrial@mantellod.com.ec</t>
  </si>
  <si>
    <t>Leyla</t>
  </si>
  <si>
    <t>Rodríguez Riera</t>
  </si>
  <si>
    <t>trabajosocial@mantellod.com.ec</t>
  </si>
  <si>
    <t>Adrian</t>
  </si>
  <si>
    <t>Freire Sandoval</t>
  </si>
  <si>
    <t>departamento.medico@mantellod.com.ec</t>
  </si>
  <si>
    <t>Jhonny</t>
  </si>
  <si>
    <t>Arteaga Zambrano</t>
  </si>
  <si>
    <t>mantenimiento.mecanico@mantellod.com.ec</t>
  </si>
  <si>
    <t>Hagy</t>
  </si>
  <si>
    <t>Gómez Muñoz</t>
  </si>
  <si>
    <t>mantenimiento.electrico@mantellod.com.ec</t>
  </si>
  <si>
    <t>Fernando</t>
  </si>
  <si>
    <t>Guarderas Quito</t>
  </si>
  <si>
    <t>bodega@mantellod.com.ec</t>
  </si>
  <si>
    <t>Rubén</t>
  </si>
  <si>
    <t>Rosado Mendoza</t>
  </si>
  <si>
    <t>area.secado@mantellod.com.ec</t>
  </si>
  <si>
    <t>Javier</t>
  </si>
  <si>
    <t>Quiroz Gordon</t>
  </si>
  <si>
    <t>area.maderaverde@mantellod.com.ec</t>
  </si>
  <si>
    <t>Jeanpierre</t>
  </si>
  <si>
    <t>Zambrano Kuffo</t>
  </si>
  <si>
    <t>area.aserrio@mantellod.com.ec</t>
  </si>
  <si>
    <t>Anderson</t>
  </si>
  <si>
    <t>Barreto Arteaga</t>
  </si>
  <si>
    <t>anderson@mantellod.com.ec</t>
  </si>
  <si>
    <t>Junior</t>
  </si>
  <si>
    <t>Cevallos Alcívar</t>
  </si>
  <si>
    <t>junior@mantellod.com.ec</t>
  </si>
  <si>
    <t>Agustina</t>
  </si>
  <si>
    <t>Montesdeoca Chávez</t>
  </si>
  <si>
    <t>agustina@mantellod.com.ec</t>
  </si>
  <si>
    <t>Gabriel</t>
  </si>
  <si>
    <t>Verduga Sánchez</t>
  </si>
  <si>
    <t>sistemas@mantellod.com.ec</t>
  </si>
  <si>
    <t>Jeniffer</t>
  </si>
  <si>
    <t>Barreto Moreira</t>
  </si>
  <si>
    <t>taller1@mantellod.com.ec</t>
  </si>
  <si>
    <t>Estefany</t>
  </si>
  <si>
    <t>Ponce Chalacama</t>
  </si>
  <si>
    <t>taller2@mantellod.com.ec</t>
  </si>
  <si>
    <t>Pedro</t>
  </si>
  <si>
    <t>Loor Marcillo</t>
  </si>
  <si>
    <t>despacho@mantellod.com.ec</t>
  </si>
  <si>
    <t>Edison</t>
  </si>
  <si>
    <t>Zambrano Hidalgo</t>
  </si>
  <si>
    <t>calidad@mantellod.com.ec</t>
  </si>
  <si>
    <t>Wilson</t>
  </si>
  <si>
    <t>Robles Palacios</t>
  </si>
  <si>
    <t>forestal@mantellod.com.ec</t>
  </si>
  <si>
    <t>Christian</t>
  </si>
  <si>
    <t>Paredes Vasconez</t>
  </si>
  <si>
    <t>compras@mantellod.com.ec</t>
  </si>
  <si>
    <t>TOTAL</t>
  </si>
  <si>
    <t>Funicón Levantada</t>
  </si>
  <si>
    <t>NA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</si>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</sst>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3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teriaprima1@mantellod.com.ec" TargetMode="External"/><Relationship Id="rId18" Type="http://schemas.openxmlformats.org/officeDocument/2006/relationships/hyperlink" Target="mailto:guias2@matellod.com.ec" TargetMode="External"/><Relationship Id="rId26" Type="http://schemas.openxmlformats.org/officeDocument/2006/relationships/hyperlink" Target="mailto:mantenimiento.electrico@matellod.com.ec" TargetMode="External"/><Relationship Id="rId39" Type="http://schemas.openxmlformats.org/officeDocument/2006/relationships/hyperlink" Target="mailto:forestal@mantellod.com.ec" TargetMode="External"/><Relationship Id="rId21" Type="http://schemas.openxmlformats.org/officeDocument/2006/relationships/hyperlink" Target="mailto:juridico@matellod.com.ec" TargetMode="External"/><Relationship Id="rId34" Type="http://schemas.openxmlformats.org/officeDocument/2006/relationships/hyperlink" Target="mailto:sistemas@mantellod.com.ec" TargetMode="External"/><Relationship Id="rId7" Type="http://schemas.openxmlformats.org/officeDocument/2006/relationships/hyperlink" Target="mailto:walter@matellod.com.ec" TargetMode="External"/><Relationship Id="rId2" Type="http://schemas.openxmlformats.org/officeDocument/2006/relationships/hyperlink" Target="mailto:mariuxi@matellod.com.ec" TargetMode="External"/><Relationship Id="rId16" Type="http://schemas.openxmlformats.org/officeDocument/2006/relationships/hyperlink" Target="mailto:materiaprima4@matellod.com.ec" TargetMode="External"/><Relationship Id="rId20" Type="http://schemas.openxmlformats.org/officeDocument/2006/relationships/hyperlink" Target="mailto:talentohumano2@matellod.com.ec" TargetMode="External"/><Relationship Id="rId29" Type="http://schemas.openxmlformats.org/officeDocument/2006/relationships/hyperlink" Target="mailto:area.maderaverde@mantellod.com.ec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ngelo@matellod.com.ec" TargetMode="External"/><Relationship Id="rId6" Type="http://schemas.openxmlformats.org/officeDocument/2006/relationships/hyperlink" Target="mailto:esther@matellod.com.ec" TargetMode="External"/><Relationship Id="rId11" Type="http://schemas.openxmlformats.org/officeDocument/2006/relationships/hyperlink" Target="mailto:asistentecontable4@matellod.com.ec" TargetMode="External"/><Relationship Id="rId24" Type="http://schemas.openxmlformats.org/officeDocument/2006/relationships/hyperlink" Target="mailto:departamento.medico@matellod.com.ec" TargetMode="External"/><Relationship Id="rId32" Type="http://schemas.openxmlformats.org/officeDocument/2006/relationships/hyperlink" Target="mailto:junior@mantellod.com.ec" TargetMode="External"/><Relationship Id="rId37" Type="http://schemas.openxmlformats.org/officeDocument/2006/relationships/hyperlink" Target="mailto:despacho@mantellod.com.ec" TargetMode="External"/><Relationship Id="rId40" Type="http://schemas.openxmlformats.org/officeDocument/2006/relationships/hyperlink" Target="mailto:compras@mantellod.com.ec" TargetMode="External"/><Relationship Id="rId5" Type="http://schemas.openxmlformats.org/officeDocument/2006/relationships/hyperlink" Target="mailto:operaciones@matellod.com.ec" TargetMode="External"/><Relationship Id="rId15" Type="http://schemas.openxmlformats.org/officeDocument/2006/relationships/hyperlink" Target="mailto:materiaprima3@matellod.com.ec" TargetMode="External"/><Relationship Id="rId23" Type="http://schemas.openxmlformats.org/officeDocument/2006/relationships/hyperlink" Target="mailto:trabajosocial@matellod.com.ec" TargetMode="External"/><Relationship Id="rId28" Type="http://schemas.openxmlformats.org/officeDocument/2006/relationships/hyperlink" Target="mailto:area.secado@matellod.com.ec" TargetMode="External"/><Relationship Id="rId36" Type="http://schemas.openxmlformats.org/officeDocument/2006/relationships/hyperlink" Target="mailto:taller2@mantellod.com.ec" TargetMode="External"/><Relationship Id="rId10" Type="http://schemas.openxmlformats.org/officeDocument/2006/relationships/hyperlink" Target="mailto:asistentecontable3@matellod.com.ec" TargetMode="External"/><Relationship Id="rId19" Type="http://schemas.openxmlformats.org/officeDocument/2006/relationships/hyperlink" Target="mailto:talentohumano1@matellod.com.ec" TargetMode="External"/><Relationship Id="rId31" Type="http://schemas.openxmlformats.org/officeDocument/2006/relationships/hyperlink" Target="mailto:anderson@mantellod.com.ec" TargetMode="External"/><Relationship Id="rId4" Type="http://schemas.openxmlformats.org/officeDocument/2006/relationships/hyperlink" Target="mailto:contable.expo@matellod.com.ec" TargetMode="External"/><Relationship Id="rId9" Type="http://schemas.openxmlformats.org/officeDocument/2006/relationships/hyperlink" Target="mailto:asistentecontable2@matellod.com.ec" TargetMode="External"/><Relationship Id="rId14" Type="http://schemas.openxmlformats.org/officeDocument/2006/relationships/hyperlink" Target="mailto:materiaprima2@matellod.com.ec" TargetMode="External"/><Relationship Id="rId22" Type="http://schemas.openxmlformats.org/officeDocument/2006/relationships/hyperlink" Target="mailto:seguridadindustrial@matellod.com.ec" TargetMode="External"/><Relationship Id="rId27" Type="http://schemas.openxmlformats.org/officeDocument/2006/relationships/hyperlink" Target="mailto:bodega@matellod.com.ec" TargetMode="External"/><Relationship Id="rId30" Type="http://schemas.openxmlformats.org/officeDocument/2006/relationships/hyperlink" Target="mailto:area.aserrio@mantellod.com.ec" TargetMode="External"/><Relationship Id="rId35" Type="http://schemas.openxmlformats.org/officeDocument/2006/relationships/hyperlink" Target="mailto:taller1@mantellod.com.ec" TargetMode="External"/><Relationship Id="rId8" Type="http://schemas.openxmlformats.org/officeDocument/2006/relationships/hyperlink" Target="mailto:asistentecontable1@matellod.com.ec" TargetMode="External"/><Relationship Id="rId3" Type="http://schemas.openxmlformats.org/officeDocument/2006/relationships/hyperlink" Target="mailto:contable@matellod.com.ec" TargetMode="External"/><Relationship Id="rId12" Type="http://schemas.openxmlformats.org/officeDocument/2006/relationships/hyperlink" Target="mailto:asistentecontable5@matellod.com.ec" TargetMode="External"/><Relationship Id="rId17" Type="http://schemas.openxmlformats.org/officeDocument/2006/relationships/hyperlink" Target="mailto:guias1@matellod.com.ec" TargetMode="External"/><Relationship Id="rId25" Type="http://schemas.openxmlformats.org/officeDocument/2006/relationships/hyperlink" Target="mailto:mantenimiento.mecanico@matellod.com.ec" TargetMode="External"/><Relationship Id="rId33" Type="http://schemas.openxmlformats.org/officeDocument/2006/relationships/hyperlink" Target="mailto:agustina@mantellod.com.ec" TargetMode="External"/><Relationship Id="rId38" Type="http://schemas.openxmlformats.org/officeDocument/2006/relationships/hyperlink" Target="mailto:calidad@mantellod.com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0E04-77D9-47E0-A8E8-37AF96C3882C}">
  <sheetPr filterMode="1"/>
  <dimension ref="B2:J44"/>
  <sheetViews>
    <sheetView tabSelected="1" topLeftCell="A17" zoomScale="90" zoomScaleNormal="90" workbookViewId="0">
      <selection activeCell="G31" sqref="G31"/>
    </sheetView>
  </sheetViews>
  <sheetFormatPr baseColWidth="10" defaultRowHeight="15" x14ac:dyDescent="0.25"/>
  <cols>
    <col min="1" max="1" width="4.42578125" customWidth="1"/>
    <col min="2" max="2" width="11.42578125" style="8"/>
    <col min="3" max="3" width="13.85546875" customWidth="1"/>
    <col min="4" max="4" width="22" customWidth="1"/>
    <col min="5" max="5" width="29.85546875" customWidth="1"/>
    <col min="6" max="6" width="39.7109375" customWidth="1"/>
    <col min="7" max="8" width="10.42578125" style="8" customWidth="1"/>
    <col min="9" max="9" width="19.42578125" style="11" customWidth="1"/>
  </cols>
  <sheetData>
    <row r="2" spans="2:10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2" t="s">
        <v>6</v>
      </c>
      <c r="I2" s="1" t="s">
        <v>7</v>
      </c>
      <c r="J2" s="12" t="s">
        <v>129</v>
      </c>
    </row>
    <row r="3" spans="2:10" hidden="1" x14ac:dyDescent="0.25">
      <c r="B3" s="3">
        <v>1</v>
      </c>
      <c r="C3" s="4" t="s">
        <v>8</v>
      </c>
      <c r="D3" s="4" t="s">
        <v>9</v>
      </c>
      <c r="E3" s="4" t="str">
        <f>+_xlfn.CONCAT(C3," ",D3)</f>
        <v>Angelo Sereni Nuñez</v>
      </c>
      <c r="F3" s="5" t="s">
        <v>10</v>
      </c>
      <c r="G3" s="6">
        <v>1</v>
      </c>
      <c r="H3" s="6" t="s">
        <v>11</v>
      </c>
      <c r="I3" s="7" t="s">
        <v>12</v>
      </c>
      <c r="J3" s="3" t="s">
        <v>130</v>
      </c>
    </row>
    <row r="4" spans="2:10" hidden="1" x14ac:dyDescent="0.25">
      <c r="B4" s="3">
        <v>2</v>
      </c>
      <c r="C4" s="4" t="s">
        <v>13</v>
      </c>
      <c r="D4" s="4" t="s">
        <v>14</v>
      </c>
      <c r="E4" s="4" t="str">
        <f t="shared" ref="E4:E42" si="0">+_xlfn.CONCAT(C4," ",D4)</f>
        <v>Mariuxi Saman de Sereni</v>
      </c>
      <c r="F4" s="5" t="s">
        <v>15</v>
      </c>
      <c r="G4" s="6">
        <v>1</v>
      </c>
      <c r="H4" s="6" t="s">
        <v>11</v>
      </c>
      <c r="I4" s="7" t="s">
        <v>16</v>
      </c>
      <c r="J4" s="3" t="s">
        <v>130</v>
      </c>
    </row>
    <row r="5" spans="2:10" hidden="1" x14ac:dyDescent="0.25">
      <c r="B5" s="3">
        <v>3</v>
      </c>
      <c r="C5" s="4" t="s">
        <v>17</v>
      </c>
      <c r="D5" s="4" t="s">
        <v>18</v>
      </c>
      <c r="E5" s="4" t="str">
        <f t="shared" si="0"/>
        <v>Ana Patiño</v>
      </c>
      <c r="F5" s="5" t="s">
        <v>19</v>
      </c>
      <c r="G5" s="6">
        <v>1</v>
      </c>
      <c r="H5" s="6" t="s">
        <v>11</v>
      </c>
      <c r="I5" s="7" t="s">
        <v>12</v>
      </c>
      <c r="J5" s="3" t="s">
        <v>131</v>
      </c>
    </row>
    <row r="6" spans="2:10" hidden="1" x14ac:dyDescent="0.25">
      <c r="B6" s="3">
        <v>4</v>
      </c>
      <c r="C6" s="4" t="s">
        <v>20</v>
      </c>
      <c r="D6" s="4" t="s">
        <v>21</v>
      </c>
      <c r="E6" s="4" t="str">
        <f t="shared" si="0"/>
        <v>Mónica Sánchez Chevez</v>
      </c>
      <c r="F6" s="5" t="s">
        <v>22</v>
      </c>
      <c r="G6" s="6">
        <v>1</v>
      </c>
      <c r="H6" s="6" t="s">
        <v>11</v>
      </c>
      <c r="I6" s="7" t="s">
        <v>16</v>
      </c>
      <c r="J6" s="14" t="s">
        <v>131</v>
      </c>
    </row>
    <row r="7" spans="2:10" hidden="1" x14ac:dyDescent="0.25">
      <c r="B7" s="3">
        <v>5</v>
      </c>
      <c r="C7" s="4" t="s">
        <v>23</v>
      </c>
      <c r="D7" s="4" t="s">
        <v>24</v>
      </c>
      <c r="E7" s="4" t="str">
        <f t="shared" si="0"/>
        <v>Charito Plúas Vera</v>
      </c>
      <c r="F7" s="5" t="s">
        <v>25</v>
      </c>
      <c r="G7" s="6">
        <v>1</v>
      </c>
      <c r="H7" s="6" t="s">
        <v>11</v>
      </c>
      <c r="I7" s="7" t="s">
        <v>16</v>
      </c>
      <c r="J7" s="17" t="s">
        <v>131</v>
      </c>
    </row>
    <row r="8" spans="2:10" hidden="1" x14ac:dyDescent="0.25">
      <c r="B8" s="3">
        <v>6</v>
      </c>
      <c r="C8" s="4" t="s">
        <v>26</v>
      </c>
      <c r="D8" s="4" t="s">
        <v>27</v>
      </c>
      <c r="E8" s="4" t="str">
        <f t="shared" si="0"/>
        <v>Esther Sepa Ayala</v>
      </c>
      <c r="F8" s="5" t="s">
        <v>28</v>
      </c>
      <c r="G8" s="6">
        <v>1</v>
      </c>
      <c r="H8" s="6" t="s">
        <v>11</v>
      </c>
      <c r="I8" s="7" t="s">
        <v>16</v>
      </c>
      <c r="J8" s="13" t="s">
        <v>131</v>
      </c>
    </row>
    <row r="9" spans="2:10" hidden="1" x14ac:dyDescent="0.25">
      <c r="B9" s="3">
        <v>7</v>
      </c>
      <c r="C9" s="4" t="s">
        <v>29</v>
      </c>
      <c r="D9" s="4" t="s">
        <v>30</v>
      </c>
      <c r="E9" s="4" t="str">
        <f t="shared" si="0"/>
        <v>Walter Cadena Saldarriaga</v>
      </c>
      <c r="F9" s="5" t="s">
        <v>31</v>
      </c>
      <c r="G9" s="18">
        <v>2</v>
      </c>
      <c r="H9" s="18" t="s">
        <v>11</v>
      </c>
      <c r="I9" s="20" t="s">
        <v>16</v>
      </c>
      <c r="J9" s="13" t="s">
        <v>131</v>
      </c>
    </row>
    <row r="10" spans="2:10" hidden="1" x14ac:dyDescent="0.25">
      <c r="B10" s="3">
        <v>8</v>
      </c>
      <c r="C10" s="4" t="s">
        <v>32</v>
      </c>
      <c r="D10" s="4" t="s">
        <v>33</v>
      </c>
      <c r="E10" s="4" t="str">
        <f t="shared" si="0"/>
        <v>Samantha Morán Patiño</v>
      </c>
      <c r="F10" s="5" t="s">
        <v>34</v>
      </c>
      <c r="G10" s="22"/>
      <c r="H10" s="22"/>
      <c r="I10" s="23"/>
      <c r="J10" s="14" t="s">
        <v>131</v>
      </c>
    </row>
    <row r="11" spans="2:10" hidden="1" x14ac:dyDescent="0.25">
      <c r="B11" s="3">
        <v>9</v>
      </c>
      <c r="C11" s="4" t="s">
        <v>35</v>
      </c>
      <c r="D11" s="4" t="s">
        <v>33</v>
      </c>
      <c r="E11" s="4" t="str">
        <f t="shared" si="0"/>
        <v>Fabricio Morán Patiño</v>
      </c>
      <c r="F11" s="5" t="s">
        <v>36</v>
      </c>
      <c r="G11" s="22"/>
      <c r="H11" s="22"/>
      <c r="I11" s="23"/>
      <c r="J11" s="14" t="s">
        <v>131</v>
      </c>
    </row>
    <row r="12" spans="2:10" hidden="1" x14ac:dyDescent="0.25">
      <c r="B12" s="3">
        <v>10</v>
      </c>
      <c r="C12" s="4" t="s">
        <v>37</v>
      </c>
      <c r="D12" s="4" t="s">
        <v>38</v>
      </c>
      <c r="E12" s="4" t="str">
        <f t="shared" si="0"/>
        <v>David Sarmiento Cobeña</v>
      </c>
      <c r="F12" s="5" t="s">
        <v>39</v>
      </c>
      <c r="G12" s="22"/>
      <c r="H12" s="22"/>
      <c r="I12" s="23"/>
      <c r="J12" s="17" t="s">
        <v>131</v>
      </c>
    </row>
    <row r="13" spans="2:10" x14ac:dyDescent="0.25">
      <c r="B13" s="3">
        <v>11</v>
      </c>
      <c r="C13" s="4" t="s">
        <v>40</v>
      </c>
      <c r="D13" s="4" t="s">
        <v>24</v>
      </c>
      <c r="E13" s="4" t="str">
        <f t="shared" si="0"/>
        <v>Janina Plúas Vera</v>
      </c>
      <c r="F13" s="5" t="s">
        <v>41</v>
      </c>
      <c r="G13" s="22"/>
      <c r="H13" s="22"/>
      <c r="I13" s="23"/>
      <c r="J13" s="3" t="s">
        <v>132</v>
      </c>
    </row>
    <row r="14" spans="2:10" hidden="1" x14ac:dyDescent="0.25">
      <c r="B14" s="3">
        <v>12</v>
      </c>
      <c r="C14" s="4" t="s">
        <v>42</v>
      </c>
      <c r="D14" s="4" t="s">
        <v>43</v>
      </c>
      <c r="E14" s="4" t="str">
        <f t="shared" si="0"/>
        <v>Verónica Prado Peñaherrera</v>
      </c>
      <c r="F14" s="5" t="s">
        <v>44</v>
      </c>
      <c r="G14" s="19"/>
      <c r="H14" s="19"/>
      <c r="I14" s="21"/>
      <c r="J14" s="16" t="s">
        <v>131</v>
      </c>
    </row>
    <row r="15" spans="2:10" hidden="1" x14ac:dyDescent="0.25">
      <c r="B15" s="3">
        <v>13</v>
      </c>
      <c r="C15" s="4" t="s">
        <v>45</v>
      </c>
      <c r="D15" s="4" t="s">
        <v>46</v>
      </c>
      <c r="E15" s="4" t="str">
        <f t="shared" si="0"/>
        <v>Tatiana Sepa Chavarria</v>
      </c>
      <c r="F15" s="5" t="s">
        <v>47</v>
      </c>
      <c r="G15" s="6">
        <v>1</v>
      </c>
      <c r="H15" s="6" t="s">
        <v>11</v>
      </c>
      <c r="I15" s="7" t="s">
        <v>16</v>
      </c>
      <c r="J15" s="13" t="s">
        <v>131</v>
      </c>
    </row>
    <row r="16" spans="2:10" hidden="1" x14ac:dyDescent="0.25">
      <c r="B16" s="3">
        <v>14</v>
      </c>
      <c r="C16" s="4" t="s">
        <v>48</v>
      </c>
      <c r="D16" s="4" t="s">
        <v>49</v>
      </c>
      <c r="E16" s="4" t="str">
        <f t="shared" si="0"/>
        <v>Ligia Vite Mendoza</v>
      </c>
      <c r="F16" s="5" t="s">
        <v>50</v>
      </c>
      <c r="G16" s="18">
        <v>1</v>
      </c>
      <c r="H16" s="18" t="s">
        <v>11</v>
      </c>
      <c r="I16" s="20" t="s">
        <v>16</v>
      </c>
      <c r="J16" s="13" t="s">
        <v>131</v>
      </c>
    </row>
    <row r="17" spans="2:10" x14ac:dyDescent="0.25">
      <c r="B17" s="3">
        <v>15</v>
      </c>
      <c r="C17" s="4" t="s">
        <v>51</v>
      </c>
      <c r="D17" s="4" t="s">
        <v>52</v>
      </c>
      <c r="E17" s="4" t="str">
        <f t="shared" si="0"/>
        <v>Nayeli Ostaiza Cusme</v>
      </c>
      <c r="F17" s="5" t="s">
        <v>53</v>
      </c>
      <c r="G17" s="22"/>
      <c r="H17" s="22"/>
      <c r="I17" s="23"/>
      <c r="J17" s="3" t="s">
        <v>132</v>
      </c>
    </row>
    <row r="18" spans="2:10" x14ac:dyDescent="0.25">
      <c r="B18" s="3">
        <v>16</v>
      </c>
      <c r="C18" s="4" t="s">
        <v>17</v>
      </c>
      <c r="D18" s="4" t="s">
        <v>54</v>
      </c>
      <c r="E18" s="4" t="str">
        <f t="shared" si="0"/>
        <v>Ana Loor Zambrano</v>
      </c>
      <c r="F18" s="5" t="s">
        <v>55</v>
      </c>
      <c r="G18" s="19"/>
      <c r="H18" s="19"/>
      <c r="I18" s="21"/>
      <c r="J18" s="3" t="s">
        <v>132</v>
      </c>
    </row>
    <row r="19" spans="2:10" x14ac:dyDescent="0.25">
      <c r="B19" s="3">
        <v>17</v>
      </c>
      <c r="C19" s="4" t="s">
        <v>56</v>
      </c>
      <c r="D19" s="4" t="s">
        <v>57</v>
      </c>
      <c r="E19" s="4" t="str">
        <f t="shared" si="0"/>
        <v>María Jama Arteaga</v>
      </c>
      <c r="F19" s="5" t="s">
        <v>58</v>
      </c>
      <c r="G19" s="6"/>
      <c r="H19" s="6" t="s">
        <v>59</v>
      </c>
      <c r="I19" s="7"/>
      <c r="J19" s="3" t="s">
        <v>132</v>
      </c>
    </row>
    <row r="20" spans="2:10" x14ac:dyDescent="0.25">
      <c r="B20" s="3">
        <v>18</v>
      </c>
      <c r="C20" s="4" t="s">
        <v>60</v>
      </c>
      <c r="D20" s="4" t="s">
        <v>61</v>
      </c>
      <c r="E20" s="4" t="str">
        <f t="shared" si="0"/>
        <v>Luís Ruíz Jumbo</v>
      </c>
      <c r="F20" s="5" t="s">
        <v>62</v>
      </c>
      <c r="G20" s="6"/>
      <c r="H20" s="6" t="s">
        <v>59</v>
      </c>
      <c r="I20" s="7"/>
      <c r="J20" s="3" t="s">
        <v>132</v>
      </c>
    </row>
    <row r="21" spans="2:10" x14ac:dyDescent="0.25">
      <c r="B21" s="3">
        <v>19</v>
      </c>
      <c r="C21" s="4" t="s">
        <v>63</v>
      </c>
      <c r="D21" s="4" t="s">
        <v>27</v>
      </c>
      <c r="E21" s="4" t="str">
        <f t="shared" si="0"/>
        <v>Ruth Sepa Ayala</v>
      </c>
      <c r="F21" s="5" t="s">
        <v>64</v>
      </c>
      <c r="G21" s="18">
        <v>1</v>
      </c>
      <c r="H21" s="18" t="s">
        <v>11</v>
      </c>
      <c r="I21" s="20" t="s">
        <v>16</v>
      </c>
      <c r="J21" s="3" t="s">
        <v>132</v>
      </c>
    </row>
    <row r="22" spans="2:10" x14ac:dyDescent="0.25">
      <c r="B22" s="3">
        <v>20</v>
      </c>
      <c r="C22" s="4" t="s">
        <v>65</v>
      </c>
      <c r="D22" s="4" t="s">
        <v>66</v>
      </c>
      <c r="E22" s="4" t="str">
        <f t="shared" si="0"/>
        <v>Rosa Veliz Alcivar</v>
      </c>
      <c r="F22" s="5" t="s">
        <v>67</v>
      </c>
      <c r="G22" s="19"/>
      <c r="H22" s="19"/>
      <c r="I22" s="21"/>
      <c r="J22" s="3" t="s">
        <v>132</v>
      </c>
    </row>
    <row r="23" spans="2:10" x14ac:dyDescent="0.25">
      <c r="B23" s="3">
        <v>21</v>
      </c>
      <c r="C23" s="4" t="s">
        <v>68</v>
      </c>
      <c r="D23" s="4" t="s">
        <v>69</v>
      </c>
      <c r="E23" s="4" t="str">
        <f t="shared" si="0"/>
        <v>Jorge Mendoza Guarderas</v>
      </c>
      <c r="F23" s="5" t="s">
        <v>70</v>
      </c>
      <c r="G23" s="6"/>
      <c r="H23" s="6" t="s">
        <v>59</v>
      </c>
      <c r="I23" s="7"/>
      <c r="J23" s="3" t="s">
        <v>132</v>
      </c>
    </row>
    <row r="24" spans="2:10" x14ac:dyDescent="0.25">
      <c r="B24" s="3">
        <v>22</v>
      </c>
      <c r="C24" s="4" t="s">
        <v>71</v>
      </c>
      <c r="D24" s="4" t="s">
        <v>72</v>
      </c>
      <c r="E24" s="4" t="str">
        <f t="shared" si="0"/>
        <v>Mairerlin Ascanio Asocar</v>
      </c>
      <c r="F24" s="5" t="s">
        <v>73</v>
      </c>
      <c r="G24" s="6"/>
      <c r="H24" s="6" t="s">
        <v>59</v>
      </c>
      <c r="I24" s="7"/>
      <c r="J24" s="3" t="s">
        <v>132</v>
      </c>
    </row>
    <row r="25" spans="2:10" x14ac:dyDescent="0.25">
      <c r="B25" s="3">
        <v>23</v>
      </c>
      <c r="C25" s="4" t="s">
        <v>74</v>
      </c>
      <c r="D25" s="4" t="s">
        <v>75</v>
      </c>
      <c r="E25" s="4" t="str">
        <f t="shared" si="0"/>
        <v>Leyla Rodríguez Riera</v>
      </c>
      <c r="F25" s="5" t="s">
        <v>76</v>
      </c>
      <c r="G25" s="6"/>
      <c r="H25" s="6" t="s">
        <v>59</v>
      </c>
      <c r="I25" s="7"/>
      <c r="J25" s="3" t="s">
        <v>132</v>
      </c>
    </row>
    <row r="26" spans="2:10" x14ac:dyDescent="0.25">
      <c r="B26" s="3">
        <v>24</v>
      </c>
      <c r="C26" s="4" t="s">
        <v>77</v>
      </c>
      <c r="D26" s="4" t="s">
        <v>78</v>
      </c>
      <c r="E26" s="4" t="str">
        <f t="shared" si="0"/>
        <v>Adrian Freire Sandoval</v>
      </c>
      <c r="F26" s="5" t="s">
        <v>79</v>
      </c>
      <c r="G26" s="6"/>
      <c r="H26" s="6" t="s">
        <v>59</v>
      </c>
      <c r="I26" s="7"/>
      <c r="J26" s="3" t="s">
        <v>132</v>
      </c>
    </row>
    <row r="27" spans="2:10" x14ac:dyDescent="0.25">
      <c r="B27" s="3">
        <v>25</v>
      </c>
      <c r="C27" s="4" t="s">
        <v>80</v>
      </c>
      <c r="D27" s="4" t="s">
        <v>81</v>
      </c>
      <c r="E27" s="4" t="str">
        <f t="shared" si="0"/>
        <v>Jhonny Arteaga Zambrano</v>
      </c>
      <c r="F27" s="5" t="s">
        <v>82</v>
      </c>
      <c r="G27" s="6"/>
      <c r="H27" s="6" t="s">
        <v>59</v>
      </c>
      <c r="I27" s="7"/>
      <c r="J27" s="3" t="s">
        <v>132</v>
      </c>
    </row>
    <row r="28" spans="2:10" x14ac:dyDescent="0.25">
      <c r="B28" s="3">
        <v>26</v>
      </c>
      <c r="C28" s="4" t="s">
        <v>83</v>
      </c>
      <c r="D28" s="4" t="s">
        <v>84</v>
      </c>
      <c r="E28" s="4" t="str">
        <f t="shared" si="0"/>
        <v>Hagy Gómez Muñoz</v>
      </c>
      <c r="F28" s="5" t="s">
        <v>85</v>
      </c>
      <c r="G28" s="6"/>
      <c r="H28" s="6" t="s">
        <v>59</v>
      </c>
      <c r="I28" s="7"/>
      <c r="J28" s="3" t="s">
        <v>132</v>
      </c>
    </row>
    <row r="29" spans="2:10" hidden="1" x14ac:dyDescent="0.25">
      <c r="B29" s="3">
        <v>27</v>
      </c>
      <c r="C29" s="4" t="s">
        <v>86</v>
      </c>
      <c r="D29" s="4" t="s">
        <v>87</v>
      </c>
      <c r="E29" s="4" t="str">
        <f t="shared" si="0"/>
        <v>Fernando Guarderas Quito</v>
      </c>
      <c r="F29" s="5" t="s">
        <v>88</v>
      </c>
      <c r="G29" s="6">
        <v>1</v>
      </c>
      <c r="H29" s="6" t="s">
        <v>11</v>
      </c>
      <c r="I29" s="7" t="s">
        <v>16</v>
      </c>
      <c r="J29" s="15" t="s">
        <v>131</v>
      </c>
    </row>
    <row r="30" spans="2:10" x14ac:dyDescent="0.25">
      <c r="B30" s="3">
        <v>28</v>
      </c>
      <c r="C30" s="4" t="s">
        <v>89</v>
      </c>
      <c r="D30" s="4" t="s">
        <v>90</v>
      </c>
      <c r="E30" s="4" t="str">
        <f t="shared" si="0"/>
        <v>Rubén Rosado Mendoza</v>
      </c>
      <c r="F30" s="5" t="s">
        <v>91</v>
      </c>
      <c r="G30" s="6">
        <v>1</v>
      </c>
      <c r="H30" s="6" t="s">
        <v>11</v>
      </c>
      <c r="I30" s="7" t="s">
        <v>16</v>
      </c>
      <c r="J30" s="3" t="s">
        <v>132</v>
      </c>
    </row>
    <row r="31" spans="2:10" x14ac:dyDescent="0.25">
      <c r="B31" s="3">
        <v>29</v>
      </c>
      <c r="C31" s="4" t="s">
        <v>92</v>
      </c>
      <c r="D31" s="4" t="s">
        <v>93</v>
      </c>
      <c r="E31" s="4" t="str">
        <f t="shared" si="0"/>
        <v>Javier Quiroz Gordon</v>
      </c>
      <c r="F31" s="5" t="s">
        <v>94</v>
      </c>
      <c r="G31" s="6">
        <v>1</v>
      </c>
      <c r="H31" s="6" t="s">
        <v>11</v>
      </c>
      <c r="I31" s="7" t="s">
        <v>16</v>
      </c>
      <c r="J31" s="3" t="s">
        <v>132</v>
      </c>
    </row>
    <row r="32" spans="2:10" x14ac:dyDescent="0.25">
      <c r="B32" s="3">
        <v>30</v>
      </c>
      <c r="C32" s="4" t="s">
        <v>95</v>
      </c>
      <c r="D32" s="4" t="s">
        <v>96</v>
      </c>
      <c r="E32" s="4" t="str">
        <f t="shared" si="0"/>
        <v>Jeanpierre Zambrano Kuffo</v>
      </c>
      <c r="F32" s="5" t="s">
        <v>97</v>
      </c>
      <c r="G32" s="6">
        <v>1</v>
      </c>
      <c r="H32" s="6" t="s">
        <v>11</v>
      </c>
      <c r="I32" s="7" t="s">
        <v>16</v>
      </c>
      <c r="J32" s="3" t="s">
        <v>132</v>
      </c>
    </row>
    <row r="33" spans="2:10" x14ac:dyDescent="0.25">
      <c r="B33" s="3">
        <v>31</v>
      </c>
      <c r="C33" s="4" t="s">
        <v>98</v>
      </c>
      <c r="D33" s="4" t="s">
        <v>99</v>
      </c>
      <c r="E33" s="4" t="str">
        <f t="shared" si="0"/>
        <v>Anderson Barreto Arteaga</v>
      </c>
      <c r="F33" s="5" t="s">
        <v>100</v>
      </c>
      <c r="G33" s="6"/>
      <c r="H33" s="6" t="s">
        <v>59</v>
      </c>
      <c r="I33" s="7"/>
      <c r="J33" s="3" t="s">
        <v>132</v>
      </c>
    </row>
    <row r="34" spans="2:10" x14ac:dyDescent="0.25">
      <c r="B34" s="3">
        <v>32</v>
      </c>
      <c r="C34" s="4" t="s">
        <v>101</v>
      </c>
      <c r="D34" s="4" t="s">
        <v>102</v>
      </c>
      <c r="E34" s="4" t="str">
        <f t="shared" si="0"/>
        <v>Junior Cevallos Alcívar</v>
      </c>
      <c r="F34" s="5" t="s">
        <v>103</v>
      </c>
      <c r="G34" s="6"/>
      <c r="H34" s="6" t="s">
        <v>59</v>
      </c>
      <c r="I34" s="7"/>
      <c r="J34" s="3" t="s">
        <v>132</v>
      </c>
    </row>
    <row r="35" spans="2:10" x14ac:dyDescent="0.25">
      <c r="B35" s="3">
        <v>33</v>
      </c>
      <c r="C35" s="4" t="s">
        <v>104</v>
      </c>
      <c r="D35" s="4" t="s">
        <v>105</v>
      </c>
      <c r="E35" s="4" t="str">
        <f t="shared" si="0"/>
        <v>Agustina Montesdeoca Chávez</v>
      </c>
      <c r="F35" s="5" t="s">
        <v>106</v>
      </c>
      <c r="G35" s="6"/>
      <c r="H35" s="6" t="s">
        <v>59</v>
      </c>
      <c r="I35" s="7"/>
      <c r="J35" s="3" t="s">
        <v>132</v>
      </c>
    </row>
    <row r="36" spans="2:10" x14ac:dyDescent="0.25">
      <c r="B36" s="3">
        <v>34</v>
      </c>
      <c r="C36" s="4" t="s">
        <v>107</v>
      </c>
      <c r="D36" s="4" t="s">
        <v>108</v>
      </c>
      <c r="E36" s="4" t="str">
        <f t="shared" si="0"/>
        <v>Gabriel Verduga Sánchez</v>
      </c>
      <c r="F36" s="5" t="s">
        <v>109</v>
      </c>
      <c r="G36" s="6">
        <v>1</v>
      </c>
      <c r="H36" s="6" t="s">
        <v>11</v>
      </c>
      <c r="I36" s="7" t="s">
        <v>16</v>
      </c>
      <c r="J36" s="3" t="s">
        <v>132</v>
      </c>
    </row>
    <row r="37" spans="2:10" hidden="1" x14ac:dyDescent="0.25">
      <c r="B37" s="3">
        <v>35</v>
      </c>
      <c r="C37" s="4" t="s">
        <v>110</v>
      </c>
      <c r="D37" s="4" t="s">
        <v>111</v>
      </c>
      <c r="E37" s="4" t="str">
        <f t="shared" si="0"/>
        <v>Jeniffer Barreto Moreira</v>
      </c>
      <c r="F37" s="5" t="s">
        <v>112</v>
      </c>
      <c r="G37" s="18">
        <v>1</v>
      </c>
      <c r="H37" s="18" t="s">
        <v>11</v>
      </c>
      <c r="I37" s="20" t="s">
        <v>16</v>
      </c>
      <c r="J37" s="14" t="s">
        <v>131</v>
      </c>
    </row>
    <row r="38" spans="2:10" x14ac:dyDescent="0.25">
      <c r="B38" s="3">
        <v>36</v>
      </c>
      <c r="C38" s="4" t="s">
        <v>113</v>
      </c>
      <c r="D38" s="4" t="s">
        <v>114</v>
      </c>
      <c r="E38" s="4" t="str">
        <f t="shared" si="0"/>
        <v>Estefany Ponce Chalacama</v>
      </c>
      <c r="F38" s="5" t="s">
        <v>115</v>
      </c>
      <c r="G38" s="19"/>
      <c r="H38" s="19"/>
      <c r="I38" s="21"/>
      <c r="J38" s="3" t="s">
        <v>132</v>
      </c>
    </row>
    <row r="39" spans="2:10" x14ac:dyDescent="0.25">
      <c r="B39" s="3">
        <v>37</v>
      </c>
      <c r="C39" s="4" t="s">
        <v>116</v>
      </c>
      <c r="D39" s="4" t="s">
        <v>117</v>
      </c>
      <c r="E39" s="4" t="str">
        <f t="shared" si="0"/>
        <v>Pedro Loor Marcillo</v>
      </c>
      <c r="F39" s="5" t="s">
        <v>118</v>
      </c>
      <c r="G39" s="6">
        <v>1</v>
      </c>
      <c r="H39" s="6" t="s">
        <v>11</v>
      </c>
      <c r="I39" s="7" t="s">
        <v>16</v>
      </c>
      <c r="J39" s="3" t="s">
        <v>132</v>
      </c>
    </row>
    <row r="40" spans="2:10" x14ac:dyDescent="0.25">
      <c r="B40" s="3">
        <v>38</v>
      </c>
      <c r="C40" s="4" t="s">
        <v>119</v>
      </c>
      <c r="D40" s="4" t="s">
        <v>120</v>
      </c>
      <c r="E40" s="4" t="str">
        <f t="shared" si="0"/>
        <v>Edison Zambrano Hidalgo</v>
      </c>
      <c r="F40" s="5" t="s">
        <v>121</v>
      </c>
      <c r="G40" s="6">
        <v>1</v>
      </c>
      <c r="H40" s="6" t="s">
        <v>11</v>
      </c>
      <c r="I40" s="7" t="s">
        <v>16</v>
      </c>
      <c r="J40" s="3" t="s">
        <v>132</v>
      </c>
    </row>
    <row r="41" spans="2:10" x14ac:dyDescent="0.25">
      <c r="B41" s="3">
        <v>39</v>
      </c>
      <c r="C41" s="4" t="s">
        <v>122</v>
      </c>
      <c r="D41" s="4" t="s">
        <v>123</v>
      </c>
      <c r="E41" s="4" t="str">
        <f t="shared" si="0"/>
        <v>Wilson Robles Palacios</v>
      </c>
      <c r="F41" s="5" t="s">
        <v>124</v>
      </c>
      <c r="G41" s="6"/>
      <c r="H41" s="6" t="s">
        <v>59</v>
      </c>
      <c r="I41" s="7"/>
      <c r="J41" s="3" t="s">
        <v>132</v>
      </c>
    </row>
    <row r="42" spans="2:10" hidden="1" x14ac:dyDescent="0.25">
      <c r="B42" s="3">
        <v>40</v>
      </c>
      <c r="C42" s="4" t="s">
        <v>125</v>
      </c>
      <c r="D42" s="4" t="s">
        <v>126</v>
      </c>
      <c r="E42" s="4" t="str">
        <f t="shared" si="0"/>
        <v>Christian Paredes Vasconez</v>
      </c>
      <c r="F42" s="5" t="s">
        <v>127</v>
      </c>
      <c r="G42" s="6"/>
      <c r="H42" s="6" t="s">
        <v>59</v>
      </c>
      <c r="I42" s="7"/>
      <c r="J42" s="14" t="s">
        <v>131</v>
      </c>
    </row>
    <row r="44" spans="2:10" x14ac:dyDescent="0.25">
      <c r="F44" s="9" t="s">
        <v>128</v>
      </c>
      <c r="G44" s="10">
        <f>SUM(G3:G42)</f>
        <v>19</v>
      </c>
    </row>
  </sheetData>
  <autoFilter ref="B2:J42" xr:uid="{B8A80E04-77D9-47E0-A8E8-37AF96C3882C}">
    <filterColumn colId="8">
      <filters>
        <filter val="NO"/>
      </filters>
    </filterColumn>
  </autoFilter>
  <mergeCells count="12">
    <mergeCell ref="G9:G14"/>
    <mergeCell ref="H9:H14"/>
    <mergeCell ref="I9:I14"/>
    <mergeCell ref="G16:G18"/>
    <mergeCell ref="H16:H18"/>
    <mergeCell ref="I16:I18"/>
    <mergeCell ref="G21:G22"/>
    <mergeCell ref="H21:H22"/>
    <mergeCell ref="I21:I22"/>
    <mergeCell ref="G37:G38"/>
    <mergeCell ref="H37:H38"/>
    <mergeCell ref="I37:I38"/>
  </mergeCells>
  <hyperlinks>
    <hyperlink ref="F3" r:id="rId1" display="angelo@matellod.com.ec" xr:uid="{5C66BCB9-8085-4B66-BDB2-3A96389EE53E}"/>
    <hyperlink ref="F4" r:id="rId2" display="mariuxi@matellod.com.ec" xr:uid="{467A3201-4DB3-440F-8BF1-DBF0EDDBAD2E}"/>
    <hyperlink ref="F5" r:id="rId3" display="contable@matellod.com.ec" xr:uid="{C73205FA-7327-44F8-A7CE-CAB6D53A785F}"/>
    <hyperlink ref="F6" r:id="rId4" display="contable.expo@matellod.com.ec" xr:uid="{51A69584-615E-43DA-983C-5BE5C68F2E44}"/>
    <hyperlink ref="F7" r:id="rId5" display="operaciones@matellod.com.ec" xr:uid="{5ABD41C6-23C4-4396-AA9B-6081353A290F}"/>
    <hyperlink ref="F8" r:id="rId6" display="esther@matellod.com.ec" xr:uid="{449E6179-58A7-42F8-A4A0-93F4562D2363}"/>
    <hyperlink ref="F9" r:id="rId7" display="walter@matellod.com.ec" xr:uid="{73516855-84CE-44D8-B8DB-6B207BCAA640}"/>
    <hyperlink ref="F10" r:id="rId8" display="asistentecontable1@matellod.com.ec" xr:uid="{65CCDCE9-FAD2-47AD-A88B-B461714F6CC5}"/>
    <hyperlink ref="F11" r:id="rId9" display="asistentecontable2@matellod.com.ec" xr:uid="{098631A7-DC62-4141-B483-7666D39FB445}"/>
    <hyperlink ref="F12" r:id="rId10" display="asistentecontable3@matellod.com.ec" xr:uid="{3C2ACF65-78B3-4AEA-80B8-082461D51C03}"/>
    <hyperlink ref="F13" r:id="rId11" display="asistentecontable4@matellod.com.ec" xr:uid="{D8F6E199-49D1-44C5-9402-6AD253AEBC12}"/>
    <hyperlink ref="F14" r:id="rId12" display="asistentecontable5@matellod.com.ec" xr:uid="{8B752590-2F6A-4595-8F8C-023EF86BFAAD}"/>
    <hyperlink ref="F15" r:id="rId13" xr:uid="{23775B1E-B32A-4FC2-8472-5C7B81C1C6D7}"/>
    <hyperlink ref="F16" r:id="rId14" display="materiaprima2@matellod.com.ec" xr:uid="{D07EF814-F329-49A4-A018-B6B8B09DC95E}"/>
    <hyperlink ref="F17" r:id="rId15" display="materiaprima3@matellod.com.ec" xr:uid="{B09BCC50-4A7E-425B-9282-46C39A09D58F}"/>
    <hyperlink ref="F18" r:id="rId16" display="materiaprima4@matellod.com.ec" xr:uid="{86B36922-9877-4722-91DE-F5092E6DB95C}"/>
    <hyperlink ref="F19" r:id="rId17" display="guias1@matellod.com.ec" xr:uid="{3B6F4E7F-586D-48CB-886E-8BA454631167}"/>
    <hyperlink ref="F20" r:id="rId18" display="guias2@matellod.com.ec" xr:uid="{CEF34D56-7577-4806-9F17-D5ECD25A1427}"/>
    <hyperlink ref="F21" r:id="rId19" display="talentohumano1@matellod.com.ec" xr:uid="{F1F75CF5-8FE1-4577-90A9-15E9B461A142}"/>
    <hyperlink ref="F22" r:id="rId20" display="talentohumano2@matellod.com.ec" xr:uid="{7B90C8E0-FEBB-4E2F-8233-205D48E42392}"/>
    <hyperlink ref="F23" r:id="rId21" display="juridico@matellod.com.ec" xr:uid="{E89651BC-9201-44AE-95B6-393C5A45E483}"/>
    <hyperlink ref="F24" r:id="rId22" display="seguridadindustrial@matellod.com.ec" xr:uid="{4E33FC85-6C11-4B0D-9A29-5D3E0F02B8C9}"/>
    <hyperlink ref="F25" r:id="rId23" display="trabajosocial@matellod.com.ec" xr:uid="{91157B21-7D77-4B30-B840-D63541D0E6F4}"/>
    <hyperlink ref="F26" r:id="rId24" display="departamento.medico@matellod.com.ec" xr:uid="{95A19915-A85D-4EE2-98F3-513477627F7E}"/>
    <hyperlink ref="F27" r:id="rId25" display="mantenimiento.mecanico@matellod.com.ec" xr:uid="{4C02EA87-AB40-4B34-9190-5A87C2423565}"/>
    <hyperlink ref="F28" r:id="rId26" display="mantenimiento.electrico@matellod.com.ec" xr:uid="{820BA1F0-B87C-4329-8E5D-05A8393FBB75}"/>
    <hyperlink ref="F29" r:id="rId27" display="bodega@matellod.com.ec" xr:uid="{CCFF6D0B-DC02-4F8D-9EEE-D3D87A40CF3A}"/>
    <hyperlink ref="F30" r:id="rId28" display="area.secado@matellod.com.ec" xr:uid="{D62ADF35-7913-4317-B946-293B04092554}"/>
    <hyperlink ref="F31" r:id="rId29" xr:uid="{492669C4-4762-4D5A-AAE5-7F44325AAE3B}"/>
    <hyperlink ref="F32" r:id="rId30" xr:uid="{34A97D95-80C9-4467-BAE3-1689613384B8}"/>
    <hyperlink ref="F33" r:id="rId31" xr:uid="{FAEB99D5-65DE-4A8F-8191-8547B4A10CA8}"/>
    <hyperlink ref="F34" r:id="rId32" xr:uid="{95523581-EF95-4138-A8E6-2420ACA2F45A}"/>
    <hyperlink ref="F35" r:id="rId33" xr:uid="{4426D0DE-D5E6-4E8F-868F-8BB91C98ED11}"/>
    <hyperlink ref="F36" r:id="rId34" xr:uid="{16E6D53D-AE48-4C30-9771-4F8102A06B63}"/>
    <hyperlink ref="F37" r:id="rId35" xr:uid="{B63F3A95-31E9-4454-A8E4-163456EBA1AF}"/>
    <hyperlink ref="F38" r:id="rId36" xr:uid="{BD538D18-6372-4C32-95ED-8EF2AC8D7B61}"/>
    <hyperlink ref="F39" r:id="rId37" xr:uid="{BF7DDB4F-590E-448B-BE75-BA1C4264C7B2}"/>
    <hyperlink ref="F40" r:id="rId38" xr:uid="{8A7AB252-B46B-4382-9A3A-CBCFD0534A00}"/>
    <hyperlink ref="F41" r:id="rId39" xr:uid="{85CEC08B-74A4-4FDF-B1C3-534C42F4D23F}"/>
    <hyperlink ref="F42" r:id="rId40" xr:uid="{2A4CC845-1772-44B6-B8C4-1FC6A75E3952}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Pazmiño</dc:creator>
  <cp:lastModifiedBy>CarlosReyes</cp:lastModifiedBy>
  <dcterms:created xsi:type="dcterms:W3CDTF">2021-06-03T16:18:27Z</dcterms:created>
  <dcterms:modified xsi:type="dcterms:W3CDTF">2021-08-20T12:26:50Z</dcterms:modified>
</cp:coreProperties>
</file>