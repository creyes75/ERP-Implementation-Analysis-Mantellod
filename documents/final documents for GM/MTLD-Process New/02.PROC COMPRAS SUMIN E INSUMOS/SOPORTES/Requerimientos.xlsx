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640" windowHeight="7920"/>
  </bookViews>
  <sheets>
    <sheet name="Hoja1" sheetId="3" r:id="rId1"/>
  </sheets>
  <calcPr calcId="152511"/>
</workbook>
</file>

<file path=xl/calcChain.xml><?xml version="1.0" encoding="utf-8"?>
<calcChain xmlns="http://schemas.openxmlformats.org/spreadsheetml/2006/main">
  <c r="D28" i="3" l="1"/>
  <c r="C28" i="3"/>
  <c r="D27" i="3"/>
  <c r="D26" i="3"/>
  <c r="D25" i="3"/>
  <c r="D24" i="3"/>
  <c r="D23" i="3"/>
  <c r="D22" i="3"/>
  <c r="D21" i="3"/>
  <c r="D20" i="3"/>
  <c r="D19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29" i="3" l="1"/>
  <c r="C30" i="3" s="1"/>
  <c r="D29" i="3"/>
  <c r="D30" i="3" s="1"/>
</calcChain>
</file>

<file path=xl/sharedStrings.xml><?xml version="1.0" encoding="utf-8"?>
<sst xmlns="http://schemas.openxmlformats.org/spreadsheetml/2006/main" count="27" uniqueCount="27">
  <si>
    <t xml:space="preserve">REQUERIMIENTO LIMPIEZA </t>
  </si>
  <si>
    <t xml:space="preserve">PROVIND </t>
  </si>
  <si>
    <t xml:space="preserve">FERROMAQ </t>
  </si>
  <si>
    <t>CANECAS DE CLORO LIQUIDO</t>
  </si>
  <si>
    <t>CANECAS DE AROMATIZANTE FLORAL</t>
  </si>
  <si>
    <t>CANECAS DE DETERGENTE LIQUIDO</t>
  </si>
  <si>
    <t>GALONES DE SILICON LIQUIDO</t>
  </si>
  <si>
    <t>GALONES DE JABON LIQUIDO DE MANOS</t>
  </si>
  <si>
    <t>CANECA DE LIMPIA SARRO</t>
  </si>
  <si>
    <t>TACHITO DE CREMA PARA LAVAR PLATOS LAVA</t>
  </si>
  <si>
    <t xml:space="preserve">AROMATIZANTE EN SPRAY GLADE </t>
  </si>
  <si>
    <t xml:space="preserve">ROLLO DE PAPEL HIGIENICO INDUSTRIAL </t>
  </si>
  <si>
    <t>PAQUETE DE FUNDA TIPO CAMISETA</t>
  </si>
  <si>
    <t>PAQUETES DE FUNDA PARA BASURA</t>
  </si>
  <si>
    <t>PARES DE GUANTES #6</t>
  </si>
  <si>
    <t>PARES DE GUANTES #8</t>
  </si>
  <si>
    <t xml:space="preserve">TRAPEADORES </t>
  </si>
  <si>
    <t>REQUERIMIENTO MOTORES ASERRIO</t>
  </si>
  <si>
    <t xml:space="preserve">JUEGOS DE PIÑONES DE DISTRIBUCION ZS-1100 </t>
  </si>
  <si>
    <t>BOMBAS DE ACEITE ZS-1100</t>
  </si>
  <si>
    <t>CAÑERIAS DE RETORNO DE COMBUSTIBLE LARGA ZS-1100</t>
  </si>
  <si>
    <t xml:space="preserve">RADIADORES </t>
  </si>
  <si>
    <t xml:space="preserve">JUEGO DE EMPAQUES COMPLETOS </t>
  </si>
  <si>
    <t xml:space="preserve">VENTILADORES </t>
  </si>
  <si>
    <t>JUEGO DE RINES ZS-1100</t>
  </si>
  <si>
    <t>PARES DE CHAPA 1105</t>
  </si>
  <si>
    <t>ESCAPES COMPLETOS ZS-1100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</si>
</sst>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\ * #,##0.00_);_(&quot;$&quot;\ * \(#,##0.00\);_(&quot;$&quot;\ 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3" fillId="4" borderId="1" xfId="1" applyFont="1" applyFill="1" applyBorder="1"/>
    <xf numFmtId="44" fontId="4" fillId="2" borderId="2" xfId="1" applyFont="1" applyFill="1" applyBorder="1"/>
    <xf numFmtId="44" fontId="4" fillId="0" borderId="1" xfId="1" applyFont="1" applyBorder="1"/>
    <xf numFmtId="0" fontId="0" fillId="2" borderId="1" xfId="0" applyFill="1" applyBorder="1"/>
    <xf numFmtId="0" fontId="0" fillId="2" borderId="0" xfId="0" applyFill="1"/>
    <xf numFmtId="0" fontId="2" fillId="2" borderId="0" xfId="0" applyFont="1" applyFill="1" applyAlignment="1">
      <alignment horizontal="center"/>
    </xf>
    <xf numFmtId="44" fontId="1" fillId="2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3" xfId="0" applyFill="1" applyBorder="1"/>
    <xf numFmtId="0" fontId="2" fillId="2" borderId="0" xfId="0" applyFont="1" applyFill="1" applyBorder="1" applyAlignment="1">
      <alignment horizontal="center"/>
    </xf>
    <xf numFmtId="0" fontId="0" fillId="2" borderId="4" xfId="0" applyFill="1" applyBorder="1"/>
    <xf numFmtId="0" fontId="0" fillId="2" borderId="4" xfId="0" applyFont="1" applyFill="1" applyBorder="1" applyAlignment="1">
      <alignment horizontal="left"/>
    </xf>
    <xf numFmtId="44" fontId="1" fillId="2" borderId="4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30"/>
  <sheetViews>
    <sheetView tabSelected="1" workbookViewId="0">
      <selection activeCell="E27" sqref="E27"/>
    </sheetView>
  </sheetViews>
  <sheetFormatPr baseColWidth="10" defaultRowHeight="15" x14ac:dyDescent="0.25"/>
  <cols>
    <col min="1" max="1" width="5.140625" customWidth="1"/>
    <col min="2" max="2" width="78" bestFit="1" customWidth="1"/>
    <col min="3" max="3" width="13" style="5" bestFit="1" customWidth="1"/>
    <col min="257" max="257" width="5.140625" customWidth="1"/>
    <col min="258" max="258" width="78" bestFit="1" customWidth="1"/>
    <col min="259" max="259" width="13" bestFit="1" customWidth="1"/>
    <col min="513" max="513" width="5.140625" customWidth="1"/>
    <col min="514" max="514" width="78" bestFit="1" customWidth="1"/>
    <col min="515" max="515" width="13" bestFit="1" customWidth="1"/>
    <col min="769" max="769" width="5.140625" customWidth="1"/>
    <col min="770" max="770" width="78" bestFit="1" customWidth="1"/>
    <col min="771" max="771" width="13" bestFit="1" customWidth="1"/>
    <col min="1025" max="1025" width="5.140625" customWidth="1"/>
    <col min="1026" max="1026" width="78" bestFit="1" customWidth="1"/>
    <col min="1027" max="1027" width="13" bestFit="1" customWidth="1"/>
    <col min="1281" max="1281" width="5.140625" customWidth="1"/>
    <col min="1282" max="1282" width="78" bestFit="1" customWidth="1"/>
    <col min="1283" max="1283" width="13" bestFit="1" customWidth="1"/>
    <col min="1537" max="1537" width="5.140625" customWidth="1"/>
    <col min="1538" max="1538" width="78" bestFit="1" customWidth="1"/>
    <col min="1539" max="1539" width="13" bestFit="1" customWidth="1"/>
    <col min="1793" max="1793" width="5.140625" customWidth="1"/>
    <col min="1794" max="1794" width="78" bestFit="1" customWidth="1"/>
    <col min="1795" max="1795" width="13" bestFit="1" customWidth="1"/>
    <col min="2049" max="2049" width="5.140625" customWidth="1"/>
    <col min="2050" max="2050" width="78" bestFit="1" customWidth="1"/>
    <col min="2051" max="2051" width="13" bestFit="1" customWidth="1"/>
    <col min="2305" max="2305" width="5.140625" customWidth="1"/>
    <col min="2306" max="2306" width="78" bestFit="1" customWidth="1"/>
    <col min="2307" max="2307" width="13" bestFit="1" customWidth="1"/>
    <col min="2561" max="2561" width="5.140625" customWidth="1"/>
    <col min="2562" max="2562" width="78" bestFit="1" customWidth="1"/>
    <col min="2563" max="2563" width="13" bestFit="1" customWidth="1"/>
    <col min="2817" max="2817" width="5.140625" customWidth="1"/>
    <col min="2818" max="2818" width="78" bestFit="1" customWidth="1"/>
    <col min="2819" max="2819" width="13" bestFit="1" customWidth="1"/>
    <col min="3073" max="3073" width="5.140625" customWidth="1"/>
    <col min="3074" max="3074" width="78" bestFit="1" customWidth="1"/>
    <col min="3075" max="3075" width="13" bestFit="1" customWidth="1"/>
    <col min="3329" max="3329" width="5.140625" customWidth="1"/>
    <col min="3330" max="3330" width="78" bestFit="1" customWidth="1"/>
    <col min="3331" max="3331" width="13" bestFit="1" customWidth="1"/>
    <col min="3585" max="3585" width="5.140625" customWidth="1"/>
    <col min="3586" max="3586" width="78" bestFit="1" customWidth="1"/>
    <col min="3587" max="3587" width="13" bestFit="1" customWidth="1"/>
    <col min="3841" max="3841" width="5.140625" customWidth="1"/>
    <col min="3842" max="3842" width="78" bestFit="1" customWidth="1"/>
    <col min="3843" max="3843" width="13" bestFit="1" customWidth="1"/>
    <col min="4097" max="4097" width="5.140625" customWidth="1"/>
    <col min="4098" max="4098" width="78" bestFit="1" customWidth="1"/>
    <col min="4099" max="4099" width="13" bestFit="1" customWidth="1"/>
    <col min="4353" max="4353" width="5.140625" customWidth="1"/>
    <col min="4354" max="4354" width="78" bestFit="1" customWidth="1"/>
    <col min="4355" max="4355" width="13" bestFit="1" customWidth="1"/>
    <col min="4609" max="4609" width="5.140625" customWidth="1"/>
    <col min="4610" max="4610" width="78" bestFit="1" customWidth="1"/>
    <col min="4611" max="4611" width="13" bestFit="1" customWidth="1"/>
    <col min="4865" max="4865" width="5.140625" customWidth="1"/>
    <col min="4866" max="4866" width="78" bestFit="1" customWidth="1"/>
    <col min="4867" max="4867" width="13" bestFit="1" customWidth="1"/>
    <col min="5121" max="5121" width="5.140625" customWidth="1"/>
    <col min="5122" max="5122" width="78" bestFit="1" customWidth="1"/>
    <col min="5123" max="5123" width="13" bestFit="1" customWidth="1"/>
    <col min="5377" max="5377" width="5.140625" customWidth="1"/>
    <col min="5378" max="5378" width="78" bestFit="1" customWidth="1"/>
    <col min="5379" max="5379" width="13" bestFit="1" customWidth="1"/>
    <col min="5633" max="5633" width="5.140625" customWidth="1"/>
    <col min="5634" max="5634" width="78" bestFit="1" customWidth="1"/>
    <col min="5635" max="5635" width="13" bestFit="1" customWidth="1"/>
    <col min="5889" max="5889" width="5.140625" customWidth="1"/>
    <col min="5890" max="5890" width="78" bestFit="1" customWidth="1"/>
    <col min="5891" max="5891" width="13" bestFit="1" customWidth="1"/>
    <col min="6145" max="6145" width="5.140625" customWidth="1"/>
    <col min="6146" max="6146" width="78" bestFit="1" customWidth="1"/>
    <col min="6147" max="6147" width="13" bestFit="1" customWidth="1"/>
    <col min="6401" max="6401" width="5.140625" customWidth="1"/>
    <col min="6402" max="6402" width="78" bestFit="1" customWidth="1"/>
    <col min="6403" max="6403" width="13" bestFit="1" customWidth="1"/>
    <col min="6657" max="6657" width="5.140625" customWidth="1"/>
    <col min="6658" max="6658" width="78" bestFit="1" customWidth="1"/>
    <col min="6659" max="6659" width="13" bestFit="1" customWidth="1"/>
    <col min="6913" max="6913" width="5.140625" customWidth="1"/>
    <col min="6914" max="6914" width="78" bestFit="1" customWidth="1"/>
    <col min="6915" max="6915" width="13" bestFit="1" customWidth="1"/>
    <col min="7169" max="7169" width="5.140625" customWidth="1"/>
    <col min="7170" max="7170" width="78" bestFit="1" customWidth="1"/>
    <col min="7171" max="7171" width="13" bestFit="1" customWidth="1"/>
    <col min="7425" max="7425" width="5.140625" customWidth="1"/>
    <col min="7426" max="7426" width="78" bestFit="1" customWidth="1"/>
    <col min="7427" max="7427" width="13" bestFit="1" customWidth="1"/>
    <col min="7681" max="7681" width="5.140625" customWidth="1"/>
    <col min="7682" max="7682" width="78" bestFit="1" customWidth="1"/>
    <col min="7683" max="7683" width="13" bestFit="1" customWidth="1"/>
    <col min="7937" max="7937" width="5.140625" customWidth="1"/>
    <col min="7938" max="7938" width="78" bestFit="1" customWidth="1"/>
    <col min="7939" max="7939" width="13" bestFit="1" customWidth="1"/>
    <col min="8193" max="8193" width="5.140625" customWidth="1"/>
    <col min="8194" max="8194" width="78" bestFit="1" customWidth="1"/>
    <col min="8195" max="8195" width="13" bestFit="1" customWidth="1"/>
    <col min="8449" max="8449" width="5.140625" customWidth="1"/>
    <col min="8450" max="8450" width="78" bestFit="1" customWidth="1"/>
    <col min="8451" max="8451" width="13" bestFit="1" customWidth="1"/>
    <col min="8705" max="8705" width="5.140625" customWidth="1"/>
    <col min="8706" max="8706" width="78" bestFit="1" customWidth="1"/>
    <col min="8707" max="8707" width="13" bestFit="1" customWidth="1"/>
    <col min="8961" max="8961" width="5.140625" customWidth="1"/>
    <col min="8962" max="8962" width="78" bestFit="1" customWidth="1"/>
    <col min="8963" max="8963" width="13" bestFit="1" customWidth="1"/>
    <col min="9217" max="9217" width="5.140625" customWidth="1"/>
    <col min="9218" max="9218" width="78" bestFit="1" customWidth="1"/>
    <col min="9219" max="9219" width="13" bestFit="1" customWidth="1"/>
    <col min="9473" max="9473" width="5.140625" customWidth="1"/>
    <col min="9474" max="9474" width="78" bestFit="1" customWidth="1"/>
    <col min="9475" max="9475" width="13" bestFit="1" customWidth="1"/>
    <col min="9729" max="9729" width="5.140625" customWidth="1"/>
    <col min="9730" max="9730" width="78" bestFit="1" customWidth="1"/>
    <col min="9731" max="9731" width="13" bestFit="1" customWidth="1"/>
    <col min="9985" max="9985" width="5.140625" customWidth="1"/>
    <col min="9986" max="9986" width="78" bestFit="1" customWidth="1"/>
    <col min="9987" max="9987" width="13" bestFit="1" customWidth="1"/>
    <col min="10241" max="10241" width="5.140625" customWidth="1"/>
    <col min="10242" max="10242" width="78" bestFit="1" customWidth="1"/>
    <col min="10243" max="10243" width="13" bestFit="1" customWidth="1"/>
    <col min="10497" max="10497" width="5.140625" customWidth="1"/>
    <col min="10498" max="10498" width="78" bestFit="1" customWidth="1"/>
    <col min="10499" max="10499" width="13" bestFit="1" customWidth="1"/>
    <col min="10753" max="10753" width="5.140625" customWidth="1"/>
    <col min="10754" max="10754" width="78" bestFit="1" customWidth="1"/>
    <col min="10755" max="10755" width="13" bestFit="1" customWidth="1"/>
    <col min="11009" max="11009" width="5.140625" customWidth="1"/>
    <col min="11010" max="11010" width="78" bestFit="1" customWidth="1"/>
    <col min="11011" max="11011" width="13" bestFit="1" customWidth="1"/>
    <col min="11265" max="11265" width="5.140625" customWidth="1"/>
    <col min="11266" max="11266" width="78" bestFit="1" customWidth="1"/>
    <col min="11267" max="11267" width="13" bestFit="1" customWidth="1"/>
    <col min="11521" max="11521" width="5.140625" customWidth="1"/>
    <col min="11522" max="11522" width="78" bestFit="1" customWidth="1"/>
    <col min="11523" max="11523" width="13" bestFit="1" customWidth="1"/>
    <col min="11777" max="11777" width="5.140625" customWidth="1"/>
    <col min="11778" max="11778" width="78" bestFit="1" customWidth="1"/>
    <col min="11779" max="11779" width="13" bestFit="1" customWidth="1"/>
    <col min="12033" max="12033" width="5.140625" customWidth="1"/>
    <col min="12034" max="12034" width="78" bestFit="1" customWidth="1"/>
    <col min="12035" max="12035" width="13" bestFit="1" customWidth="1"/>
    <col min="12289" max="12289" width="5.140625" customWidth="1"/>
    <col min="12290" max="12290" width="78" bestFit="1" customWidth="1"/>
    <col min="12291" max="12291" width="13" bestFit="1" customWidth="1"/>
    <col min="12545" max="12545" width="5.140625" customWidth="1"/>
    <col min="12546" max="12546" width="78" bestFit="1" customWidth="1"/>
    <col min="12547" max="12547" width="13" bestFit="1" customWidth="1"/>
    <col min="12801" max="12801" width="5.140625" customWidth="1"/>
    <col min="12802" max="12802" width="78" bestFit="1" customWidth="1"/>
    <col min="12803" max="12803" width="13" bestFit="1" customWidth="1"/>
    <col min="13057" max="13057" width="5.140625" customWidth="1"/>
    <col min="13058" max="13058" width="78" bestFit="1" customWidth="1"/>
    <col min="13059" max="13059" width="13" bestFit="1" customWidth="1"/>
    <col min="13313" max="13313" width="5.140625" customWidth="1"/>
    <col min="13314" max="13314" width="78" bestFit="1" customWidth="1"/>
    <col min="13315" max="13315" width="13" bestFit="1" customWidth="1"/>
    <col min="13569" max="13569" width="5.140625" customWidth="1"/>
    <col min="13570" max="13570" width="78" bestFit="1" customWidth="1"/>
    <col min="13571" max="13571" width="13" bestFit="1" customWidth="1"/>
    <col min="13825" max="13825" width="5.140625" customWidth="1"/>
    <col min="13826" max="13826" width="78" bestFit="1" customWidth="1"/>
    <col min="13827" max="13827" width="13" bestFit="1" customWidth="1"/>
    <col min="14081" max="14081" width="5.140625" customWidth="1"/>
    <col min="14082" max="14082" width="78" bestFit="1" customWidth="1"/>
    <col min="14083" max="14083" width="13" bestFit="1" customWidth="1"/>
    <col min="14337" max="14337" width="5.140625" customWidth="1"/>
    <col min="14338" max="14338" width="78" bestFit="1" customWidth="1"/>
    <col min="14339" max="14339" width="13" bestFit="1" customWidth="1"/>
    <col min="14593" max="14593" width="5.140625" customWidth="1"/>
    <col min="14594" max="14594" width="78" bestFit="1" customWidth="1"/>
    <col min="14595" max="14595" width="13" bestFit="1" customWidth="1"/>
    <col min="14849" max="14849" width="5.140625" customWidth="1"/>
    <col min="14850" max="14850" width="78" bestFit="1" customWidth="1"/>
    <col min="14851" max="14851" width="13" bestFit="1" customWidth="1"/>
    <col min="15105" max="15105" width="5.140625" customWidth="1"/>
    <col min="15106" max="15106" width="78" bestFit="1" customWidth="1"/>
    <col min="15107" max="15107" width="13" bestFit="1" customWidth="1"/>
    <col min="15361" max="15361" width="5.140625" customWidth="1"/>
    <col min="15362" max="15362" width="78" bestFit="1" customWidth="1"/>
    <col min="15363" max="15363" width="13" bestFit="1" customWidth="1"/>
    <col min="15617" max="15617" width="5.140625" customWidth="1"/>
    <col min="15618" max="15618" width="78" bestFit="1" customWidth="1"/>
    <col min="15619" max="15619" width="13" bestFit="1" customWidth="1"/>
    <col min="15873" max="15873" width="5.140625" customWidth="1"/>
    <col min="15874" max="15874" width="78" bestFit="1" customWidth="1"/>
    <col min="15875" max="15875" width="13" bestFit="1" customWidth="1"/>
    <col min="16129" max="16129" width="5.140625" customWidth="1"/>
    <col min="16130" max="16130" width="78" bestFit="1" customWidth="1"/>
    <col min="16131" max="16131" width="13" bestFit="1" customWidth="1"/>
  </cols>
  <sheetData>
    <row r="2" spans="1:4" s="5" customFormat="1" ht="0.75" customHeight="1" x14ac:dyDescent="0.25">
      <c r="A2" s="4"/>
      <c r="B2" s="4"/>
      <c r="C2" s="10"/>
    </row>
    <row r="3" spans="1:4" s="5" customFormat="1" x14ac:dyDescent="0.25">
      <c r="A3" s="4"/>
      <c r="B3" s="8" t="s">
        <v>0</v>
      </c>
      <c r="C3" s="11" t="s">
        <v>1</v>
      </c>
      <c r="D3" s="6" t="s">
        <v>2</v>
      </c>
    </row>
    <row r="4" spans="1:4" s="5" customFormat="1" x14ac:dyDescent="0.25">
      <c r="A4" s="4">
        <v>2</v>
      </c>
      <c r="B4" s="9" t="s">
        <v>3</v>
      </c>
      <c r="C4" s="7">
        <f>SUM(16.26*A4)</f>
        <v>32.520000000000003</v>
      </c>
      <c r="D4" s="4"/>
    </row>
    <row r="5" spans="1:4" s="5" customFormat="1" x14ac:dyDescent="0.25">
      <c r="A5" s="4">
        <v>2</v>
      </c>
      <c r="B5" s="9" t="s">
        <v>4</v>
      </c>
      <c r="C5" s="7">
        <f>SUM(54.64*A5)</f>
        <v>109.28</v>
      </c>
      <c r="D5" s="4"/>
    </row>
    <row r="6" spans="1:4" s="5" customFormat="1" x14ac:dyDescent="0.25">
      <c r="A6" s="4">
        <v>2</v>
      </c>
      <c r="B6" s="9" t="s">
        <v>5</v>
      </c>
      <c r="C6" s="7">
        <f>SUM(38.27*A6)</f>
        <v>76.540000000000006</v>
      </c>
      <c r="D6" s="4"/>
    </row>
    <row r="7" spans="1:4" s="5" customFormat="1" x14ac:dyDescent="0.25">
      <c r="A7" s="12">
        <v>2</v>
      </c>
      <c r="B7" s="13" t="s">
        <v>6</v>
      </c>
      <c r="C7" s="14">
        <f>SUM(11.16*A7)</f>
        <v>22.32</v>
      </c>
      <c r="D7" s="4"/>
    </row>
    <row r="8" spans="1:4" s="5" customFormat="1" x14ac:dyDescent="0.25">
      <c r="A8" s="12">
        <v>3</v>
      </c>
      <c r="B8" s="13" t="s">
        <v>7</v>
      </c>
      <c r="C8" s="14">
        <f>SUM(7.47*A8)</f>
        <v>22.41</v>
      </c>
      <c r="D8" s="4"/>
    </row>
    <row r="9" spans="1:4" s="5" customFormat="1" x14ac:dyDescent="0.25">
      <c r="A9" s="12">
        <v>1</v>
      </c>
      <c r="B9" s="13" t="s">
        <v>8</v>
      </c>
      <c r="C9" s="14">
        <f>SUM(3.94*A9)</f>
        <v>3.94</v>
      </c>
      <c r="D9" s="4"/>
    </row>
    <row r="10" spans="1:4" s="5" customFormat="1" x14ac:dyDescent="0.25">
      <c r="A10" s="12">
        <v>1</v>
      </c>
      <c r="B10" s="13" t="s">
        <v>9</v>
      </c>
      <c r="C10" s="14">
        <f>SUM(3.08*A10)</f>
        <v>3.08</v>
      </c>
      <c r="D10" s="4"/>
    </row>
    <row r="11" spans="1:4" s="5" customFormat="1" x14ac:dyDescent="0.25">
      <c r="A11" s="12">
        <v>4</v>
      </c>
      <c r="B11" s="13" t="s">
        <v>10</v>
      </c>
      <c r="C11" s="14">
        <f>SUM(2.98*A11)</f>
        <v>11.92</v>
      </c>
      <c r="D11" s="4"/>
    </row>
    <row r="12" spans="1:4" s="5" customFormat="1" x14ac:dyDescent="0.25">
      <c r="A12" s="12">
        <v>50</v>
      </c>
      <c r="B12" s="13" t="s">
        <v>11</v>
      </c>
      <c r="C12" s="14">
        <f>SUM(3.84*A12)</f>
        <v>192</v>
      </c>
      <c r="D12" s="4"/>
    </row>
    <row r="13" spans="1:4" s="5" customFormat="1" x14ac:dyDescent="0.25">
      <c r="A13" s="12">
        <v>4</v>
      </c>
      <c r="B13" s="13" t="s">
        <v>12</v>
      </c>
      <c r="C13" s="14">
        <f>SUM(4.14*A13)</f>
        <v>16.559999999999999</v>
      </c>
      <c r="D13" s="4"/>
    </row>
    <row r="14" spans="1:4" s="5" customFormat="1" x14ac:dyDescent="0.25">
      <c r="A14" s="12">
        <v>15</v>
      </c>
      <c r="B14" s="13" t="s">
        <v>13</v>
      </c>
      <c r="C14" s="14">
        <f>SUM(1.61*A14)</f>
        <v>24.150000000000002</v>
      </c>
      <c r="D14" s="4"/>
    </row>
    <row r="15" spans="1:4" s="5" customFormat="1" x14ac:dyDescent="0.25">
      <c r="A15" s="12">
        <v>2</v>
      </c>
      <c r="B15" s="13" t="s">
        <v>14</v>
      </c>
      <c r="C15" s="14">
        <f>SUM(2.5*A15)</f>
        <v>5</v>
      </c>
      <c r="D15" s="4"/>
    </row>
    <row r="16" spans="1:4" s="5" customFormat="1" x14ac:dyDescent="0.25">
      <c r="A16" s="12">
        <v>5</v>
      </c>
      <c r="B16" s="13" t="s">
        <v>15</v>
      </c>
      <c r="C16" s="14">
        <f>SUM(2.5*A16)</f>
        <v>12.5</v>
      </c>
      <c r="D16" s="4"/>
    </row>
    <row r="17" spans="1:4" s="5" customFormat="1" x14ac:dyDescent="0.25">
      <c r="A17" s="12">
        <v>5</v>
      </c>
      <c r="B17" s="13" t="s">
        <v>16</v>
      </c>
      <c r="C17" s="14">
        <f>SUM(4.38*A17)</f>
        <v>21.9</v>
      </c>
      <c r="D17" s="4"/>
    </row>
    <row r="18" spans="1:4" s="5" customFormat="1" x14ac:dyDescent="0.25">
      <c r="A18" s="4"/>
      <c r="B18" s="8" t="s">
        <v>17</v>
      </c>
      <c r="C18" s="7"/>
      <c r="D18" s="4"/>
    </row>
    <row r="19" spans="1:4" s="5" customFormat="1" x14ac:dyDescent="0.25">
      <c r="A19" s="4">
        <v>10</v>
      </c>
      <c r="B19" s="9" t="s">
        <v>18</v>
      </c>
      <c r="C19" s="4"/>
      <c r="D19" s="7">
        <f>SUM(116.06*A19)</f>
        <v>1160.5999999999999</v>
      </c>
    </row>
    <row r="20" spans="1:4" s="5" customFormat="1" x14ac:dyDescent="0.25">
      <c r="A20" s="4">
        <v>2</v>
      </c>
      <c r="B20" s="9" t="s">
        <v>19</v>
      </c>
      <c r="C20" s="4"/>
      <c r="D20" s="7">
        <f>SUM(13.39*A20)</f>
        <v>26.78</v>
      </c>
    </row>
    <row r="21" spans="1:4" s="5" customFormat="1" x14ac:dyDescent="0.25">
      <c r="A21" s="4">
        <v>3</v>
      </c>
      <c r="B21" s="9" t="s">
        <v>20</v>
      </c>
      <c r="C21" s="4"/>
      <c r="D21" s="7">
        <f>SUM(7.14*A21)</f>
        <v>21.419999999999998</v>
      </c>
    </row>
    <row r="22" spans="1:4" s="5" customFormat="1" x14ac:dyDescent="0.25">
      <c r="A22" s="4">
        <v>2</v>
      </c>
      <c r="B22" s="9" t="s">
        <v>21</v>
      </c>
      <c r="C22" s="4"/>
      <c r="D22" s="7">
        <f>SUM(75.89*A22)</f>
        <v>151.78</v>
      </c>
    </row>
    <row r="23" spans="1:4" s="5" customFormat="1" x14ac:dyDescent="0.25">
      <c r="A23" s="4">
        <v>3</v>
      </c>
      <c r="B23" s="9" t="s">
        <v>22</v>
      </c>
      <c r="C23" s="4"/>
      <c r="D23" s="7">
        <f>SUM(13.39*A23)</f>
        <v>40.17</v>
      </c>
    </row>
    <row r="24" spans="1:4" s="5" customFormat="1" x14ac:dyDescent="0.25">
      <c r="A24" s="4">
        <v>2</v>
      </c>
      <c r="B24" s="9" t="s">
        <v>23</v>
      </c>
      <c r="C24" s="4"/>
      <c r="D24" s="7">
        <f>SUM(31.25*A24)</f>
        <v>62.5</v>
      </c>
    </row>
    <row r="25" spans="1:4" s="5" customFormat="1" x14ac:dyDescent="0.25">
      <c r="A25" s="4">
        <v>3</v>
      </c>
      <c r="B25" s="9" t="s">
        <v>24</v>
      </c>
      <c r="C25" s="4"/>
      <c r="D25" s="7">
        <f>SUM(13.39*A25)</f>
        <v>40.17</v>
      </c>
    </row>
    <row r="26" spans="1:4" s="5" customFormat="1" x14ac:dyDescent="0.25">
      <c r="A26" s="4">
        <v>3</v>
      </c>
      <c r="B26" s="9" t="s">
        <v>25</v>
      </c>
      <c r="C26" s="4"/>
      <c r="D26" s="7">
        <f>SUM(10.71*A21)</f>
        <v>32.130000000000003</v>
      </c>
    </row>
    <row r="27" spans="1:4" s="5" customFormat="1" x14ac:dyDescent="0.25">
      <c r="A27" s="4">
        <v>10</v>
      </c>
      <c r="B27" s="9" t="s">
        <v>26</v>
      </c>
      <c r="C27" s="4"/>
      <c r="D27" s="7">
        <f>SUM(22.32*A27)</f>
        <v>223.2</v>
      </c>
    </row>
    <row r="28" spans="1:4" x14ac:dyDescent="0.25">
      <c r="C28" s="2">
        <f>SUM(C4:C27)</f>
        <v>554.12</v>
      </c>
      <c r="D28" s="2">
        <f>SUM(D4:D27)</f>
        <v>1758.7500000000002</v>
      </c>
    </row>
    <row r="29" spans="1:4" x14ac:dyDescent="0.25">
      <c r="C29" s="3">
        <f>+C28*0.12</f>
        <v>66.494399999999999</v>
      </c>
      <c r="D29" s="3">
        <f>+D28*0.12</f>
        <v>211.05</v>
      </c>
    </row>
    <row r="30" spans="1:4" x14ac:dyDescent="0.25">
      <c r="C30" s="1">
        <f>+C28+C29</f>
        <v>620.61440000000005</v>
      </c>
      <c r="D30" s="1">
        <f>+D28+D29</f>
        <v>1969.8000000000002</v>
      </c>
    </row>
  </sheetData>
  <pageMargins left="0.7" right="0.7" top="0.75" bottom="0.75" header="0.3" footer="0.3"/>
  <pageSetup paperSize="9" scale="7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2020-12-29T16:16:32Z</cp:lastPrinted>
  <dcterms:created xsi:type="dcterms:W3CDTF">2020-02-20T21:48:26Z</dcterms:created>
  <dcterms:modified xsi:type="dcterms:W3CDTF">2021-05-17T20:22:05Z</dcterms:modified>
</cp:coreProperties>
</file>