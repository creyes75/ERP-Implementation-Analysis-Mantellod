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755" tabRatio="753"/>
  </bookViews>
  <sheets>
    <sheet name="ROL_UNIFICADO" sheetId="1" r:id="rId1"/>
    <sheet name="TALLER ACTIVOS" sheetId="12" r:id="rId2"/>
    <sheet name="TALLER RETIRADOS" sheetId="2" r:id="rId3"/>
    <sheet name="VIVERO" sheetId="9" r:id="rId4"/>
    <sheet name="ENCOLAJE" sheetId="11" r:id="rId5"/>
    <sheet name="MADERA VERDE" sheetId="7" r:id="rId6"/>
    <sheet name="ASERRIO" sheetId="10" r:id="rId7"/>
    <sheet name="CALDERO" sheetId="8" r:id="rId8"/>
  </sheets>
  <externalReferences>
    <externalReference r:id="rId9"/>
    <externalReference r:id="rId10"/>
  </externalReferences>
  <definedNames>
    <definedName name="_xlnm._FilterDatabase" localSheetId="4" hidden="1">ENCOLAJE!$B$6:$B$43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15" i="1" l="1"/>
  <c r="AH314" i="1"/>
  <c r="AA334" i="1" l="1"/>
  <c r="Z334" i="1"/>
  <c r="Y334" i="1"/>
  <c r="X334" i="1"/>
  <c r="W334" i="1"/>
  <c r="V334" i="1"/>
  <c r="S334" i="1"/>
  <c r="R334" i="1"/>
  <c r="Q334" i="1"/>
  <c r="P334" i="1"/>
  <c r="O334" i="1"/>
  <c r="M334" i="1"/>
  <c r="N334" i="1"/>
  <c r="K334" i="1"/>
  <c r="L334" i="1"/>
  <c r="J334" i="1"/>
  <c r="H334" i="1"/>
  <c r="F334" i="1"/>
  <c r="D334" i="1"/>
  <c r="C334" i="1"/>
  <c r="L346" i="1"/>
  <c r="H346" i="1"/>
  <c r="D346" i="1"/>
  <c r="G368" i="1"/>
  <c r="H362" i="1"/>
  <c r="I362" i="1" s="1"/>
  <c r="H363" i="1"/>
  <c r="I363" i="1" s="1"/>
  <c r="H364" i="1"/>
  <c r="I364" i="1" s="1"/>
  <c r="H365" i="1"/>
  <c r="L365" i="1" s="1"/>
  <c r="I365" i="1"/>
  <c r="M364" i="1"/>
  <c r="M363" i="1"/>
  <c r="M362" i="1"/>
  <c r="H361" i="1"/>
  <c r="I361" i="1" s="1"/>
  <c r="M361" i="1"/>
  <c r="L364" i="1" l="1"/>
  <c r="N364" i="1" s="1"/>
  <c r="L363" i="1"/>
  <c r="N363" i="1" s="1"/>
  <c r="L362" i="1"/>
  <c r="N362" i="1" s="1"/>
  <c r="L361" i="1"/>
  <c r="N361" i="1" s="1"/>
  <c r="Z254" i="1" l="1"/>
  <c r="J158" i="1"/>
  <c r="T18" i="9"/>
  <c r="E337" i="1" l="1"/>
  <c r="AC334" i="1"/>
  <c r="AD334" i="1"/>
  <c r="AE334" i="1"/>
  <c r="Z337" i="1"/>
  <c r="T334" i="1"/>
  <c r="I334" i="1"/>
  <c r="G334" i="1"/>
  <c r="AE254" i="1"/>
  <c r="AD254" i="1"/>
  <c r="AC254" i="1"/>
  <c r="Y254" i="1"/>
  <c r="X254" i="1"/>
  <c r="W254" i="1"/>
  <c r="V254" i="1"/>
  <c r="T254" i="1"/>
  <c r="S254" i="1"/>
  <c r="K254" i="1"/>
  <c r="K337" i="1" l="1"/>
  <c r="V337" i="1"/>
  <c r="I19" i="1"/>
  <c r="I20" i="1"/>
  <c r="I21" i="1"/>
  <c r="I22" i="1"/>
  <c r="DB115" i="2"/>
  <c r="A22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6" i="1"/>
  <c r="DC106" i="2" l="1"/>
  <c r="I18" i="1" l="1"/>
  <c r="CW106" i="2"/>
  <c r="BE106" i="2"/>
  <c r="CV105" i="2"/>
  <c r="CU105" i="2"/>
  <c r="CT105" i="2"/>
  <c r="BD105" i="2"/>
  <c r="BC105" i="2"/>
  <c r="BF105" i="2" s="1"/>
  <c r="F203" i="1" s="1"/>
  <c r="BB105" i="2"/>
  <c r="CV104" i="2"/>
  <c r="CU104" i="2"/>
  <c r="CX104" i="2" s="1"/>
  <c r="H202" i="1" s="1"/>
  <c r="CT104" i="2"/>
  <c r="BD104" i="2"/>
  <c r="DA104" i="2" s="1"/>
  <c r="BC104" i="2"/>
  <c r="CZ104" i="2" s="1"/>
  <c r="BB104" i="2"/>
  <c r="CY104" i="2" s="1"/>
  <c r="CV103" i="2"/>
  <c r="CU103" i="2"/>
  <c r="CX103" i="2" s="1"/>
  <c r="H193" i="1" s="1"/>
  <c r="CT103" i="2"/>
  <c r="BD103" i="2"/>
  <c r="DA103" i="2" s="1"/>
  <c r="BC103" i="2"/>
  <c r="BB103" i="2"/>
  <c r="CV102" i="2"/>
  <c r="CU102" i="2"/>
  <c r="CT102" i="2"/>
  <c r="BD102" i="2"/>
  <c r="BC102" i="2"/>
  <c r="BF102" i="2" s="1"/>
  <c r="F201" i="1" s="1"/>
  <c r="BB102" i="2"/>
  <c r="CY102" i="2" s="1"/>
  <c r="CV101" i="2"/>
  <c r="CU101" i="2"/>
  <c r="CX101" i="2" s="1"/>
  <c r="H200" i="1" s="1"/>
  <c r="CT101" i="2"/>
  <c r="BD101" i="2"/>
  <c r="DA101" i="2" s="1"/>
  <c r="BC101" i="2"/>
  <c r="BB101" i="2"/>
  <c r="CV100" i="2"/>
  <c r="CU100" i="2"/>
  <c r="CX100" i="2" s="1"/>
  <c r="H192" i="1" s="1"/>
  <c r="CT100" i="2"/>
  <c r="BD100" i="2"/>
  <c r="BC100" i="2"/>
  <c r="BB100" i="2"/>
  <c r="CY100" i="2" s="1"/>
  <c r="CV99" i="2"/>
  <c r="CT99" i="2"/>
  <c r="CF99" i="2"/>
  <c r="BW99" i="2"/>
  <c r="BT99" i="2"/>
  <c r="BQ99" i="2"/>
  <c r="BN99" i="2"/>
  <c r="BH99" i="2"/>
  <c r="CU99" i="2" s="1"/>
  <c r="CX99" i="2" s="1"/>
  <c r="H141" i="1" s="1"/>
  <c r="BD99" i="2"/>
  <c r="DA99" i="2" s="1"/>
  <c r="BB99" i="2"/>
  <c r="AT99" i="2"/>
  <c r="AN99" i="2"/>
  <c r="AE99" i="2"/>
  <c r="AB99" i="2"/>
  <c r="Y99" i="2"/>
  <c r="V99" i="2"/>
  <c r="S99" i="2"/>
  <c r="CV98" i="2"/>
  <c r="CT98" i="2"/>
  <c r="CR98" i="2"/>
  <c r="CO98" i="2"/>
  <c r="CL98" i="2"/>
  <c r="CI98" i="2"/>
  <c r="CF98" i="2"/>
  <c r="CC98" i="2"/>
  <c r="BZ98" i="2"/>
  <c r="BW98" i="2"/>
  <c r="BT98" i="2"/>
  <c r="BQ98" i="2"/>
  <c r="BN98" i="2"/>
  <c r="BK98" i="2"/>
  <c r="BH98" i="2"/>
  <c r="BD98" i="2"/>
  <c r="BB98" i="2"/>
  <c r="CY98" i="2" s="1"/>
  <c r="AZ98" i="2"/>
  <c r="AW98" i="2"/>
  <c r="AT98" i="2"/>
  <c r="AQ98" i="2"/>
  <c r="AN98" i="2"/>
  <c r="AK98" i="2"/>
  <c r="AH98" i="2"/>
  <c r="AE98" i="2"/>
  <c r="AB98" i="2"/>
  <c r="Y98" i="2"/>
  <c r="V98" i="2"/>
  <c r="S98" i="2"/>
  <c r="P98" i="2"/>
  <c r="M98" i="2"/>
  <c r="J98" i="2"/>
  <c r="G98" i="2"/>
  <c r="DA97" i="2"/>
  <c r="CY97" i="2"/>
  <c r="CV97" i="2"/>
  <c r="CT97" i="2"/>
  <c r="CR97" i="2"/>
  <c r="CO97" i="2"/>
  <c r="CL97" i="2"/>
  <c r="CI97" i="2"/>
  <c r="CF97" i="2"/>
  <c r="CC97" i="2"/>
  <c r="BZ97" i="2"/>
  <c r="BW97" i="2"/>
  <c r="BT97" i="2"/>
  <c r="BQ97" i="2"/>
  <c r="BN97" i="2"/>
  <c r="BK97" i="2"/>
  <c r="BH97" i="2"/>
  <c r="CU97" i="2" s="1"/>
  <c r="CX97" i="2" s="1"/>
  <c r="H123" i="1" s="1"/>
  <c r="BD97" i="2"/>
  <c r="BB97" i="2"/>
  <c r="AZ97" i="2"/>
  <c r="AW97" i="2"/>
  <c r="AT97" i="2"/>
  <c r="AQ97" i="2"/>
  <c r="AN97" i="2"/>
  <c r="AK97" i="2"/>
  <c r="AH97" i="2"/>
  <c r="AE97" i="2"/>
  <c r="AB97" i="2"/>
  <c r="Y97" i="2"/>
  <c r="V97" i="2"/>
  <c r="S97" i="2"/>
  <c r="P97" i="2"/>
  <c r="M97" i="2"/>
  <c r="J97" i="2"/>
  <c r="G97" i="2"/>
  <c r="CV96" i="2"/>
  <c r="CT96" i="2"/>
  <c r="CR96" i="2"/>
  <c r="CO96" i="2"/>
  <c r="CL96" i="2"/>
  <c r="CI96" i="2"/>
  <c r="CF96" i="2"/>
  <c r="CC96" i="2"/>
  <c r="BZ96" i="2"/>
  <c r="BW96" i="2"/>
  <c r="BT96" i="2"/>
  <c r="BQ96" i="2"/>
  <c r="BN96" i="2"/>
  <c r="BK96" i="2"/>
  <c r="BH96" i="2"/>
  <c r="BD96" i="2"/>
  <c r="BB96" i="2"/>
  <c r="AZ96" i="2"/>
  <c r="AW96" i="2"/>
  <c r="AT96" i="2"/>
  <c r="AQ96" i="2"/>
  <c r="AN96" i="2"/>
  <c r="AK96" i="2"/>
  <c r="AH96" i="2"/>
  <c r="AE96" i="2"/>
  <c r="AB96" i="2"/>
  <c r="Y96" i="2"/>
  <c r="V96" i="2"/>
  <c r="S96" i="2"/>
  <c r="P96" i="2"/>
  <c r="M96" i="2"/>
  <c r="J96" i="2"/>
  <c r="G96" i="2"/>
  <c r="CY95" i="2"/>
  <c r="CV95" i="2"/>
  <c r="CT95" i="2"/>
  <c r="CR95" i="2"/>
  <c r="CO95" i="2"/>
  <c r="CL95" i="2"/>
  <c r="CI95" i="2"/>
  <c r="CF95" i="2"/>
  <c r="CC95" i="2"/>
  <c r="BZ95" i="2"/>
  <c r="BW95" i="2"/>
  <c r="BT95" i="2"/>
  <c r="BQ95" i="2"/>
  <c r="BN95" i="2"/>
  <c r="BK95" i="2"/>
  <c r="BH95" i="2"/>
  <c r="BD95" i="2"/>
  <c r="DA95" i="2" s="1"/>
  <c r="BB95" i="2"/>
  <c r="AZ95" i="2"/>
  <c r="AW95" i="2"/>
  <c r="AT95" i="2"/>
  <c r="AQ95" i="2"/>
  <c r="AN95" i="2"/>
  <c r="AK95" i="2"/>
  <c r="AH95" i="2"/>
  <c r="AE95" i="2"/>
  <c r="AB95" i="2"/>
  <c r="Y95" i="2"/>
  <c r="V95" i="2"/>
  <c r="S95" i="2"/>
  <c r="P95" i="2"/>
  <c r="M95" i="2"/>
  <c r="J95" i="2"/>
  <c r="BC95" i="2" s="1"/>
  <c r="G95" i="2"/>
  <c r="CV94" i="2"/>
  <c r="CT94" i="2"/>
  <c r="CR94" i="2"/>
  <c r="CO94" i="2"/>
  <c r="CL94" i="2"/>
  <c r="CI94" i="2"/>
  <c r="CF94" i="2"/>
  <c r="CC94" i="2"/>
  <c r="BZ94" i="2"/>
  <c r="BW94" i="2"/>
  <c r="BT94" i="2"/>
  <c r="BQ94" i="2"/>
  <c r="BN94" i="2"/>
  <c r="BK94" i="2"/>
  <c r="BH94" i="2"/>
  <c r="CU94" i="2" s="1"/>
  <c r="CX94" i="2" s="1"/>
  <c r="H120" i="1" s="1"/>
  <c r="BD94" i="2"/>
  <c r="BB94" i="2"/>
  <c r="CY94" i="2" s="1"/>
  <c r="AZ94" i="2"/>
  <c r="AW94" i="2"/>
  <c r="AT94" i="2"/>
  <c r="AQ94" i="2"/>
  <c r="AN94" i="2"/>
  <c r="AK94" i="2"/>
  <c r="AH94" i="2"/>
  <c r="AE94" i="2"/>
  <c r="AB94" i="2"/>
  <c r="Y94" i="2"/>
  <c r="V94" i="2"/>
  <c r="S94" i="2"/>
  <c r="P94" i="2"/>
  <c r="M94" i="2"/>
  <c r="J94" i="2"/>
  <c r="G94" i="2"/>
  <c r="CV93" i="2"/>
  <c r="CT93" i="2"/>
  <c r="CR93" i="2"/>
  <c r="CO93" i="2"/>
  <c r="CL93" i="2"/>
  <c r="CI93" i="2"/>
  <c r="CF93" i="2"/>
  <c r="CC93" i="2"/>
  <c r="BZ93" i="2"/>
  <c r="BW93" i="2"/>
  <c r="BT93" i="2"/>
  <c r="BQ93" i="2"/>
  <c r="BN93" i="2"/>
  <c r="BK93" i="2"/>
  <c r="BH93" i="2"/>
  <c r="BD93" i="2"/>
  <c r="BB93" i="2"/>
  <c r="AZ93" i="2"/>
  <c r="AW93" i="2"/>
  <c r="AT93" i="2"/>
  <c r="AQ93" i="2"/>
  <c r="AN93" i="2"/>
  <c r="AK93" i="2"/>
  <c r="AH93" i="2"/>
  <c r="AE93" i="2"/>
  <c r="AB93" i="2"/>
  <c r="Y93" i="2"/>
  <c r="V93" i="2"/>
  <c r="S93" i="2"/>
  <c r="P93" i="2"/>
  <c r="M93" i="2"/>
  <c r="J93" i="2"/>
  <c r="G93" i="2"/>
  <c r="CV92" i="2"/>
  <c r="CT92" i="2"/>
  <c r="CR92" i="2"/>
  <c r="CO92" i="2"/>
  <c r="CL92" i="2"/>
  <c r="CI92" i="2"/>
  <c r="CF92" i="2"/>
  <c r="CC92" i="2"/>
  <c r="BZ92" i="2"/>
  <c r="BW92" i="2"/>
  <c r="BT92" i="2"/>
  <c r="BQ92" i="2"/>
  <c r="BN92" i="2"/>
  <c r="CU92" i="2" s="1"/>
  <c r="CX92" i="2" s="1"/>
  <c r="H118" i="1" s="1"/>
  <c r="BK92" i="2"/>
  <c r="BH92" i="2"/>
  <c r="BD92" i="2"/>
  <c r="BB92" i="2"/>
  <c r="CY92" i="2" s="1"/>
  <c r="AZ92" i="2"/>
  <c r="AW92" i="2"/>
  <c r="AT92" i="2"/>
  <c r="AQ92" i="2"/>
  <c r="AN92" i="2"/>
  <c r="AK92" i="2"/>
  <c r="AH92" i="2"/>
  <c r="AE92" i="2"/>
  <c r="AB92" i="2"/>
  <c r="Y92" i="2"/>
  <c r="V92" i="2"/>
  <c r="S92" i="2"/>
  <c r="P92" i="2"/>
  <c r="M92" i="2"/>
  <c r="J92" i="2"/>
  <c r="G92" i="2"/>
  <c r="BC92" i="2" s="1"/>
  <c r="CV91" i="2"/>
  <c r="CT91" i="2"/>
  <c r="CR91" i="2"/>
  <c r="CO91" i="2"/>
  <c r="CL91" i="2"/>
  <c r="CI91" i="2"/>
  <c r="CF91" i="2"/>
  <c r="CC91" i="2"/>
  <c r="BZ91" i="2"/>
  <c r="BW91" i="2"/>
  <c r="BT91" i="2"/>
  <c r="BQ91" i="2"/>
  <c r="BN91" i="2"/>
  <c r="BK91" i="2"/>
  <c r="BH91" i="2"/>
  <c r="CU91" i="2" s="1"/>
  <c r="CX91" i="2" s="1"/>
  <c r="H117" i="1" s="1"/>
  <c r="BD91" i="2"/>
  <c r="DA91" i="2" s="1"/>
  <c r="BB91" i="2"/>
  <c r="AZ91" i="2"/>
  <c r="AW91" i="2"/>
  <c r="AT91" i="2"/>
  <c r="AQ91" i="2"/>
  <c r="AN91" i="2"/>
  <c r="AK91" i="2"/>
  <c r="AH91" i="2"/>
  <c r="AE91" i="2"/>
  <c r="AB91" i="2"/>
  <c r="Y91" i="2"/>
  <c r="V91" i="2"/>
  <c r="S91" i="2"/>
  <c r="P91" i="2"/>
  <c r="M91" i="2"/>
  <c r="J91" i="2"/>
  <c r="G91" i="2"/>
  <c r="CV90" i="2"/>
  <c r="CT90" i="2"/>
  <c r="CR90" i="2"/>
  <c r="CO90" i="2"/>
  <c r="CL90" i="2"/>
  <c r="CI90" i="2"/>
  <c r="CF90" i="2"/>
  <c r="CC90" i="2"/>
  <c r="BZ90" i="2"/>
  <c r="BW90" i="2"/>
  <c r="BT90" i="2"/>
  <c r="BQ90" i="2"/>
  <c r="BN90" i="2"/>
  <c r="BK90" i="2"/>
  <c r="BH90" i="2"/>
  <c r="BD90" i="2"/>
  <c r="DA90" i="2" s="1"/>
  <c r="BB90" i="2"/>
  <c r="AZ90" i="2"/>
  <c r="AW90" i="2"/>
  <c r="AT90" i="2"/>
  <c r="AQ90" i="2"/>
  <c r="AN90" i="2"/>
  <c r="AK90" i="2"/>
  <c r="AH90" i="2"/>
  <c r="AE90" i="2"/>
  <c r="AB90" i="2"/>
  <c r="Y90" i="2"/>
  <c r="V90" i="2"/>
  <c r="S90" i="2"/>
  <c r="P90" i="2"/>
  <c r="M90" i="2"/>
  <c r="J90" i="2"/>
  <c r="G90" i="2"/>
  <c r="CV89" i="2"/>
  <c r="CT89" i="2"/>
  <c r="CR89" i="2"/>
  <c r="CO89" i="2"/>
  <c r="CL89" i="2"/>
  <c r="CI89" i="2"/>
  <c r="CF89" i="2"/>
  <c r="CC89" i="2"/>
  <c r="BZ89" i="2"/>
  <c r="BW89" i="2"/>
  <c r="BT89" i="2"/>
  <c r="BQ89" i="2"/>
  <c r="BN89" i="2"/>
  <c r="BK89" i="2"/>
  <c r="BH89" i="2"/>
  <c r="BD89" i="2"/>
  <c r="DA89" i="2" s="1"/>
  <c r="BB89" i="2"/>
  <c r="AZ89" i="2"/>
  <c r="AW89" i="2"/>
  <c r="AT89" i="2"/>
  <c r="AQ89" i="2"/>
  <c r="AN89" i="2"/>
  <c r="AK89" i="2"/>
  <c r="AH89" i="2"/>
  <c r="AE89" i="2"/>
  <c r="AB89" i="2"/>
  <c r="Y89" i="2"/>
  <c r="V89" i="2"/>
  <c r="S89" i="2"/>
  <c r="P89" i="2"/>
  <c r="M89" i="2"/>
  <c r="J89" i="2"/>
  <c r="G89" i="2"/>
  <c r="CV88" i="2"/>
  <c r="CT88" i="2"/>
  <c r="CR88" i="2"/>
  <c r="CO88" i="2"/>
  <c r="CL88" i="2"/>
  <c r="CI88" i="2"/>
  <c r="CF88" i="2"/>
  <c r="CC88" i="2"/>
  <c r="BZ88" i="2"/>
  <c r="BW88" i="2"/>
  <c r="BT88" i="2"/>
  <c r="BQ88" i="2"/>
  <c r="BN88" i="2"/>
  <c r="BK88" i="2"/>
  <c r="BH88" i="2"/>
  <c r="BD88" i="2"/>
  <c r="BB88" i="2"/>
  <c r="CY88" i="2" s="1"/>
  <c r="AZ88" i="2"/>
  <c r="AW88" i="2"/>
  <c r="AT88" i="2"/>
  <c r="AQ88" i="2"/>
  <c r="AN88" i="2"/>
  <c r="AK88" i="2"/>
  <c r="AH88" i="2"/>
  <c r="AE88" i="2"/>
  <c r="AB88" i="2"/>
  <c r="Y88" i="2"/>
  <c r="V88" i="2"/>
  <c r="S88" i="2"/>
  <c r="P88" i="2"/>
  <c r="M88" i="2"/>
  <c r="J88" i="2"/>
  <c r="G88" i="2"/>
  <c r="CV87" i="2"/>
  <c r="CT87" i="2"/>
  <c r="CR87" i="2"/>
  <c r="CO87" i="2"/>
  <c r="CL87" i="2"/>
  <c r="CI87" i="2"/>
  <c r="CF87" i="2"/>
  <c r="CC87" i="2"/>
  <c r="BZ87" i="2"/>
  <c r="BW87" i="2"/>
  <c r="BT87" i="2"/>
  <c r="BQ87" i="2"/>
  <c r="BN87" i="2"/>
  <c r="BK87" i="2"/>
  <c r="BH87" i="2"/>
  <c r="BD87" i="2"/>
  <c r="BB87" i="2"/>
  <c r="CY87" i="2" s="1"/>
  <c r="AZ87" i="2"/>
  <c r="AW87" i="2"/>
  <c r="AT87" i="2"/>
  <c r="AQ87" i="2"/>
  <c r="AN87" i="2"/>
  <c r="AK87" i="2"/>
  <c r="AH87" i="2"/>
  <c r="AE87" i="2"/>
  <c r="AB87" i="2"/>
  <c r="Y87" i="2"/>
  <c r="V87" i="2"/>
  <c r="S87" i="2"/>
  <c r="P87" i="2"/>
  <c r="M87" i="2"/>
  <c r="J87" i="2"/>
  <c r="G87" i="2"/>
  <c r="CV86" i="2"/>
  <c r="CT86" i="2"/>
  <c r="CR86" i="2"/>
  <c r="CO86" i="2"/>
  <c r="CL86" i="2"/>
  <c r="CI86" i="2"/>
  <c r="CF86" i="2"/>
  <c r="CC86" i="2"/>
  <c r="BZ86" i="2"/>
  <c r="BW86" i="2"/>
  <c r="BT86" i="2"/>
  <c r="BQ86" i="2"/>
  <c r="BN86" i="2"/>
  <c r="BK86" i="2"/>
  <c r="BH86" i="2"/>
  <c r="BD86" i="2"/>
  <c r="DA86" i="2" s="1"/>
  <c r="BB86" i="2"/>
  <c r="AZ86" i="2"/>
  <c r="AW86" i="2"/>
  <c r="AT86" i="2"/>
  <c r="AQ86" i="2"/>
  <c r="AN86" i="2"/>
  <c r="AK86" i="2"/>
  <c r="AH86" i="2"/>
  <c r="AE86" i="2"/>
  <c r="AB86" i="2"/>
  <c r="Y86" i="2"/>
  <c r="V86" i="2"/>
  <c r="S86" i="2"/>
  <c r="P86" i="2"/>
  <c r="M86" i="2"/>
  <c r="J86" i="2"/>
  <c r="G86" i="2"/>
  <c r="CT85" i="2"/>
  <c r="CR85" i="2"/>
  <c r="CO85" i="2"/>
  <c r="CL85" i="2"/>
  <c r="CI85" i="2"/>
  <c r="CF85" i="2"/>
  <c r="CC85" i="2"/>
  <c r="BZ85" i="2"/>
  <c r="CA85" i="2" s="1"/>
  <c r="BW85" i="2"/>
  <c r="BT85" i="2"/>
  <c r="BU85" i="2" s="1"/>
  <c r="BQ85" i="2"/>
  <c r="BN85" i="2"/>
  <c r="BK85" i="2"/>
  <c r="BH85" i="2"/>
  <c r="CU85" i="2" s="1"/>
  <c r="BD85" i="2"/>
  <c r="BB85" i="2"/>
  <c r="CY85" i="2" s="1"/>
  <c r="AZ85" i="2"/>
  <c r="AW85" i="2"/>
  <c r="AT85" i="2"/>
  <c r="AQ85" i="2"/>
  <c r="AN85" i="2"/>
  <c r="AK85" i="2"/>
  <c r="AH85" i="2"/>
  <c r="AE85" i="2"/>
  <c r="AB85" i="2"/>
  <c r="Y85" i="2"/>
  <c r="V85" i="2"/>
  <c r="S85" i="2"/>
  <c r="P85" i="2"/>
  <c r="M85" i="2"/>
  <c r="J85" i="2"/>
  <c r="G85" i="2"/>
  <c r="CT84" i="2"/>
  <c r="CR84" i="2"/>
  <c r="CO84" i="2"/>
  <c r="CL84" i="2"/>
  <c r="CI84" i="2"/>
  <c r="CF84" i="2"/>
  <c r="CC84" i="2"/>
  <c r="BZ84" i="2"/>
  <c r="CA84" i="2" s="1"/>
  <c r="BW84" i="2"/>
  <c r="BT84" i="2"/>
  <c r="BU84" i="2" s="1"/>
  <c r="BQ84" i="2"/>
  <c r="BN84" i="2"/>
  <c r="BK84" i="2"/>
  <c r="BH84" i="2"/>
  <c r="CU84" i="2" s="1"/>
  <c r="BD84" i="2"/>
  <c r="BB84" i="2"/>
  <c r="CY84" i="2" s="1"/>
  <c r="AZ84" i="2"/>
  <c r="AW84" i="2"/>
  <c r="AT84" i="2"/>
  <c r="AQ84" i="2"/>
  <c r="AN84" i="2"/>
  <c r="AK84" i="2"/>
  <c r="AH84" i="2"/>
  <c r="AE84" i="2"/>
  <c r="AB84" i="2"/>
  <c r="Y84" i="2"/>
  <c r="V84" i="2"/>
  <c r="S84" i="2"/>
  <c r="P84" i="2"/>
  <c r="M84" i="2"/>
  <c r="J84" i="2"/>
  <c r="G84" i="2"/>
  <c r="CT83" i="2"/>
  <c r="CR83" i="2"/>
  <c r="CO83" i="2"/>
  <c r="CL83" i="2"/>
  <c r="CI83" i="2"/>
  <c r="CF83" i="2"/>
  <c r="CC83" i="2"/>
  <c r="BZ83" i="2"/>
  <c r="CA83" i="2" s="1"/>
  <c r="BW83" i="2"/>
  <c r="BT83" i="2"/>
  <c r="BU83" i="2" s="1"/>
  <c r="BQ83" i="2"/>
  <c r="BN83" i="2"/>
  <c r="BK83" i="2"/>
  <c r="BH83" i="2"/>
  <c r="BD83" i="2"/>
  <c r="BB83" i="2"/>
  <c r="CY83" i="2" s="1"/>
  <c r="AZ83" i="2"/>
  <c r="AW83" i="2"/>
  <c r="AT83" i="2"/>
  <c r="AQ83" i="2"/>
  <c r="AN83" i="2"/>
  <c r="AK83" i="2"/>
  <c r="AH83" i="2"/>
  <c r="AE83" i="2"/>
  <c r="AB83" i="2"/>
  <c r="Y83" i="2"/>
  <c r="V83" i="2"/>
  <c r="S83" i="2"/>
  <c r="P83" i="2"/>
  <c r="M83" i="2"/>
  <c r="J83" i="2"/>
  <c r="G83" i="2"/>
  <c r="CT82" i="2"/>
  <c r="CR82" i="2"/>
  <c r="CO82" i="2"/>
  <c r="CL82" i="2"/>
  <c r="CI82" i="2"/>
  <c r="CF82" i="2"/>
  <c r="CC82" i="2"/>
  <c r="BZ82" i="2"/>
  <c r="CA82" i="2" s="1"/>
  <c r="BW82" i="2"/>
  <c r="BT82" i="2"/>
  <c r="BU82" i="2" s="1"/>
  <c r="BQ82" i="2"/>
  <c r="BN82" i="2"/>
  <c r="BK82" i="2"/>
  <c r="BH82" i="2"/>
  <c r="BD82" i="2"/>
  <c r="BB82" i="2"/>
  <c r="CY82" i="2" s="1"/>
  <c r="AZ82" i="2"/>
  <c r="AW82" i="2"/>
  <c r="AT82" i="2"/>
  <c r="AQ82" i="2"/>
  <c r="AN82" i="2"/>
  <c r="AK82" i="2"/>
  <c r="AH82" i="2"/>
  <c r="AE82" i="2"/>
  <c r="AB82" i="2"/>
  <c r="Y82" i="2"/>
  <c r="V82" i="2"/>
  <c r="S82" i="2"/>
  <c r="P82" i="2"/>
  <c r="M82" i="2"/>
  <c r="J82" i="2"/>
  <c r="G82" i="2"/>
  <c r="BC82" i="2" s="1"/>
  <c r="CV81" i="2"/>
  <c r="CT81" i="2"/>
  <c r="CR81" i="2"/>
  <c r="CO81" i="2"/>
  <c r="CL81" i="2"/>
  <c r="CI81" i="2"/>
  <c r="CF81" i="2"/>
  <c r="CC81" i="2"/>
  <c r="BZ81" i="2"/>
  <c r="BW81" i="2"/>
  <c r="BT81" i="2"/>
  <c r="BQ81" i="2"/>
  <c r="BN81" i="2"/>
  <c r="BK81" i="2"/>
  <c r="BH81" i="2"/>
  <c r="BD81" i="2"/>
  <c r="DA81" i="2" s="1"/>
  <c r="BB81" i="2"/>
  <c r="CY81" i="2" s="1"/>
  <c r="AZ81" i="2"/>
  <c r="AW81" i="2"/>
  <c r="AT81" i="2"/>
  <c r="AQ81" i="2"/>
  <c r="AN81" i="2"/>
  <c r="AK81" i="2"/>
  <c r="AH81" i="2"/>
  <c r="AE81" i="2"/>
  <c r="AB81" i="2"/>
  <c r="Y81" i="2"/>
  <c r="V81" i="2"/>
  <c r="S81" i="2"/>
  <c r="P81" i="2"/>
  <c r="M81" i="2"/>
  <c r="J81" i="2"/>
  <c r="G81" i="2"/>
  <c r="CT80" i="2"/>
  <c r="CR80" i="2"/>
  <c r="CO80" i="2"/>
  <c r="CL80" i="2"/>
  <c r="CI80" i="2"/>
  <c r="CF80" i="2"/>
  <c r="CC80" i="2"/>
  <c r="BZ80" i="2"/>
  <c r="BW80" i="2"/>
  <c r="BT80" i="2"/>
  <c r="BU80" i="2" s="1"/>
  <c r="CV80" i="2" s="1"/>
  <c r="BQ80" i="2"/>
  <c r="BN80" i="2"/>
  <c r="BK80" i="2"/>
  <c r="BH80" i="2"/>
  <c r="BD80" i="2"/>
  <c r="BB80" i="2"/>
  <c r="CY80" i="2" s="1"/>
  <c r="AZ80" i="2"/>
  <c r="AW80" i="2"/>
  <c r="AT80" i="2"/>
  <c r="AQ80" i="2"/>
  <c r="AN80" i="2"/>
  <c r="AK80" i="2"/>
  <c r="AH80" i="2"/>
  <c r="AE80" i="2"/>
  <c r="AB80" i="2"/>
  <c r="Y80" i="2"/>
  <c r="V80" i="2"/>
  <c r="S80" i="2"/>
  <c r="P80" i="2"/>
  <c r="M80" i="2"/>
  <c r="J80" i="2"/>
  <c r="G80" i="2"/>
  <c r="CV79" i="2"/>
  <c r="CT79" i="2"/>
  <c r="CR79" i="2"/>
  <c r="CO79" i="2"/>
  <c r="CL79" i="2"/>
  <c r="CI79" i="2"/>
  <c r="CF79" i="2"/>
  <c r="CC79" i="2"/>
  <c r="BZ79" i="2"/>
  <c r="BW79" i="2"/>
  <c r="BT79" i="2"/>
  <c r="BQ79" i="2"/>
  <c r="BN79" i="2"/>
  <c r="BK79" i="2"/>
  <c r="BH79" i="2"/>
  <c r="BD79" i="2"/>
  <c r="DA79" i="2" s="1"/>
  <c r="BB79" i="2"/>
  <c r="AZ79" i="2"/>
  <c r="AW79" i="2"/>
  <c r="AT79" i="2"/>
  <c r="AQ79" i="2"/>
  <c r="AN79" i="2"/>
  <c r="AK79" i="2"/>
  <c r="AH79" i="2"/>
  <c r="AE79" i="2"/>
  <c r="AB79" i="2"/>
  <c r="Y79" i="2"/>
  <c r="V79" i="2"/>
  <c r="S79" i="2"/>
  <c r="P79" i="2"/>
  <c r="M79" i="2"/>
  <c r="J79" i="2"/>
  <c r="BC79" i="2" s="1"/>
  <c r="G79" i="2"/>
  <c r="CV78" i="2"/>
  <c r="CT78" i="2"/>
  <c r="CR78" i="2"/>
  <c r="CO78" i="2"/>
  <c r="CL78" i="2"/>
  <c r="CI78" i="2"/>
  <c r="CF78" i="2"/>
  <c r="CC78" i="2"/>
  <c r="BZ78" i="2"/>
  <c r="BW78" i="2"/>
  <c r="BT78" i="2"/>
  <c r="BQ78" i="2"/>
  <c r="BN78" i="2"/>
  <c r="BK78" i="2"/>
  <c r="BH78" i="2"/>
  <c r="CU78" i="2" s="1"/>
  <c r="CX78" i="2" s="1"/>
  <c r="H20" i="1" s="1"/>
  <c r="BD78" i="2"/>
  <c r="BB78" i="2"/>
  <c r="AZ78" i="2"/>
  <c r="AW78" i="2"/>
  <c r="AT78" i="2"/>
  <c r="AQ78" i="2"/>
  <c r="AN78" i="2"/>
  <c r="AK78" i="2"/>
  <c r="AH78" i="2"/>
  <c r="AE78" i="2"/>
  <c r="AB78" i="2"/>
  <c r="Y78" i="2"/>
  <c r="V78" i="2"/>
  <c r="S78" i="2"/>
  <c r="P78" i="2"/>
  <c r="M78" i="2"/>
  <c r="J78" i="2"/>
  <c r="G78" i="2"/>
  <c r="CV77" i="2"/>
  <c r="CT77" i="2"/>
  <c r="CR77" i="2"/>
  <c r="CO77" i="2"/>
  <c r="CL77" i="2"/>
  <c r="CI77" i="2"/>
  <c r="CF77" i="2"/>
  <c r="CC77" i="2"/>
  <c r="BZ77" i="2"/>
  <c r="BW77" i="2"/>
  <c r="BT77" i="2"/>
  <c r="BQ77" i="2"/>
  <c r="BN77" i="2"/>
  <c r="BK77" i="2"/>
  <c r="BH77" i="2"/>
  <c r="BB77" i="2"/>
  <c r="AZ77" i="2"/>
  <c r="AW77" i="2"/>
  <c r="AT77" i="2"/>
  <c r="AQ77" i="2"/>
  <c r="AN77" i="2"/>
  <c r="AK77" i="2"/>
  <c r="AH77" i="2"/>
  <c r="AE77" i="2"/>
  <c r="AB77" i="2"/>
  <c r="Y77" i="2"/>
  <c r="V77" i="2"/>
  <c r="S77" i="2"/>
  <c r="P77" i="2"/>
  <c r="M77" i="2"/>
  <c r="J77" i="2"/>
  <c r="K77" i="2" s="1"/>
  <c r="BD77" i="2" s="1"/>
  <c r="DA77" i="2" s="1"/>
  <c r="G77" i="2"/>
  <c r="CV74" i="2"/>
  <c r="CU74" i="2"/>
  <c r="CX74" i="2" s="1"/>
  <c r="H199" i="1" s="1"/>
  <c r="CT74" i="2"/>
  <c r="BD74" i="2"/>
  <c r="DA74" i="2" s="1"/>
  <c r="BC74" i="2"/>
  <c r="BB74" i="2"/>
  <c r="CY74" i="2" s="1"/>
  <c r="CV73" i="2"/>
  <c r="CU73" i="2"/>
  <c r="CX73" i="2" s="1"/>
  <c r="H198" i="1" s="1"/>
  <c r="CT73" i="2"/>
  <c r="BD73" i="2"/>
  <c r="DA73" i="2" s="1"/>
  <c r="BC73" i="2"/>
  <c r="BB73" i="2"/>
  <c r="CY73" i="2" s="1"/>
  <c r="CV72" i="2"/>
  <c r="CU72" i="2"/>
  <c r="CX72" i="2" s="1"/>
  <c r="H197" i="1" s="1"/>
  <c r="CT72" i="2"/>
  <c r="BD72" i="2"/>
  <c r="DA72" i="2" s="1"/>
  <c r="BC72" i="2"/>
  <c r="CZ72" i="2" s="1"/>
  <c r="BB72" i="2"/>
  <c r="CY72" i="2" s="1"/>
  <c r="CV71" i="2"/>
  <c r="CU71" i="2"/>
  <c r="CX71" i="2" s="1"/>
  <c r="H196" i="1" s="1"/>
  <c r="CT71" i="2"/>
  <c r="BD71" i="2"/>
  <c r="DA71" i="2" s="1"/>
  <c r="BC71" i="2"/>
  <c r="CZ71" i="2" s="1"/>
  <c r="BB71" i="2"/>
  <c r="CY71" i="2" s="1"/>
  <c r="CV70" i="2"/>
  <c r="CU70" i="2"/>
  <c r="CT70" i="2"/>
  <c r="BD70" i="2"/>
  <c r="BC70" i="2"/>
  <c r="BF70" i="2" s="1"/>
  <c r="F195" i="1" s="1"/>
  <c r="BB70" i="2"/>
  <c r="CT69" i="2"/>
  <c r="CF69" i="2"/>
  <c r="CG69" i="2" s="1"/>
  <c r="BZ69" i="2"/>
  <c r="CA69" i="2" s="1"/>
  <c r="BW69" i="2"/>
  <c r="BX69" i="2" s="1"/>
  <c r="BU69" i="2"/>
  <c r="BT69" i="2"/>
  <c r="BQ69" i="2"/>
  <c r="BR69" i="2" s="1"/>
  <c r="BN69" i="2"/>
  <c r="BO69" i="2" s="1"/>
  <c r="BH69" i="2"/>
  <c r="BI69" i="2" s="1"/>
  <c r="BB69" i="2"/>
  <c r="CY69" i="2" s="1"/>
  <c r="AT69" i="2"/>
  <c r="AU69" i="2" s="1"/>
  <c r="AN69" i="2"/>
  <c r="AO69" i="2" s="1"/>
  <c r="AL69" i="2"/>
  <c r="AK69" i="2"/>
  <c r="AE69" i="2"/>
  <c r="AF69" i="2" s="1"/>
  <c r="AB69" i="2"/>
  <c r="AC69" i="2" s="1"/>
  <c r="Y69" i="2"/>
  <c r="Z69" i="2" s="1"/>
  <c r="W69" i="2"/>
  <c r="V69" i="2"/>
  <c r="S69" i="2"/>
  <c r="T69" i="2" s="1"/>
  <c r="M69" i="2"/>
  <c r="N69" i="2" s="1"/>
  <c r="J69" i="2"/>
  <c r="K69" i="2" s="1"/>
  <c r="H69" i="2"/>
  <c r="G69" i="2"/>
  <c r="CT68" i="2"/>
  <c r="CF68" i="2"/>
  <c r="CG68" i="2" s="1"/>
  <c r="CA68" i="2"/>
  <c r="BZ68" i="2"/>
  <c r="BW68" i="2"/>
  <c r="BX68" i="2" s="1"/>
  <c r="BT68" i="2"/>
  <c r="BU68" i="2" s="1"/>
  <c r="BQ68" i="2"/>
  <c r="BR68" i="2" s="1"/>
  <c r="BO68" i="2"/>
  <c r="BN68" i="2"/>
  <c r="BH68" i="2"/>
  <c r="CU68" i="2" s="1"/>
  <c r="BB68" i="2"/>
  <c r="AU68" i="2"/>
  <c r="AT68" i="2"/>
  <c r="AN68" i="2"/>
  <c r="AO68" i="2" s="1"/>
  <c r="AK68" i="2"/>
  <c r="AL68" i="2" s="1"/>
  <c r="AE68" i="2"/>
  <c r="AF68" i="2" s="1"/>
  <c r="AC68" i="2"/>
  <c r="AB68" i="2"/>
  <c r="Y68" i="2"/>
  <c r="Z68" i="2" s="1"/>
  <c r="V68" i="2"/>
  <c r="W68" i="2" s="1"/>
  <c r="S68" i="2"/>
  <c r="T68" i="2" s="1"/>
  <c r="N68" i="2"/>
  <c r="M68" i="2"/>
  <c r="J68" i="2"/>
  <c r="BC68" i="2" s="1"/>
  <c r="G68" i="2"/>
  <c r="H68" i="2" s="1"/>
  <c r="CT67" i="2"/>
  <c r="CG67" i="2"/>
  <c r="CF67" i="2"/>
  <c r="BZ67" i="2"/>
  <c r="CA67" i="2" s="1"/>
  <c r="BW67" i="2"/>
  <c r="BX67" i="2" s="1"/>
  <c r="BT67" i="2"/>
  <c r="BU67" i="2" s="1"/>
  <c r="BR67" i="2"/>
  <c r="BQ67" i="2"/>
  <c r="BN67" i="2"/>
  <c r="BO67" i="2" s="1"/>
  <c r="BH67" i="2"/>
  <c r="BI67" i="2" s="1"/>
  <c r="BB67" i="2"/>
  <c r="CY67" i="2" s="1"/>
  <c r="AT67" i="2"/>
  <c r="AU67" i="2" s="1"/>
  <c r="AO67" i="2"/>
  <c r="AN67" i="2"/>
  <c r="AK67" i="2"/>
  <c r="AL67" i="2" s="1"/>
  <c r="AE67" i="2"/>
  <c r="AF67" i="2" s="1"/>
  <c r="AB67" i="2"/>
  <c r="AC67" i="2" s="1"/>
  <c r="Z67" i="2"/>
  <c r="Y67" i="2"/>
  <c r="V67" i="2"/>
  <c r="W67" i="2" s="1"/>
  <c r="S67" i="2"/>
  <c r="T67" i="2" s="1"/>
  <c r="M67" i="2"/>
  <c r="N67" i="2" s="1"/>
  <c r="K67" i="2"/>
  <c r="J67" i="2"/>
  <c r="G67" i="2"/>
  <c r="H67" i="2" s="1"/>
  <c r="CV66" i="2"/>
  <c r="CT66" i="2"/>
  <c r="CR66" i="2"/>
  <c r="CO66" i="2"/>
  <c r="CL66" i="2"/>
  <c r="CI66" i="2"/>
  <c r="CF66" i="2"/>
  <c r="CC66" i="2"/>
  <c r="BZ66" i="2"/>
  <c r="BW66" i="2"/>
  <c r="BT66" i="2"/>
  <c r="BQ66" i="2"/>
  <c r="BN66" i="2"/>
  <c r="BK66" i="2"/>
  <c r="BH66" i="2"/>
  <c r="BD66" i="2"/>
  <c r="DA66" i="2" s="1"/>
  <c r="BB66" i="2"/>
  <c r="AZ66" i="2"/>
  <c r="AW66" i="2"/>
  <c r="AT66" i="2"/>
  <c r="AQ66" i="2"/>
  <c r="AN66" i="2"/>
  <c r="AK66" i="2"/>
  <c r="AH66" i="2"/>
  <c r="AE66" i="2"/>
  <c r="AB66" i="2"/>
  <c r="Y66" i="2"/>
  <c r="V66" i="2"/>
  <c r="S66" i="2"/>
  <c r="P66" i="2"/>
  <c r="M66" i="2"/>
  <c r="J66" i="2"/>
  <c r="G66" i="2"/>
  <c r="CV65" i="2"/>
  <c r="CT65" i="2"/>
  <c r="CR65" i="2"/>
  <c r="CO65" i="2"/>
  <c r="CL65" i="2"/>
  <c r="CI65" i="2"/>
  <c r="CF65" i="2"/>
  <c r="CC65" i="2"/>
  <c r="BZ65" i="2"/>
  <c r="BW65" i="2"/>
  <c r="BT65" i="2"/>
  <c r="BQ65" i="2"/>
  <c r="BN65" i="2"/>
  <c r="BK65" i="2"/>
  <c r="BH65" i="2"/>
  <c r="BB65" i="2"/>
  <c r="CY65" i="2" s="1"/>
  <c r="AZ65" i="2"/>
  <c r="AW65" i="2"/>
  <c r="AT65" i="2"/>
  <c r="AQ65" i="2"/>
  <c r="AN65" i="2"/>
  <c r="AK65" i="2"/>
  <c r="AH65" i="2"/>
  <c r="AE65" i="2"/>
  <c r="AB65" i="2"/>
  <c r="AC65" i="2" s="1"/>
  <c r="Z65" i="2"/>
  <c r="Y65" i="2"/>
  <c r="V65" i="2"/>
  <c r="S65" i="2"/>
  <c r="P65" i="2"/>
  <c r="M65" i="2"/>
  <c r="J65" i="2"/>
  <c r="G65" i="2"/>
  <c r="CV64" i="2"/>
  <c r="CT64" i="2"/>
  <c r="CF64" i="2"/>
  <c r="BZ64" i="2"/>
  <c r="BW64" i="2"/>
  <c r="BT64" i="2"/>
  <c r="BQ64" i="2"/>
  <c r="BN64" i="2"/>
  <c r="CU64" i="2" s="1"/>
  <c r="CZ64" i="2" s="1"/>
  <c r="BD64" i="2"/>
  <c r="BF64" i="2" s="1"/>
  <c r="F135" i="1" s="1"/>
  <c r="BC64" i="2"/>
  <c r="BB64" i="2"/>
  <c r="CY64" i="2" s="1"/>
  <c r="CV63" i="2"/>
  <c r="CT63" i="2"/>
  <c r="CR63" i="2"/>
  <c r="CO63" i="2"/>
  <c r="CL63" i="2"/>
  <c r="CI63" i="2"/>
  <c r="CF63" i="2"/>
  <c r="CC63" i="2"/>
  <c r="BZ63" i="2"/>
  <c r="BW63" i="2"/>
  <c r="BT63" i="2"/>
  <c r="BQ63" i="2"/>
  <c r="BN63" i="2"/>
  <c r="BK63" i="2"/>
  <c r="BH63" i="2"/>
  <c r="BB63" i="2"/>
  <c r="CY63" i="2" s="1"/>
  <c r="AZ63" i="2"/>
  <c r="AW63" i="2"/>
  <c r="AT63" i="2"/>
  <c r="AQ63" i="2"/>
  <c r="AN63" i="2"/>
  <c r="AK63" i="2"/>
  <c r="AH63" i="2"/>
  <c r="AE63" i="2"/>
  <c r="AB63" i="2"/>
  <c r="Y63" i="2"/>
  <c r="V63" i="2"/>
  <c r="S63" i="2"/>
  <c r="P63" i="2"/>
  <c r="M63" i="2"/>
  <c r="J63" i="2"/>
  <c r="K63" i="2" s="1"/>
  <c r="BD63" i="2" s="1"/>
  <c r="DA63" i="2" s="1"/>
  <c r="G63" i="2"/>
  <c r="BC63" i="2" s="1"/>
  <c r="CV62" i="2"/>
  <c r="CT62" i="2"/>
  <c r="CF62" i="2"/>
  <c r="BQ62" i="2"/>
  <c r="CU62" i="2" s="1"/>
  <c r="CX62" i="2" s="1"/>
  <c r="H110" i="1" s="1"/>
  <c r="BN62" i="2"/>
  <c r="BK62" i="2"/>
  <c r="BH62" i="2"/>
  <c r="BD62" i="2"/>
  <c r="BB62" i="2"/>
  <c r="AT62" i="2"/>
  <c r="AQ62" i="2"/>
  <c r="AN62" i="2"/>
  <c r="AK62" i="2"/>
  <c r="AE62" i="2"/>
  <c r="S62" i="2"/>
  <c r="CV61" i="2"/>
  <c r="DA61" i="2" s="1"/>
  <c r="CT61" i="2"/>
  <c r="CR61" i="2"/>
  <c r="CO61" i="2"/>
  <c r="CL61" i="2"/>
  <c r="CI61" i="2"/>
  <c r="CF61" i="2"/>
  <c r="CC61" i="2"/>
  <c r="BZ61" i="2"/>
  <c r="BW61" i="2"/>
  <c r="BT61" i="2"/>
  <c r="BQ61" i="2"/>
  <c r="BN61" i="2"/>
  <c r="BK61" i="2"/>
  <c r="BH61" i="2"/>
  <c r="BD61" i="2"/>
  <c r="BB61" i="2"/>
  <c r="CY61" i="2" s="1"/>
  <c r="AZ61" i="2"/>
  <c r="AW61" i="2"/>
  <c r="AT61" i="2"/>
  <c r="AQ61" i="2"/>
  <c r="AN61" i="2"/>
  <c r="AK61" i="2"/>
  <c r="AH61" i="2"/>
  <c r="AE61" i="2"/>
  <c r="AB61" i="2"/>
  <c r="Y61" i="2"/>
  <c r="V61" i="2"/>
  <c r="S61" i="2"/>
  <c r="P61" i="2"/>
  <c r="M61" i="2"/>
  <c r="J61" i="2"/>
  <c r="G61" i="2"/>
  <c r="BC61" i="2" s="1"/>
  <c r="CV60" i="2"/>
  <c r="CU60" i="2"/>
  <c r="CX60" i="2" s="1"/>
  <c r="H108" i="1" s="1"/>
  <c r="CT60" i="2"/>
  <c r="BD60" i="2"/>
  <c r="BC60" i="2"/>
  <c r="BF60" i="2" s="1"/>
  <c r="F108" i="1" s="1"/>
  <c r="BB60" i="2"/>
  <c r="CV59" i="2"/>
  <c r="CT59" i="2"/>
  <c r="CR59" i="2"/>
  <c r="CO59" i="2"/>
  <c r="CL59" i="2"/>
  <c r="CI59" i="2"/>
  <c r="CF59" i="2"/>
  <c r="CC59" i="2"/>
  <c r="BZ59" i="2"/>
  <c r="BW59" i="2"/>
  <c r="BT59" i="2"/>
  <c r="BQ59" i="2"/>
  <c r="BN59" i="2"/>
  <c r="BK59" i="2"/>
  <c r="BD59" i="2"/>
  <c r="BB59" i="2"/>
  <c r="CY59" i="2" s="1"/>
  <c r="AZ59" i="2"/>
  <c r="AW59" i="2"/>
  <c r="AT59" i="2"/>
  <c r="AH59" i="2"/>
  <c r="AE59" i="2"/>
  <c r="AB59" i="2"/>
  <c r="Y59" i="2"/>
  <c r="V59" i="2"/>
  <c r="S59" i="2"/>
  <c r="P59" i="2"/>
  <c r="M59" i="2"/>
  <c r="J59" i="2"/>
  <c r="G59" i="2"/>
  <c r="CV58" i="2"/>
  <c r="CU58" i="2"/>
  <c r="CX58" i="2" s="1"/>
  <c r="H106" i="1" s="1"/>
  <c r="CT58" i="2"/>
  <c r="BD58" i="2"/>
  <c r="DA58" i="2" s="1"/>
  <c r="BC58" i="2"/>
  <c r="CZ58" i="2" s="1"/>
  <c r="BB58" i="2"/>
  <c r="CY58" i="2" s="1"/>
  <c r="CV57" i="2"/>
  <c r="CT57" i="2"/>
  <c r="CR57" i="2"/>
  <c r="CO57" i="2"/>
  <c r="CL57" i="2"/>
  <c r="CI57" i="2"/>
  <c r="CF57" i="2"/>
  <c r="CC57" i="2"/>
  <c r="BZ57" i="2"/>
  <c r="BW57" i="2"/>
  <c r="BT57" i="2"/>
  <c r="BQ57" i="2"/>
  <c r="BN57" i="2"/>
  <c r="BK57" i="2"/>
  <c r="BH57" i="2"/>
  <c r="CU57" i="2" s="1"/>
  <c r="CX57" i="2" s="1"/>
  <c r="H105" i="1" s="1"/>
  <c r="BD57" i="2"/>
  <c r="BB57" i="2"/>
  <c r="CY57" i="2" s="1"/>
  <c r="AZ57" i="2"/>
  <c r="AW57" i="2"/>
  <c r="AT57" i="2"/>
  <c r="AQ57" i="2"/>
  <c r="AN57" i="2"/>
  <c r="AK57" i="2"/>
  <c r="AH57" i="2"/>
  <c r="AE57" i="2"/>
  <c r="AB57" i="2"/>
  <c r="Y57" i="2"/>
  <c r="V57" i="2"/>
  <c r="S57" i="2"/>
  <c r="P57" i="2"/>
  <c r="M57" i="2"/>
  <c r="J57" i="2"/>
  <c r="G57" i="2"/>
  <c r="CV56" i="2"/>
  <c r="CT56" i="2"/>
  <c r="CR56" i="2"/>
  <c r="CO56" i="2"/>
  <c r="CL56" i="2"/>
  <c r="CI56" i="2"/>
  <c r="CF56" i="2"/>
  <c r="CC56" i="2"/>
  <c r="BZ56" i="2"/>
  <c r="BW56" i="2"/>
  <c r="BT56" i="2"/>
  <c r="BQ56" i="2"/>
  <c r="BN56" i="2"/>
  <c r="BK56" i="2"/>
  <c r="BH56" i="2"/>
  <c r="BD56" i="2"/>
  <c r="BB56" i="2"/>
  <c r="CY56" i="2" s="1"/>
  <c r="AZ56" i="2"/>
  <c r="AW56" i="2"/>
  <c r="AT56" i="2"/>
  <c r="AQ56" i="2"/>
  <c r="AN56" i="2"/>
  <c r="AK56" i="2"/>
  <c r="AH56" i="2"/>
  <c r="AE56" i="2"/>
  <c r="AB56" i="2"/>
  <c r="Y56" i="2"/>
  <c r="V56" i="2"/>
  <c r="S56" i="2"/>
  <c r="P56" i="2"/>
  <c r="M56" i="2"/>
  <c r="J56" i="2"/>
  <c r="G56" i="2"/>
  <c r="BC56" i="2" s="1"/>
  <c r="CV55" i="2"/>
  <c r="CT55" i="2"/>
  <c r="CY55" i="2" s="1"/>
  <c r="CR55" i="2"/>
  <c r="CO55" i="2"/>
  <c r="CL55" i="2"/>
  <c r="CI55" i="2"/>
  <c r="CF55" i="2"/>
  <c r="CC55" i="2"/>
  <c r="BZ55" i="2"/>
  <c r="BW55" i="2"/>
  <c r="BT55" i="2"/>
  <c r="BQ55" i="2"/>
  <c r="BN55" i="2"/>
  <c r="BK55" i="2"/>
  <c r="BH55" i="2"/>
  <c r="BD55" i="2"/>
  <c r="DA55" i="2" s="1"/>
  <c r="BB55" i="2"/>
  <c r="AZ55" i="2"/>
  <c r="AW55" i="2"/>
  <c r="AT55" i="2"/>
  <c r="AQ55" i="2"/>
  <c r="AN55" i="2"/>
  <c r="AK55" i="2"/>
  <c r="AH55" i="2"/>
  <c r="AE55" i="2"/>
  <c r="AB55" i="2"/>
  <c r="Y55" i="2"/>
  <c r="V55" i="2"/>
  <c r="S55" i="2"/>
  <c r="P55" i="2"/>
  <c r="M55" i="2"/>
  <c r="J55" i="2"/>
  <c r="BC55" i="2" s="1"/>
  <c r="G55" i="2"/>
  <c r="CV54" i="2"/>
  <c r="CT54" i="2"/>
  <c r="CF54" i="2"/>
  <c r="BZ54" i="2"/>
  <c r="BW54" i="2"/>
  <c r="BT54" i="2"/>
  <c r="BQ54" i="2"/>
  <c r="BN54" i="2"/>
  <c r="BK54" i="2"/>
  <c r="BH54" i="2"/>
  <c r="BB54" i="2"/>
  <c r="CY54" i="2" s="1"/>
  <c r="AT54" i="2"/>
  <c r="AQ54" i="2"/>
  <c r="AN54" i="2"/>
  <c r="AK54" i="2"/>
  <c r="BC54" i="2" s="1"/>
  <c r="CV53" i="2"/>
  <c r="CT53" i="2"/>
  <c r="CY53" i="2" s="1"/>
  <c r="CR53" i="2"/>
  <c r="CO53" i="2"/>
  <c r="CL53" i="2"/>
  <c r="CI53" i="2"/>
  <c r="CF53" i="2"/>
  <c r="CC53" i="2"/>
  <c r="BZ53" i="2"/>
  <c r="BW53" i="2"/>
  <c r="BT53" i="2"/>
  <c r="BQ53" i="2"/>
  <c r="BN53" i="2"/>
  <c r="BK53" i="2"/>
  <c r="BH53" i="2"/>
  <c r="BD53" i="2"/>
  <c r="DA53" i="2" s="1"/>
  <c r="BB53" i="2"/>
  <c r="AZ53" i="2"/>
  <c r="AW53" i="2"/>
  <c r="AT53" i="2"/>
  <c r="AQ53" i="2"/>
  <c r="AN53" i="2"/>
  <c r="AK53" i="2"/>
  <c r="AH53" i="2"/>
  <c r="AE53" i="2"/>
  <c r="AB53" i="2"/>
  <c r="Y53" i="2"/>
  <c r="V53" i="2"/>
  <c r="S53" i="2"/>
  <c r="P53" i="2"/>
  <c r="M53" i="2"/>
  <c r="J53" i="2"/>
  <c r="BC53" i="2" s="1"/>
  <c r="G53" i="2"/>
  <c r="DA52" i="2"/>
  <c r="CV52" i="2"/>
  <c r="CT52" i="2"/>
  <c r="CF52" i="2"/>
  <c r="BZ52" i="2"/>
  <c r="BW52" i="2"/>
  <c r="BT52" i="2"/>
  <c r="BQ52" i="2"/>
  <c r="BD52" i="2"/>
  <c r="BC52" i="2"/>
  <c r="BF52" i="2" s="1"/>
  <c r="F100" i="1" s="1"/>
  <c r="BB52" i="2"/>
  <c r="CV51" i="2"/>
  <c r="CT51" i="2"/>
  <c r="CR51" i="2"/>
  <c r="CO51" i="2"/>
  <c r="CL51" i="2"/>
  <c r="CI51" i="2"/>
  <c r="CF51" i="2"/>
  <c r="CC51" i="2"/>
  <c r="BZ51" i="2"/>
  <c r="BW51" i="2"/>
  <c r="BT51" i="2"/>
  <c r="BQ51" i="2"/>
  <c r="BN51" i="2"/>
  <c r="BK51" i="2"/>
  <c r="BH51" i="2"/>
  <c r="BD51" i="2"/>
  <c r="BB51" i="2"/>
  <c r="AZ51" i="2"/>
  <c r="AW51" i="2"/>
  <c r="AT51" i="2"/>
  <c r="AQ51" i="2"/>
  <c r="AN51" i="2"/>
  <c r="AK51" i="2"/>
  <c r="AH51" i="2"/>
  <c r="AE51" i="2"/>
  <c r="AB51" i="2"/>
  <c r="Y51" i="2"/>
  <c r="V51" i="2"/>
  <c r="S51" i="2"/>
  <c r="P51" i="2"/>
  <c r="M51" i="2"/>
  <c r="J51" i="2"/>
  <c r="G51" i="2"/>
  <c r="CV50" i="2"/>
  <c r="CU50" i="2"/>
  <c r="CT50" i="2"/>
  <c r="BD50" i="2"/>
  <c r="DA50" i="2" s="1"/>
  <c r="BC50" i="2"/>
  <c r="BB50" i="2"/>
  <c r="CY50" i="2" s="1"/>
  <c r="CV49" i="2"/>
  <c r="CT49" i="2"/>
  <c r="CR49" i="2"/>
  <c r="CO49" i="2"/>
  <c r="CL49" i="2"/>
  <c r="CI49" i="2"/>
  <c r="CF49" i="2"/>
  <c r="CC49" i="2"/>
  <c r="BZ49" i="2"/>
  <c r="BW49" i="2"/>
  <c r="BT49" i="2"/>
  <c r="BQ49" i="2"/>
  <c r="BN49" i="2"/>
  <c r="BK49" i="2"/>
  <c r="BH49" i="2"/>
  <c r="BD49" i="2"/>
  <c r="BB49" i="2"/>
  <c r="CY49" i="2" s="1"/>
  <c r="AZ49" i="2"/>
  <c r="AW49" i="2"/>
  <c r="AT49" i="2"/>
  <c r="AQ49" i="2"/>
  <c r="AN49" i="2"/>
  <c r="AK49" i="2"/>
  <c r="AH49" i="2"/>
  <c r="AE49" i="2"/>
  <c r="AB49" i="2"/>
  <c r="Y49" i="2"/>
  <c r="V49" i="2"/>
  <c r="S49" i="2"/>
  <c r="P49" i="2"/>
  <c r="M49" i="2"/>
  <c r="J49" i="2"/>
  <c r="G49" i="2"/>
  <c r="BC49" i="2" s="1"/>
  <c r="CV48" i="2"/>
  <c r="CT48" i="2"/>
  <c r="CR48" i="2"/>
  <c r="CO48" i="2"/>
  <c r="CL48" i="2"/>
  <c r="CI48" i="2"/>
  <c r="CF48" i="2"/>
  <c r="CC48" i="2"/>
  <c r="BZ48" i="2"/>
  <c r="BW48" i="2"/>
  <c r="BT48" i="2"/>
  <c r="BQ48" i="2"/>
  <c r="BN48" i="2"/>
  <c r="BK48" i="2"/>
  <c r="BH48" i="2"/>
  <c r="BB48" i="2"/>
  <c r="CY48" i="2" s="1"/>
  <c r="AZ48" i="2"/>
  <c r="AW48" i="2"/>
  <c r="AT48" i="2"/>
  <c r="AQ48" i="2"/>
  <c r="AN48" i="2"/>
  <c r="AK48" i="2"/>
  <c r="AH48" i="2"/>
  <c r="AE48" i="2"/>
  <c r="AB48" i="2"/>
  <c r="Y48" i="2"/>
  <c r="V48" i="2"/>
  <c r="S48" i="2"/>
  <c r="P48" i="2"/>
  <c r="M48" i="2"/>
  <c r="J48" i="2"/>
  <c r="K48" i="2" s="1"/>
  <c r="BD48" i="2" s="1"/>
  <c r="DA48" i="2" s="1"/>
  <c r="G48" i="2"/>
  <c r="CX47" i="2"/>
  <c r="H95" i="1" s="1"/>
  <c r="CV47" i="2"/>
  <c r="CU47" i="2"/>
  <c r="CT47" i="2"/>
  <c r="BD47" i="2"/>
  <c r="DA47" i="2" s="1"/>
  <c r="BC47" i="2"/>
  <c r="BB47" i="2"/>
  <c r="CV46" i="2"/>
  <c r="CT46" i="2"/>
  <c r="CR46" i="2"/>
  <c r="CO46" i="2"/>
  <c r="CL46" i="2"/>
  <c r="CI46" i="2"/>
  <c r="CF46" i="2"/>
  <c r="CC46" i="2"/>
  <c r="BZ46" i="2"/>
  <c r="BW46" i="2"/>
  <c r="BT46" i="2"/>
  <c r="BQ46" i="2"/>
  <c r="BN46" i="2"/>
  <c r="BK46" i="2"/>
  <c r="BH46" i="2"/>
  <c r="BD46" i="2"/>
  <c r="DA46" i="2" s="1"/>
  <c r="BB46" i="2"/>
  <c r="AZ46" i="2"/>
  <c r="AW46" i="2"/>
  <c r="AT46" i="2"/>
  <c r="AQ46" i="2"/>
  <c r="AN46" i="2"/>
  <c r="AH46" i="2"/>
  <c r="AE46" i="2"/>
  <c r="AB46" i="2"/>
  <c r="Y46" i="2"/>
  <c r="V46" i="2"/>
  <c r="S46" i="2"/>
  <c r="CV45" i="2"/>
  <c r="CT45" i="2"/>
  <c r="CF45" i="2"/>
  <c r="BW45" i="2"/>
  <c r="BT45" i="2"/>
  <c r="BQ45" i="2"/>
  <c r="BN45" i="2"/>
  <c r="BK45" i="2"/>
  <c r="BH45" i="2"/>
  <c r="BD45" i="2"/>
  <c r="BB45" i="2"/>
  <c r="AT45" i="2"/>
  <c r="AQ45" i="2"/>
  <c r="AN45" i="2"/>
  <c r="AK45" i="2"/>
  <c r="AE45" i="2"/>
  <c r="BC45" i="2" s="1"/>
  <c r="CV44" i="2"/>
  <c r="CT44" i="2"/>
  <c r="CR44" i="2"/>
  <c r="CO44" i="2"/>
  <c r="CL44" i="2"/>
  <c r="CI44" i="2"/>
  <c r="CF44" i="2"/>
  <c r="CC44" i="2"/>
  <c r="BZ44" i="2"/>
  <c r="BW44" i="2"/>
  <c r="BT44" i="2"/>
  <c r="BQ44" i="2"/>
  <c r="BN44" i="2"/>
  <c r="BK44" i="2"/>
  <c r="BH44" i="2"/>
  <c r="BD44" i="2"/>
  <c r="DA44" i="2" s="1"/>
  <c r="BB44" i="2"/>
  <c r="AZ44" i="2"/>
  <c r="AW44" i="2"/>
  <c r="AT44" i="2"/>
  <c r="AQ44" i="2"/>
  <c r="AN44" i="2"/>
  <c r="AK44" i="2"/>
  <c r="AH44" i="2"/>
  <c r="AE44" i="2"/>
  <c r="AB44" i="2"/>
  <c r="Y44" i="2"/>
  <c r="V44" i="2"/>
  <c r="S44" i="2"/>
  <c r="P44" i="2"/>
  <c r="M44" i="2"/>
  <c r="J44" i="2"/>
  <c r="G44" i="2"/>
  <c r="CV43" i="2"/>
  <c r="CT43" i="2"/>
  <c r="CR43" i="2"/>
  <c r="CO43" i="2"/>
  <c r="CL43" i="2"/>
  <c r="CI43" i="2"/>
  <c r="CF43" i="2"/>
  <c r="CC43" i="2"/>
  <c r="BZ43" i="2"/>
  <c r="BW43" i="2"/>
  <c r="BT43" i="2"/>
  <c r="BQ43" i="2"/>
  <c r="BN43" i="2"/>
  <c r="BK43" i="2"/>
  <c r="BH43" i="2"/>
  <c r="BD43" i="2"/>
  <c r="BB43" i="2"/>
  <c r="CY43" i="2" s="1"/>
  <c r="AZ43" i="2"/>
  <c r="AW43" i="2"/>
  <c r="AT43" i="2"/>
  <c r="AQ43" i="2"/>
  <c r="AN43" i="2"/>
  <c r="AK43" i="2"/>
  <c r="AH43" i="2"/>
  <c r="AE43" i="2"/>
  <c r="AB43" i="2"/>
  <c r="Y43" i="2"/>
  <c r="V43" i="2"/>
  <c r="S43" i="2"/>
  <c r="P43" i="2"/>
  <c r="M43" i="2"/>
  <c r="J43" i="2"/>
  <c r="G43" i="2"/>
  <c r="CV42" i="2"/>
  <c r="CT42" i="2"/>
  <c r="CR42" i="2"/>
  <c r="CO42" i="2"/>
  <c r="CL42" i="2"/>
  <c r="CI42" i="2"/>
  <c r="CF42" i="2"/>
  <c r="CC42" i="2"/>
  <c r="BZ42" i="2"/>
  <c r="BW42" i="2"/>
  <c r="BT42" i="2"/>
  <c r="BQ42" i="2"/>
  <c r="BN42" i="2"/>
  <c r="BK42" i="2"/>
  <c r="BH42" i="2"/>
  <c r="BD42" i="2"/>
  <c r="DA42" i="2" s="1"/>
  <c r="BB42" i="2"/>
  <c r="AZ42" i="2"/>
  <c r="AW42" i="2"/>
  <c r="AT42" i="2"/>
  <c r="AQ42" i="2"/>
  <c r="AN42" i="2"/>
  <c r="AK42" i="2"/>
  <c r="AH42" i="2"/>
  <c r="AE42" i="2"/>
  <c r="AB42" i="2"/>
  <c r="Y42" i="2"/>
  <c r="V42" i="2"/>
  <c r="S42" i="2"/>
  <c r="P42" i="2"/>
  <c r="M42" i="2"/>
  <c r="J42" i="2"/>
  <c r="G42" i="2"/>
  <c r="CV41" i="2"/>
  <c r="CT41" i="2"/>
  <c r="CR41" i="2"/>
  <c r="CO41" i="2"/>
  <c r="CL41" i="2"/>
  <c r="CI41" i="2"/>
  <c r="CF41" i="2"/>
  <c r="CC41" i="2"/>
  <c r="BZ41" i="2"/>
  <c r="BW41" i="2"/>
  <c r="BT41" i="2"/>
  <c r="BQ41" i="2"/>
  <c r="BN41" i="2"/>
  <c r="CU41" i="2" s="1"/>
  <c r="CX41" i="2" s="1"/>
  <c r="H89" i="1" s="1"/>
  <c r="BK41" i="2"/>
  <c r="BH41" i="2"/>
  <c r="BB41" i="2"/>
  <c r="CY41" i="2" s="1"/>
  <c r="AZ41" i="2"/>
  <c r="AW41" i="2"/>
  <c r="AT41" i="2"/>
  <c r="AQ41" i="2"/>
  <c r="AN41" i="2"/>
  <c r="AK41" i="2"/>
  <c r="AH41" i="2"/>
  <c r="AE41" i="2"/>
  <c r="AB41" i="2"/>
  <c r="Y41" i="2"/>
  <c r="V41" i="2"/>
  <c r="S41" i="2"/>
  <c r="P41" i="2"/>
  <c r="M41" i="2"/>
  <c r="J41" i="2"/>
  <c r="K41" i="2" s="1"/>
  <c r="BD41" i="2" s="1"/>
  <c r="DA41" i="2" s="1"/>
  <c r="G41" i="2"/>
  <c r="CV40" i="2"/>
  <c r="CT40" i="2"/>
  <c r="CR40" i="2"/>
  <c r="CO40" i="2"/>
  <c r="CL40" i="2"/>
  <c r="CI40" i="2"/>
  <c r="CF40" i="2"/>
  <c r="CC40" i="2"/>
  <c r="BZ40" i="2"/>
  <c r="BW40" i="2"/>
  <c r="BT40" i="2"/>
  <c r="BQ40" i="2"/>
  <c r="BN40" i="2"/>
  <c r="BK40" i="2"/>
  <c r="BH40" i="2"/>
  <c r="BB40" i="2"/>
  <c r="AZ40" i="2"/>
  <c r="AW40" i="2"/>
  <c r="AT40" i="2"/>
  <c r="AQ40" i="2"/>
  <c r="AN40" i="2"/>
  <c r="AK40" i="2"/>
  <c r="AL40" i="2" s="1"/>
  <c r="BD40" i="2" s="1"/>
  <c r="AH40" i="2"/>
  <c r="AE40" i="2"/>
  <c r="AB40" i="2"/>
  <c r="Y40" i="2"/>
  <c r="V40" i="2"/>
  <c r="S40" i="2"/>
  <c r="P40" i="2"/>
  <c r="M40" i="2"/>
  <c r="J40" i="2"/>
  <c r="G40" i="2"/>
  <c r="CV39" i="2"/>
  <c r="CT39" i="2"/>
  <c r="CR39" i="2"/>
  <c r="CO39" i="2"/>
  <c r="CL39" i="2"/>
  <c r="CI39" i="2"/>
  <c r="CF39" i="2"/>
  <c r="CC39" i="2"/>
  <c r="BZ39" i="2"/>
  <c r="BW39" i="2"/>
  <c r="BT39" i="2"/>
  <c r="BQ39" i="2"/>
  <c r="BN39" i="2"/>
  <c r="BK39" i="2"/>
  <c r="BH39" i="2"/>
  <c r="CU39" i="2" s="1"/>
  <c r="CX39" i="2" s="1"/>
  <c r="H87" i="1" s="1"/>
  <c r="BB39" i="2"/>
  <c r="CY39" i="2" s="1"/>
  <c r="AZ39" i="2"/>
  <c r="AW39" i="2"/>
  <c r="AT39" i="2"/>
  <c r="AQ39" i="2"/>
  <c r="AN39" i="2"/>
  <c r="AK39" i="2"/>
  <c r="AL39" i="2" s="1"/>
  <c r="BD39" i="2" s="1"/>
  <c r="AH39" i="2"/>
  <c r="AE39" i="2"/>
  <c r="AB39" i="2"/>
  <c r="Y39" i="2"/>
  <c r="V39" i="2"/>
  <c r="S39" i="2"/>
  <c r="P39" i="2"/>
  <c r="M39" i="2"/>
  <c r="J39" i="2"/>
  <c r="BC39" i="2" s="1"/>
  <c r="G39" i="2"/>
  <c r="CV38" i="2"/>
  <c r="DA38" i="2" s="1"/>
  <c r="CT38" i="2"/>
  <c r="CR38" i="2"/>
  <c r="CO38" i="2"/>
  <c r="CL38" i="2"/>
  <c r="CI38" i="2"/>
  <c r="CF38" i="2"/>
  <c r="CC38" i="2"/>
  <c r="BZ38" i="2"/>
  <c r="BW38" i="2"/>
  <c r="BT38" i="2"/>
  <c r="BQ38" i="2"/>
  <c r="BN38" i="2"/>
  <c r="BD38" i="2"/>
  <c r="BB38" i="2"/>
  <c r="CY38" i="2" s="1"/>
  <c r="AZ38" i="2"/>
  <c r="AW38" i="2"/>
  <c r="AT38" i="2"/>
  <c r="AH38" i="2"/>
  <c r="AE38" i="2"/>
  <c r="AB38" i="2"/>
  <c r="Y38" i="2"/>
  <c r="V38" i="2"/>
  <c r="S38" i="2"/>
  <c r="P38" i="2"/>
  <c r="M38" i="2"/>
  <c r="J38" i="2"/>
  <c r="G38" i="2"/>
  <c r="CV37" i="2"/>
  <c r="CT37" i="2"/>
  <c r="CR37" i="2"/>
  <c r="CO37" i="2"/>
  <c r="CL37" i="2"/>
  <c r="CI37" i="2"/>
  <c r="CF37" i="2"/>
  <c r="CC37" i="2"/>
  <c r="BZ37" i="2"/>
  <c r="BW37" i="2"/>
  <c r="BT37" i="2"/>
  <c r="BQ37" i="2"/>
  <c r="BN37" i="2"/>
  <c r="BK37" i="2"/>
  <c r="BH37" i="2"/>
  <c r="CU37" i="2" s="1"/>
  <c r="CX37" i="2" s="1"/>
  <c r="H85" i="1" s="1"/>
  <c r="BD37" i="2"/>
  <c r="BB37" i="2"/>
  <c r="CY37" i="2" s="1"/>
  <c r="AZ37" i="2"/>
  <c r="AW37" i="2"/>
  <c r="AT37" i="2"/>
  <c r="AQ37" i="2"/>
  <c r="AN37" i="2"/>
  <c r="AK37" i="2"/>
  <c r="AH37" i="2"/>
  <c r="AE37" i="2"/>
  <c r="AB37" i="2"/>
  <c r="Y37" i="2"/>
  <c r="V37" i="2"/>
  <c r="S37" i="2"/>
  <c r="P37" i="2"/>
  <c r="M37" i="2"/>
  <c r="J37" i="2"/>
  <c r="G37" i="2"/>
  <c r="CV36" i="2"/>
  <c r="CU36" i="2"/>
  <c r="CX36" i="2" s="1"/>
  <c r="H84" i="1" s="1"/>
  <c r="CT36" i="2"/>
  <c r="BD36" i="2"/>
  <c r="DA36" i="2" s="1"/>
  <c r="BC36" i="2"/>
  <c r="BB36" i="2"/>
  <c r="CY36" i="2" s="1"/>
  <c r="CV35" i="2"/>
  <c r="CT35" i="2"/>
  <c r="CR35" i="2"/>
  <c r="CO35" i="2"/>
  <c r="CL35" i="2"/>
  <c r="CI35" i="2"/>
  <c r="CF35" i="2"/>
  <c r="CC35" i="2"/>
  <c r="BZ35" i="2"/>
  <c r="BW35" i="2"/>
  <c r="BT35" i="2"/>
  <c r="BQ35" i="2"/>
  <c r="BN35" i="2"/>
  <c r="BK35" i="2"/>
  <c r="BH35" i="2"/>
  <c r="CU35" i="2" s="1"/>
  <c r="CX35" i="2" s="1"/>
  <c r="H83" i="1" s="1"/>
  <c r="BD35" i="2"/>
  <c r="DA35" i="2" s="1"/>
  <c r="BB35" i="2"/>
  <c r="CY35" i="2" s="1"/>
  <c r="AZ35" i="2"/>
  <c r="AW35" i="2"/>
  <c r="AT35" i="2"/>
  <c r="AQ35" i="2"/>
  <c r="AN35" i="2"/>
  <c r="AK35" i="2"/>
  <c r="AH35" i="2"/>
  <c r="AE35" i="2"/>
  <c r="AB35" i="2"/>
  <c r="Y35" i="2"/>
  <c r="V35" i="2"/>
  <c r="S35" i="2"/>
  <c r="P35" i="2"/>
  <c r="M35" i="2"/>
  <c r="J35" i="2"/>
  <c r="G35" i="2"/>
  <c r="CV34" i="2"/>
  <c r="CT34" i="2"/>
  <c r="CY34" i="2" s="1"/>
  <c r="CR34" i="2"/>
  <c r="CO34" i="2"/>
  <c r="CL34" i="2"/>
  <c r="CI34" i="2"/>
  <c r="CF34" i="2"/>
  <c r="CC34" i="2"/>
  <c r="BZ34" i="2"/>
  <c r="BW34" i="2"/>
  <c r="BT34" i="2"/>
  <c r="BQ34" i="2"/>
  <c r="BN34" i="2"/>
  <c r="BK34" i="2"/>
  <c r="CU34" i="2" s="1"/>
  <c r="CX34" i="2" s="1"/>
  <c r="H82" i="1" s="1"/>
  <c r="BH34" i="2"/>
  <c r="BB34" i="2"/>
  <c r="AZ34" i="2"/>
  <c r="AW34" i="2"/>
  <c r="AT34" i="2"/>
  <c r="AQ34" i="2"/>
  <c r="AN34" i="2"/>
  <c r="AK34" i="2"/>
  <c r="AH34" i="2"/>
  <c r="AE34" i="2"/>
  <c r="AB34" i="2"/>
  <c r="Y34" i="2"/>
  <c r="V34" i="2"/>
  <c r="S34" i="2"/>
  <c r="P34" i="2"/>
  <c r="M34" i="2"/>
  <c r="J34" i="2"/>
  <c r="K34" i="2" s="1"/>
  <c r="BD34" i="2" s="1"/>
  <c r="DA34" i="2" s="1"/>
  <c r="G34" i="2"/>
  <c r="CV33" i="2"/>
  <c r="DA33" i="2" s="1"/>
  <c r="CT33" i="2"/>
  <c r="CR33" i="2"/>
  <c r="CO33" i="2"/>
  <c r="CL33" i="2"/>
  <c r="CI33" i="2"/>
  <c r="CF33" i="2"/>
  <c r="CC33" i="2"/>
  <c r="BZ33" i="2"/>
  <c r="BW33" i="2"/>
  <c r="BT33" i="2"/>
  <c r="BQ33" i="2"/>
  <c r="BN33" i="2"/>
  <c r="BK33" i="2"/>
  <c r="BH33" i="2"/>
  <c r="BD33" i="2"/>
  <c r="BB33" i="2"/>
  <c r="CY33" i="2" s="1"/>
  <c r="AZ33" i="2"/>
  <c r="AW33" i="2"/>
  <c r="AT33" i="2"/>
  <c r="AQ33" i="2"/>
  <c r="AN33" i="2"/>
  <c r="AK33" i="2"/>
  <c r="AH33" i="2"/>
  <c r="AE33" i="2"/>
  <c r="AB33" i="2"/>
  <c r="Y33" i="2"/>
  <c r="V33" i="2"/>
  <c r="S33" i="2"/>
  <c r="P33" i="2"/>
  <c r="M33" i="2"/>
  <c r="J33" i="2"/>
  <c r="G33" i="2"/>
  <c r="BC33" i="2" s="1"/>
  <c r="CV32" i="2"/>
  <c r="CT32" i="2"/>
  <c r="CR32" i="2"/>
  <c r="CO32" i="2"/>
  <c r="CL32" i="2"/>
  <c r="CI32" i="2"/>
  <c r="CF32" i="2"/>
  <c r="CC32" i="2"/>
  <c r="BZ32" i="2"/>
  <c r="BW32" i="2"/>
  <c r="BT32" i="2"/>
  <c r="BQ32" i="2"/>
  <c r="BN32" i="2"/>
  <c r="BK32" i="2"/>
  <c r="BH32" i="2"/>
  <c r="BD32" i="2"/>
  <c r="DA32" i="2" s="1"/>
  <c r="BB32" i="2"/>
  <c r="AZ32" i="2"/>
  <c r="AW32" i="2"/>
  <c r="AT32" i="2"/>
  <c r="AQ32" i="2"/>
  <c r="AN32" i="2"/>
  <c r="AK32" i="2"/>
  <c r="AH32" i="2"/>
  <c r="AE32" i="2"/>
  <c r="AB32" i="2"/>
  <c r="Y32" i="2"/>
  <c r="V32" i="2"/>
  <c r="S32" i="2"/>
  <c r="P32" i="2"/>
  <c r="M32" i="2"/>
  <c r="J32" i="2"/>
  <c r="G32" i="2"/>
  <c r="CV31" i="2"/>
  <c r="CT31" i="2"/>
  <c r="CR31" i="2"/>
  <c r="CO31" i="2"/>
  <c r="CL31" i="2"/>
  <c r="CI31" i="2"/>
  <c r="CF31" i="2"/>
  <c r="CC31" i="2"/>
  <c r="BZ31" i="2"/>
  <c r="BW31" i="2"/>
  <c r="BT31" i="2"/>
  <c r="BQ31" i="2"/>
  <c r="BN31" i="2"/>
  <c r="BK31" i="2"/>
  <c r="BH31" i="2"/>
  <c r="CU31" i="2" s="1"/>
  <c r="CX31" i="2" s="1"/>
  <c r="H79" i="1" s="1"/>
  <c r="BD31" i="2"/>
  <c r="BB31" i="2"/>
  <c r="CY31" i="2" s="1"/>
  <c r="AZ31" i="2"/>
  <c r="AW31" i="2"/>
  <c r="AT31" i="2"/>
  <c r="AQ31" i="2"/>
  <c r="AN31" i="2"/>
  <c r="AK31" i="2"/>
  <c r="AH31" i="2"/>
  <c r="AE31" i="2"/>
  <c r="AB31" i="2"/>
  <c r="Y31" i="2"/>
  <c r="V31" i="2"/>
  <c r="S31" i="2"/>
  <c r="P31" i="2"/>
  <c r="M31" i="2"/>
  <c r="J31" i="2"/>
  <c r="G31" i="2"/>
  <c r="CV30" i="2"/>
  <c r="CT30" i="2"/>
  <c r="CF30" i="2"/>
  <c r="BQ30" i="2"/>
  <c r="BN30" i="2"/>
  <c r="BK30" i="2"/>
  <c r="BH30" i="2"/>
  <c r="BB30" i="2"/>
  <c r="AT30" i="2"/>
  <c r="AQ30" i="2"/>
  <c r="AN30" i="2"/>
  <c r="AK30" i="2"/>
  <c r="AL30" i="2" s="1"/>
  <c r="BD30" i="2" s="1"/>
  <c r="DA30" i="2" s="1"/>
  <c r="AE30" i="2"/>
  <c r="Y30" i="2"/>
  <c r="M30" i="2"/>
  <c r="J30" i="2"/>
  <c r="G30" i="2"/>
  <c r="CV29" i="2"/>
  <c r="CT29" i="2"/>
  <c r="CR29" i="2"/>
  <c r="CO29" i="2"/>
  <c r="CL29" i="2"/>
  <c r="CI29" i="2"/>
  <c r="CF29" i="2"/>
  <c r="CC29" i="2"/>
  <c r="BZ29" i="2"/>
  <c r="BW29" i="2"/>
  <c r="BT29" i="2"/>
  <c r="BQ29" i="2"/>
  <c r="BN29" i="2"/>
  <c r="BK29" i="2"/>
  <c r="BH29" i="2"/>
  <c r="BD29" i="2"/>
  <c r="BB29" i="2"/>
  <c r="CY29" i="2" s="1"/>
  <c r="AZ29" i="2"/>
  <c r="AW29" i="2"/>
  <c r="AT29" i="2"/>
  <c r="AQ29" i="2"/>
  <c r="AN29" i="2"/>
  <c r="AK29" i="2"/>
  <c r="AH29" i="2"/>
  <c r="AE29" i="2"/>
  <c r="AB29" i="2"/>
  <c r="Y29" i="2"/>
  <c r="V29" i="2"/>
  <c r="S29" i="2"/>
  <c r="P29" i="2"/>
  <c r="M29" i="2"/>
  <c r="J29" i="2"/>
  <c r="G29" i="2"/>
  <c r="BC29" i="2" s="1"/>
  <c r="CV28" i="2"/>
  <c r="CR28" i="2"/>
  <c r="CO28" i="2"/>
  <c r="CL28" i="2"/>
  <c r="CI28" i="2"/>
  <c r="CF28" i="2"/>
  <c r="CC28" i="2"/>
  <c r="BZ28" i="2"/>
  <c r="BV28" i="2"/>
  <c r="CT28" i="2" s="1"/>
  <c r="BT28" i="2"/>
  <c r="BQ28" i="2"/>
  <c r="BN28" i="2"/>
  <c r="BK28" i="2"/>
  <c r="BH28" i="2"/>
  <c r="BD28" i="2"/>
  <c r="DA28" i="2" s="1"/>
  <c r="BB28" i="2"/>
  <c r="AZ28" i="2"/>
  <c r="AW28" i="2"/>
  <c r="AT28" i="2"/>
  <c r="AQ28" i="2"/>
  <c r="AN28" i="2"/>
  <c r="AK28" i="2"/>
  <c r="AH28" i="2"/>
  <c r="AE28" i="2"/>
  <c r="AB28" i="2"/>
  <c r="Y28" i="2"/>
  <c r="V28" i="2"/>
  <c r="S28" i="2"/>
  <c r="P28" i="2"/>
  <c r="M28" i="2"/>
  <c r="J28" i="2"/>
  <c r="G28" i="2"/>
  <c r="CV27" i="2"/>
  <c r="CR27" i="2"/>
  <c r="CO27" i="2"/>
  <c r="CL27" i="2"/>
  <c r="CI27" i="2"/>
  <c r="CF27" i="2"/>
  <c r="CC27" i="2"/>
  <c r="BZ27" i="2"/>
  <c r="BV27" i="2"/>
  <c r="CT27" i="2" s="1"/>
  <c r="CY27" i="2" s="1"/>
  <c r="BT27" i="2"/>
  <c r="BQ27" i="2"/>
  <c r="BN27" i="2"/>
  <c r="BK27" i="2"/>
  <c r="BH27" i="2"/>
  <c r="BD27" i="2"/>
  <c r="DA27" i="2" s="1"/>
  <c r="BB27" i="2"/>
  <c r="AZ27" i="2"/>
  <c r="AW27" i="2"/>
  <c r="AT27" i="2"/>
  <c r="AQ27" i="2"/>
  <c r="AN27" i="2"/>
  <c r="AK27" i="2"/>
  <c r="AH27" i="2"/>
  <c r="AE27" i="2"/>
  <c r="AB27" i="2"/>
  <c r="Y27" i="2"/>
  <c r="V27" i="2"/>
  <c r="S27" i="2"/>
  <c r="P27" i="2"/>
  <c r="M27" i="2"/>
  <c r="J27" i="2"/>
  <c r="BC27" i="2" s="1"/>
  <c r="G27" i="2"/>
  <c r="CV26" i="2"/>
  <c r="CR26" i="2"/>
  <c r="CO26" i="2"/>
  <c r="CL26" i="2"/>
  <c r="CI26" i="2"/>
  <c r="CF26" i="2"/>
  <c r="CC26" i="2"/>
  <c r="BZ26" i="2"/>
  <c r="BV26" i="2"/>
  <c r="CT26" i="2" s="1"/>
  <c r="BT26" i="2"/>
  <c r="BQ26" i="2"/>
  <c r="BN26" i="2"/>
  <c r="BK26" i="2"/>
  <c r="BH26" i="2"/>
  <c r="BD26" i="2"/>
  <c r="BB26" i="2"/>
  <c r="AZ26" i="2"/>
  <c r="AW26" i="2"/>
  <c r="AT26" i="2"/>
  <c r="AQ26" i="2"/>
  <c r="AN26" i="2"/>
  <c r="AK26" i="2"/>
  <c r="AH26" i="2"/>
  <c r="AE26" i="2"/>
  <c r="AB26" i="2"/>
  <c r="Y26" i="2"/>
  <c r="V26" i="2"/>
  <c r="S26" i="2"/>
  <c r="P26" i="2"/>
  <c r="M26" i="2"/>
  <c r="J26" i="2"/>
  <c r="G26" i="2"/>
  <c r="CV25" i="2"/>
  <c r="CR25" i="2"/>
  <c r="CO25" i="2"/>
  <c r="CL25" i="2"/>
  <c r="CI25" i="2"/>
  <c r="CF25" i="2"/>
  <c r="CC25" i="2"/>
  <c r="BZ25" i="2"/>
  <c r="BV25" i="2"/>
  <c r="CT25" i="2" s="1"/>
  <c r="CY25" i="2" s="1"/>
  <c r="BT25" i="2"/>
  <c r="BQ25" i="2"/>
  <c r="BN25" i="2"/>
  <c r="BK25" i="2"/>
  <c r="BH25" i="2"/>
  <c r="BD25" i="2"/>
  <c r="DA25" i="2" s="1"/>
  <c r="BB25" i="2"/>
  <c r="AZ25" i="2"/>
  <c r="AW25" i="2"/>
  <c r="AT25" i="2"/>
  <c r="AQ25" i="2"/>
  <c r="AN25" i="2"/>
  <c r="AK25" i="2"/>
  <c r="AH25" i="2"/>
  <c r="AE25" i="2"/>
  <c r="AB25" i="2"/>
  <c r="Y25" i="2"/>
  <c r="V25" i="2"/>
  <c r="S25" i="2"/>
  <c r="P25" i="2"/>
  <c r="M25" i="2"/>
  <c r="J25" i="2"/>
  <c r="BC25" i="2" s="1"/>
  <c r="G25" i="2"/>
  <c r="CT24" i="2"/>
  <c r="CR24" i="2"/>
  <c r="CO24" i="2"/>
  <c r="CL24" i="2"/>
  <c r="CI24" i="2"/>
  <c r="CF24" i="2"/>
  <c r="CC24" i="2"/>
  <c r="BZ24" i="2"/>
  <c r="CA24" i="2" s="1"/>
  <c r="BW24" i="2"/>
  <c r="BT24" i="2"/>
  <c r="BU24" i="2" s="1"/>
  <c r="CV24" i="2" s="1"/>
  <c r="DA24" i="2" s="1"/>
  <c r="BQ24" i="2"/>
  <c r="BN24" i="2"/>
  <c r="BK24" i="2"/>
  <c r="BH24" i="2"/>
  <c r="CU24" i="2" s="1"/>
  <c r="BD24" i="2"/>
  <c r="BB24" i="2"/>
  <c r="CY24" i="2" s="1"/>
  <c r="AZ24" i="2"/>
  <c r="AW24" i="2"/>
  <c r="AT24" i="2"/>
  <c r="AQ24" i="2"/>
  <c r="AN24" i="2"/>
  <c r="AK24" i="2"/>
  <c r="AH24" i="2"/>
  <c r="AE24" i="2"/>
  <c r="AB24" i="2"/>
  <c r="Y24" i="2"/>
  <c r="V24" i="2"/>
  <c r="S24" i="2"/>
  <c r="P24" i="2"/>
  <c r="M24" i="2"/>
  <c r="J24" i="2"/>
  <c r="G24" i="2"/>
  <c r="CT23" i="2"/>
  <c r="CR23" i="2"/>
  <c r="CO23" i="2"/>
  <c r="CL23" i="2"/>
  <c r="CI23" i="2"/>
  <c r="CF23" i="2"/>
  <c r="CC23" i="2"/>
  <c r="BZ23" i="2"/>
  <c r="CA23" i="2" s="1"/>
  <c r="BW23" i="2"/>
  <c r="BU23" i="2"/>
  <c r="CV23" i="2" s="1"/>
  <c r="DA23" i="2" s="1"/>
  <c r="BT23" i="2"/>
  <c r="BQ23" i="2"/>
  <c r="BN23" i="2"/>
  <c r="BK23" i="2"/>
  <c r="BH23" i="2"/>
  <c r="BD23" i="2"/>
  <c r="BB23" i="2"/>
  <c r="AZ23" i="2"/>
  <c r="AW23" i="2"/>
  <c r="AT23" i="2"/>
  <c r="AQ23" i="2"/>
  <c r="AN23" i="2"/>
  <c r="AK23" i="2"/>
  <c r="AH23" i="2"/>
  <c r="AE23" i="2"/>
  <c r="AB23" i="2"/>
  <c r="Y23" i="2"/>
  <c r="V23" i="2"/>
  <c r="S23" i="2"/>
  <c r="P23" i="2"/>
  <c r="M23" i="2"/>
  <c r="J23" i="2"/>
  <c r="BC23" i="2" s="1"/>
  <c r="G23" i="2"/>
  <c r="CT22" i="2"/>
  <c r="CR22" i="2"/>
  <c r="CO22" i="2"/>
  <c r="CL22" i="2"/>
  <c r="CI22" i="2"/>
  <c r="CF22" i="2"/>
  <c r="CC22" i="2"/>
  <c r="BZ22" i="2"/>
  <c r="CA22" i="2" s="1"/>
  <c r="BW22" i="2"/>
  <c r="BU22" i="2"/>
  <c r="BT22" i="2"/>
  <c r="BQ22" i="2"/>
  <c r="BN22" i="2"/>
  <c r="BK22" i="2"/>
  <c r="BH22" i="2"/>
  <c r="BD22" i="2"/>
  <c r="BB22" i="2"/>
  <c r="AZ22" i="2"/>
  <c r="AW22" i="2"/>
  <c r="AT22" i="2"/>
  <c r="AQ22" i="2"/>
  <c r="AN22" i="2"/>
  <c r="AK22" i="2"/>
  <c r="AH22" i="2"/>
  <c r="AE22" i="2"/>
  <c r="AB22" i="2"/>
  <c r="Y22" i="2"/>
  <c r="V22" i="2"/>
  <c r="S22" i="2"/>
  <c r="P22" i="2"/>
  <c r="M22" i="2"/>
  <c r="J22" i="2"/>
  <c r="G22" i="2"/>
  <c r="CT21" i="2"/>
  <c r="CR21" i="2"/>
  <c r="CO21" i="2"/>
  <c r="CL21" i="2"/>
  <c r="CI21" i="2"/>
  <c r="CF21" i="2"/>
  <c r="CC21" i="2"/>
  <c r="CA21" i="2"/>
  <c r="BZ21" i="2"/>
  <c r="BW21" i="2"/>
  <c r="BT21" i="2"/>
  <c r="BU21" i="2" s="1"/>
  <c r="CV21" i="2" s="1"/>
  <c r="DA21" i="2" s="1"/>
  <c r="BQ21" i="2"/>
  <c r="BN21" i="2"/>
  <c r="BK21" i="2"/>
  <c r="BH21" i="2"/>
  <c r="CU21" i="2" s="1"/>
  <c r="BD21" i="2"/>
  <c r="BB21" i="2"/>
  <c r="CY21" i="2" s="1"/>
  <c r="AZ21" i="2"/>
  <c r="AW21" i="2"/>
  <c r="AT21" i="2"/>
  <c r="AQ21" i="2"/>
  <c r="AN21" i="2"/>
  <c r="AK21" i="2"/>
  <c r="AH21" i="2"/>
  <c r="AE21" i="2"/>
  <c r="AB21" i="2"/>
  <c r="Y21" i="2"/>
  <c r="V21" i="2"/>
  <c r="S21" i="2"/>
  <c r="P21" i="2"/>
  <c r="M21" i="2"/>
  <c r="J21" i="2"/>
  <c r="G21" i="2"/>
  <c r="CT20" i="2"/>
  <c r="CR20" i="2"/>
  <c r="CO20" i="2"/>
  <c r="CL20" i="2"/>
  <c r="CI20" i="2"/>
  <c r="CF20" i="2"/>
  <c r="CC20" i="2"/>
  <c r="CA20" i="2"/>
  <c r="BZ20" i="2"/>
  <c r="BW20" i="2"/>
  <c r="BT20" i="2"/>
  <c r="BU20" i="2" s="1"/>
  <c r="CV20" i="2" s="1"/>
  <c r="DA20" i="2" s="1"/>
  <c r="BQ20" i="2"/>
  <c r="BN20" i="2"/>
  <c r="BK20" i="2"/>
  <c r="BH20" i="2"/>
  <c r="BD20" i="2"/>
  <c r="BB20" i="2"/>
  <c r="CY20" i="2" s="1"/>
  <c r="AZ20" i="2"/>
  <c r="AW20" i="2"/>
  <c r="AT20" i="2"/>
  <c r="AQ20" i="2"/>
  <c r="AN20" i="2"/>
  <c r="AK20" i="2"/>
  <c r="AH20" i="2"/>
  <c r="AE20" i="2"/>
  <c r="AB20" i="2"/>
  <c r="Y20" i="2"/>
  <c r="V20" i="2"/>
  <c r="S20" i="2"/>
  <c r="P20" i="2"/>
  <c r="M20" i="2"/>
  <c r="J20" i="2"/>
  <c r="G20" i="2"/>
  <c r="CT19" i="2"/>
  <c r="CR19" i="2"/>
  <c r="CO19" i="2"/>
  <c r="CL19" i="2"/>
  <c r="CI19" i="2"/>
  <c r="CF19" i="2"/>
  <c r="CC19" i="2"/>
  <c r="BZ19" i="2"/>
  <c r="CA19" i="2" s="1"/>
  <c r="BW19" i="2"/>
  <c r="BU19" i="2"/>
  <c r="CV19" i="2" s="1"/>
  <c r="DA19" i="2" s="1"/>
  <c r="BT19" i="2"/>
  <c r="BQ19" i="2"/>
  <c r="BN19" i="2"/>
  <c r="BK19" i="2"/>
  <c r="BH19" i="2"/>
  <c r="BD19" i="2"/>
  <c r="BB19" i="2"/>
  <c r="AZ19" i="2"/>
  <c r="AW19" i="2"/>
  <c r="AT19" i="2"/>
  <c r="AQ19" i="2"/>
  <c r="AN19" i="2"/>
  <c r="AK19" i="2"/>
  <c r="AH19" i="2"/>
  <c r="AE19" i="2"/>
  <c r="AB19" i="2"/>
  <c r="Y19" i="2"/>
  <c r="V19" i="2"/>
  <c r="S19" i="2"/>
  <c r="P19" i="2"/>
  <c r="M19" i="2"/>
  <c r="J19" i="2"/>
  <c r="G19" i="2"/>
  <c r="CT18" i="2"/>
  <c r="CR18" i="2"/>
  <c r="CO18" i="2"/>
  <c r="CL18" i="2"/>
  <c r="CI18" i="2"/>
  <c r="CF18" i="2"/>
  <c r="CC18" i="2"/>
  <c r="BZ18" i="2"/>
  <c r="CA18" i="2" s="1"/>
  <c r="BW18" i="2"/>
  <c r="BU18" i="2"/>
  <c r="BT18" i="2"/>
  <c r="BQ18" i="2"/>
  <c r="BN18" i="2"/>
  <c r="BK18" i="2"/>
  <c r="BH18" i="2"/>
  <c r="BD18" i="2"/>
  <c r="BB18" i="2"/>
  <c r="AZ18" i="2"/>
  <c r="AW18" i="2"/>
  <c r="AT18" i="2"/>
  <c r="AQ18" i="2"/>
  <c r="AN18" i="2"/>
  <c r="AK18" i="2"/>
  <c r="AH18" i="2"/>
  <c r="AE18" i="2"/>
  <c r="AB18" i="2"/>
  <c r="Y18" i="2"/>
  <c r="V18" i="2"/>
  <c r="S18" i="2"/>
  <c r="P18" i="2"/>
  <c r="M18" i="2"/>
  <c r="J18" i="2"/>
  <c r="BC18" i="2" s="1"/>
  <c r="G18" i="2"/>
  <c r="CT17" i="2"/>
  <c r="CR17" i="2"/>
  <c r="CO17" i="2"/>
  <c r="CL17" i="2"/>
  <c r="CI17" i="2"/>
  <c r="CF17" i="2"/>
  <c r="CC17" i="2"/>
  <c r="CA17" i="2"/>
  <c r="BZ17" i="2"/>
  <c r="BW17" i="2"/>
  <c r="BT17" i="2"/>
  <c r="BU17" i="2" s="1"/>
  <c r="CV17" i="2" s="1"/>
  <c r="DA17" i="2" s="1"/>
  <c r="BQ17" i="2"/>
  <c r="BN17" i="2"/>
  <c r="BK17" i="2"/>
  <c r="BH17" i="2"/>
  <c r="BD17" i="2"/>
  <c r="BB17" i="2"/>
  <c r="CY17" i="2" s="1"/>
  <c r="AZ17" i="2"/>
  <c r="AW17" i="2"/>
  <c r="AT17" i="2"/>
  <c r="AQ17" i="2"/>
  <c r="AN17" i="2"/>
  <c r="AK17" i="2"/>
  <c r="AH17" i="2"/>
  <c r="AE17" i="2"/>
  <c r="AB17" i="2"/>
  <c r="Y17" i="2"/>
  <c r="V17" i="2"/>
  <c r="S17" i="2"/>
  <c r="P17" i="2"/>
  <c r="M17" i="2"/>
  <c r="J17" i="2"/>
  <c r="G17" i="2"/>
  <c r="CT16" i="2"/>
  <c r="CR16" i="2"/>
  <c r="CO16" i="2"/>
  <c r="CL16" i="2"/>
  <c r="CI16" i="2"/>
  <c r="CF16" i="2"/>
  <c r="CC16" i="2"/>
  <c r="CA16" i="2"/>
  <c r="BZ16" i="2"/>
  <c r="BW16" i="2"/>
  <c r="BT16" i="2"/>
  <c r="BU16" i="2" s="1"/>
  <c r="BQ16" i="2"/>
  <c r="BN16" i="2"/>
  <c r="BK16" i="2"/>
  <c r="BH16" i="2"/>
  <c r="BB16" i="2"/>
  <c r="CY16" i="2" s="1"/>
  <c r="AZ16" i="2"/>
  <c r="AW16" i="2"/>
  <c r="AT16" i="2"/>
  <c r="AQ16" i="2"/>
  <c r="AN16" i="2"/>
  <c r="AK16" i="2"/>
  <c r="AH16" i="2"/>
  <c r="AE16" i="2"/>
  <c r="AB16" i="2"/>
  <c r="Y16" i="2"/>
  <c r="V16" i="2"/>
  <c r="S16" i="2"/>
  <c r="P16" i="2"/>
  <c r="M16" i="2"/>
  <c r="N16" i="2" s="1"/>
  <c r="BD16" i="2" s="1"/>
  <c r="J16" i="2"/>
  <c r="G16" i="2"/>
  <c r="CT15" i="2"/>
  <c r="CR15" i="2"/>
  <c r="CO15" i="2"/>
  <c r="CL15" i="2"/>
  <c r="CI15" i="2"/>
  <c r="CF15" i="2"/>
  <c r="CC15" i="2"/>
  <c r="BZ15" i="2"/>
  <c r="CA15" i="2" s="1"/>
  <c r="BW15" i="2"/>
  <c r="BT15" i="2"/>
  <c r="BU15" i="2" s="1"/>
  <c r="BQ15" i="2"/>
  <c r="BN15" i="2"/>
  <c r="BK15" i="2"/>
  <c r="BH15" i="2"/>
  <c r="CU15" i="2" s="1"/>
  <c r="BD15" i="2"/>
  <c r="BB15" i="2"/>
  <c r="AZ15" i="2"/>
  <c r="AW15" i="2"/>
  <c r="AT15" i="2"/>
  <c r="AQ15" i="2"/>
  <c r="AN15" i="2"/>
  <c r="AK15" i="2"/>
  <c r="AH15" i="2"/>
  <c r="AE15" i="2"/>
  <c r="AB15" i="2"/>
  <c r="Y15" i="2"/>
  <c r="V15" i="2"/>
  <c r="S15" i="2"/>
  <c r="P15" i="2"/>
  <c r="M15" i="2"/>
  <c r="J15" i="2"/>
  <c r="G15" i="2"/>
  <c r="CT14" i="2"/>
  <c r="CR14" i="2"/>
  <c r="CO14" i="2"/>
  <c r="CL14" i="2"/>
  <c r="CI14" i="2"/>
  <c r="CF14" i="2"/>
  <c r="CC14" i="2"/>
  <c r="BZ14" i="2"/>
  <c r="CA14" i="2" s="1"/>
  <c r="BW14" i="2"/>
  <c r="BT14" i="2"/>
  <c r="BU14" i="2" s="1"/>
  <c r="CV14" i="2" s="1"/>
  <c r="BQ14" i="2"/>
  <c r="BN14" i="2"/>
  <c r="BK14" i="2"/>
  <c r="BH14" i="2"/>
  <c r="BD14" i="2"/>
  <c r="BB14" i="2"/>
  <c r="CY14" i="2" s="1"/>
  <c r="AZ14" i="2"/>
  <c r="AW14" i="2"/>
  <c r="AT14" i="2"/>
  <c r="AQ14" i="2"/>
  <c r="AN14" i="2"/>
  <c r="AK14" i="2"/>
  <c r="AH14" i="2"/>
  <c r="AE14" i="2"/>
  <c r="AB14" i="2"/>
  <c r="Y14" i="2"/>
  <c r="V14" i="2"/>
  <c r="S14" i="2"/>
  <c r="P14" i="2"/>
  <c r="M14" i="2"/>
  <c r="J14" i="2"/>
  <c r="G14" i="2"/>
  <c r="BC14" i="2" s="1"/>
  <c r="CT13" i="2"/>
  <c r="CR13" i="2"/>
  <c r="CO13" i="2"/>
  <c r="CL13" i="2"/>
  <c r="CI13" i="2"/>
  <c r="CF13" i="2"/>
  <c r="CC13" i="2"/>
  <c r="BZ13" i="2"/>
  <c r="BW13" i="2"/>
  <c r="BU13" i="2"/>
  <c r="CV13" i="2" s="1"/>
  <c r="BT13" i="2"/>
  <c r="BQ13" i="2"/>
  <c r="BN13" i="2"/>
  <c r="BK13" i="2"/>
  <c r="BH13" i="2"/>
  <c r="BD13" i="2"/>
  <c r="BB13" i="2"/>
  <c r="AZ13" i="2"/>
  <c r="AW13" i="2"/>
  <c r="AT13" i="2"/>
  <c r="AQ13" i="2"/>
  <c r="AN13" i="2"/>
  <c r="AK13" i="2"/>
  <c r="AH13" i="2"/>
  <c r="AE13" i="2"/>
  <c r="AB13" i="2"/>
  <c r="Y13" i="2"/>
  <c r="V13" i="2"/>
  <c r="S13" i="2"/>
  <c r="P13" i="2"/>
  <c r="M13" i="2"/>
  <c r="J13" i="2"/>
  <c r="BC13" i="2" s="1"/>
  <c r="G13" i="2"/>
  <c r="CT12" i="2"/>
  <c r="CR12" i="2"/>
  <c r="CO12" i="2"/>
  <c r="CL12" i="2"/>
  <c r="CI12" i="2"/>
  <c r="CF12" i="2"/>
  <c r="CC12" i="2"/>
  <c r="BZ12" i="2"/>
  <c r="CA12" i="2" s="1"/>
  <c r="BW12" i="2"/>
  <c r="BT12" i="2"/>
  <c r="BU12" i="2" s="1"/>
  <c r="CV12" i="2" s="1"/>
  <c r="DA12" i="2" s="1"/>
  <c r="BQ12" i="2"/>
  <c r="BN12" i="2"/>
  <c r="BK12" i="2"/>
  <c r="BH12" i="2"/>
  <c r="BD12" i="2"/>
  <c r="BB12" i="2"/>
  <c r="AZ12" i="2"/>
  <c r="AW12" i="2"/>
  <c r="AT12" i="2"/>
  <c r="AQ12" i="2"/>
  <c r="AN12" i="2"/>
  <c r="AK12" i="2"/>
  <c r="AH12" i="2"/>
  <c r="AE12" i="2"/>
  <c r="AB12" i="2"/>
  <c r="Y12" i="2"/>
  <c r="V12" i="2"/>
  <c r="S12" i="2"/>
  <c r="P12" i="2"/>
  <c r="M12" i="2"/>
  <c r="J12" i="2"/>
  <c r="G12" i="2"/>
  <c r="CT11" i="2"/>
  <c r="CR11" i="2"/>
  <c r="CO11" i="2"/>
  <c r="CL11" i="2"/>
  <c r="CI11" i="2"/>
  <c r="CF11" i="2"/>
  <c r="CC11" i="2"/>
  <c r="BZ11" i="2"/>
  <c r="CA11" i="2" s="1"/>
  <c r="BW11" i="2"/>
  <c r="BU11" i="2"/>
  <c r="CV11" i="2" s="1"/>
  <c r="DA11" i="2" s="1"/>
  <c r="BT11" i="2"/>
  <c r="BQ11" i="2"/>
  <c r="BN11" i="2"/>
  <c r="BK11" i="2"/>
  <c r="BH11" i="2"/>
  <c r="BD11" i="2"/>
  <c r="BB11" i="2"/>
  <c r="AZ11" i="2"/>
  <c r="AW11" i="2"/>
  <c r="AT11" i="2"/>
  <c r="AQ11" i="2"/>
  <c r="AN11" i="2"/>
  <c r="AK11" i="2"/>
  <c r="AH11" i="2"/>
  <c r="AE11" i="2"/>
  <c r="AB11" i="2"/>
  <c r="Y11" i="2"/>
  <c r="V11" i="2"/>
  <c r="S11" i="2"/>
  <c r="P11" i="2"/>
  <c r="M11" i="2"/>
  <c r="J11" i="2"/>
  <c r="G11" i="2"/>
  <c r="CV10" i="2"/>
  <c r="CT10" i="2"/>
  <c r="CR10" i="2"/>
  <c r="CO10" i="2"/>
  <c r="CL10" i="2"/>
  <c r="CI10" i="2"/>
  <c r="CF10" i="2"/>
  <c r="CC10" i="2"/>
  <c r="BZ10" i="2"/>
  <c r="BW10" i="2"/>
  <c r="BT10" i="2"/>
  <c r="BQ10" i="2"/>
  <c r="BN10" i="2"/>
  <c r="BK10" i="2"/>
  <c r="BH10" i="2"/>
  <c r="BD10" i="2"/>
  <c r="BB10" i="2"/>
  <c r="CY10" i="2" s="1"/>
  <c r="AZ10" i="2"/>
  <c r="AW10" i="2"/>
  <c r="AT10" i="2"/>
  <c r="AQ10" i="2"/>
  <c r="AN10" i="2"/>
  <c r="AK10" i="2"/>
  <c r="AH10" i="2"/>
  <c r="AE10" i="2"/>
  <c r="AB10" i="2"/>
  <c r="Y10" i="2"/>
  <c r="V10" i="2"/>
  <c r="S10" i="2"/>
  <c r="P10" i="2"/>
  <c r="M10" i="2"/>
  <c r="J10" i="2"/>
  <c r="G10" i="2"/>
  <c r="BC10" i="2" s="1"/>
  <c r="CV9" i="2"/>
  <c r="CT9" i="2"/>
  <c r="CR9" i="2"/>
  <c r="CO9" i="2"/>
  <c r="CL9" i="2"/>
  <c r="CI9" i="2"/>
  <c r="CF9" i="2"/>
  <c r="CC9" i="2"/>
  <c r="BZ9" i="2"/>
  <c r="BW9" i="2"/>
  <c r="BT9" i="2"/>
  <c r="BQ9" i="2"/>
  <c r="BN9" i="2"/>
  <c r="BK9" i="2"/>
  <c r="BH9" i="2"/>
  <c r="BB9" i="2"/>
  <c r="CY9" i="2" s="1"/>
  <c r="AZ9" i="2"/>
  <c r="AW9" i="2"/>
  <c r="AT9" i="2"/>
  <c r="AU9" i="2" s="1"/>
  <c r="BD9" i="2" s="1"/>
  <c r="DA9" i="2" s="1"/>
  <c r="AQ9" i="2"/>
  <c r="AN9" i="2"/>
  <c r="AK9" i="2"/>
  <c r="AH9" i="2"/>
  <c r="AE9" i="2"/>
  <c r="AB9" i="2"/>
  <c r="Y9" i="2"/>
  <c r="V9" i="2"/>
  <c r="S9" i="2"/>
  <c r="P9" i="2"/>
  <c r="M9" i="2"/>
  <c r="J9" i="2"/>
  <c r="G9" i="2"/>
  <c r="CV8" i="2"/>
  <c r="CT8" i="2"/>
  <c r="CR8" i="2"/>
  <c r="CO8" i="2"/>
  <c r="CL8" i="2"/>
  <c r="CI8" i="2"/>
  <c r="CF8" i="2"/>
  <c r="CC8" i="2"/>
  <c r="BZ8" i="2"/>
  <c r="BW8" i="2"/>
  <c r="BT8" i="2"/>
  <c r="BQ8" i="2"/>
  <c r="BN8" i="2"/>
  <c r="BK8" i="2"/>
  <c r="BH8" i="2"/>
  <c r="BD8" i="2"/>
  <c r="BB8" i="2"/>
  <c r="CY8" i="2" s="1"/>
  <c r="AZ8" i="2"/>
  <c r="AW8" i="2"/>
  <c r="AT8" i="2"/>
  <c r="AQ8" i="2"/>
  <c r="AN8" i="2"/>
  <c r="AK8" i="2"/>
  <c r="AH8" i="2"/>
  <c r="AE8" i="2"/>
  <c r="AB8" i="2"/>
  <c r="Y8" i="2"/>
  <c r="V8" i="2"/>
  <c r="S8" i="2"/>
  <c r="P8" i="2"/>
  <c r="M8" i="2"/>
  <c r="J8" i="2"/>
  <c r="G8" i="2"/>
  <c r="BC8" i="2" s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CV7" i="2"/>
  <c r="CT7" i="2"/>
  <c r="CR7" i="2"/>
  <c r="CO7" i="2"/>
  <c r="CL7" i="2"/>
  <c r="CI7" i="2"/>
  <c r="CF7" i="2"/>
  <c r="CC7" i="2"/>
  <c r="BZ7" i="2"/>
  <c r="BW7" i="2"/>
  <c r="BT7" i="2"/>
  <c r="BQ7" i="2"/>
  <c r="BN7" i="2"/>
  <c r="BK7" i="2"/>
  <c r="BH7" i="2"/>
  <c r="BB7" i="2"/>
  <c r="AZ7" i="2"/>
  <c r="AW7" i="2"/>
  <c r="AU7" i="2"/>
  <c r="BD7" i="2" s="1"/>
  <c r="AT7" i="2"/>
  <c r="AQ7" i="2"/>
  <c r="AN7" i="2"/>
  <c r="AK7" i="2"/>
  <c r="AH7" i="2"/>
  <c r="AE7" i="2"/>
  <c r="AB7" i="2"/>
  <c r="Y7" i="2"/>
  <c r="V7" i="2"/>
  <c r="S7" i="2"/>
  <c r="P7" i="2"/>
  <c r="M7" i="2"/>
  <c r="BC7" i="2" s="1"/>
  <c r="J7" i="2"/>
  <c r="G7" i="2"/>
  <c r="CW116" i="12"/>
  <c r="BE116" i="12"/>
  <c r="CV115" i="12"/>
  <c r="CU115" i="12"/>
  <c r="CX115" i="12" s="1"/>
  <c r="H191" i="1" s="1"/>
  <c r="CT115" i="12"/>
  <c r="BD115" i="12"/>
  <c r="DA115" i="12" s="1"/>
  <c r="BC115" i="12"/>
  <c r="BB115" i="12"/>
  <c r="CY115" i="12" s="1"/>
  <c r="CV114" i="12"/>
  <c r="CX114" i="12" s="1"/>
  <c r="H190" i="1" s="1"/>
  <c r="CU114" i="12"/>
  <c r="CT114" i="12"/>
  <c r="BD114" i="12"/>
  <c r="DA114" i="12" s="1"/>
  <c r="BC114" i="12"/>
  <c r="CZ114" i="12" s="1"/>
  <c r="BB114" i="12"/>
  <c r="CY114" i="12" s="1"/>
  <c r="CV113" i="12"/>
  <c r="CU113" i="12"/>
  <c r="CX113" i="12" s="1"/>
  <c r="H189" i="1" s="1"/>
  <c r="CT113" i="12"/>
  <c r="BD113" i="12"/>
  <c r="DA113" i="12" s="1"/>
  <c r="BC113" i="12"/>
  <c r="BB113" i="12"/>
  <c r="CY113" i="12" s="1"/>
  <c r="CV112" i="12"/>
  <c r="CU112" i="12"/>
  <c r="CX112" i="12" s="1"/>
  <c r="H188" i="1" s="1"/>
  <c r="CT112" i="12"/>
  <c r="BD112" i="12"/>
  <c r="DA112" i="12" s="1"/>
  <c r="BC112" i="12"/>
  <c r="BB112" i="12"/>
  <c r="CY112" i="12" s="1"/>
  <c r="CV111" i="12"/>
  <c r="CX111" i="12" s="1"/>
  <c r="H187" i="1" s="1"/>
  <c r="CU111" i="12"/>
  <c r="CT111" i="12"/>
  <c r="BD111" i="12"/>
  <c r="DA111" i="12" s="1"/>
  <c r="BC111" i="12"/>
  <c r="CZ111" i="12" s="1"/>
  <c r="BB111" i="12"/>
  <c r="CY111" i="12" s="1"/>
  <c r="CV110" i="12"/>
  <c r="CX110" i="12" s="1"/>
  <c r="H186" i="1" s="1"/>
  <c r="CU110" i="12"/>
  <c r="CT110" i="12"/>
  <c r="BD110" i="12"/>
  <c r="DA110" i="12" s="1"/>
  <c r="BC110" i="12"/>
  <c r="CZ110" i="12" s="1"/>
  <c r="BB110" i="12"/>
  <c r="CY110" i="12" s="1"/>
  <c r="CV109" i="12"/>
  <c r="CU109" i="12"/>
  <c r="CU116" i="12" s="1"/>
  <c r="CT109" i="12"/>
  <c r="BD109" i="12"/>
  <c r="DA109" i="12" s="1"/>
  <c r="DA116" i="12" s="1"/>
  <c r="DE115" i="12" s="1"/>
  <c r="BC109" i="12"/>
  <c r="BB109" i="12"/>
  <c r="BB116" i="12" s="1"/>
  <c r="CW106" i="12"/>
  <c r="BE106" i="12"/>
  <c r="CV105" i="12"/>
  <c r="CT105" i="12"/>
  <c r="CY105" i="12" s="1"/>
  <c r="CR105" i="12"/>
  <c r="CO105" i="12"/>
  <c r="CL105" i="12"/>
  <c r="CI105" i="12"/>
  <c r="CF105" i="12"/>
  <c r="CC105" i="12"/>
  <c r="BZ105" i="12"/>
  <c r="BW105" i="12"/>
  <c r="BT105" i="12"/>
  <c r="BQ105" i="12"/>
  <c r="BN105" i="12"/>
  <c r="BK105" i="12"/>
  <c r="BH105" i="12"/>
  <c r="BD105" i="12"/>
  <c r="DA105" i="12" s="1"/>
  <c r="BB105" i="12"/>
  <c r="AZ105" i="12"/>
  <c r="AW105" i="12"/>
  <c r="AT105" i="12"/>
  <c r="AQ105" i="12"/>
  <c r="AN105" i="12"/>
  <c r="AK105" i="12"/>
  <c r="AH105" i="12"/>
  <c r="AE105" i="12"/>
  <c r="AB105" i="12"/>
  <c r="Y105" i="12"/>
  <c r="V105" i="12"/>
  <c r="S105" i="12"/>
  <c r="P105" i="12"/>
  <c r="M105" i="12"/>
  <c r="J105" i="12"/>
  <c r="BC105" i="12" s="1"/>
  <c r="G105" i="12"/>
  <c r="CV104" i="12"/>
  <c r="CR104" i="12"/>
  <c r="CO104" i="12"/>
  <c r="CL104" i="12"/>
  <c r="CI104" i="12"/>
  <c r="CF104" i="12"/>
  <c r="CC104" i="12"/>
  <c r="BZ104" i="12"/>
  <c r="BV104" i="12"/>
  <c r="CT104" i="12" s="1"/>
  <c r="CY104" i="12" s="1"/>
  <c r="BT104" i="12"/>
  <c r="BQ104" i="12"/>
  <c r="BN104" i="12"/>
  <c r="BK104" i="12"/>
  <c r="BH104" i="12"/>
  <c r="BD104" i="12"/>
  <c r="BB104" i="12"/>
  <c r="AZ104" i="12"/>
  <c r="AW104" i="12"/>
  <c r="AT104" i="12"/>
  <c r="AQ104" i="12"/>
  <c r="AN104" i="12"/>
  <c r="AK104" i="12"/>
  <c r="AH104" i="12"/>
  <c r="AE104" i="12"/>
  <c r="AB104" i="12"/>
  <c r="Y104" i="12"/>
  <c r="V104" i="12"/>
  <c r="S104" i="12"/>
  <c r="P104" i="12"/>
  <c r="M104" i="12"/>
  <c r="J104" i="12"/>
  <c r="G104" i="12"/>
  <c r="CT103" i="12"/>
  <c r="CR103" i="12"/>
  <c r="CO103" i="12"/>
  <c r="CL103" i="12"/>
  <c r="CI103" i="12"/>
  <c r="CF103" i="12"/>
  <c r="CC103" i="12"/>
  <c r="BZ103" i="12"/>
  <c r="CA103" i="12" s="1"/>
  <c r="BW103" i="12"/>
  <c r="BT103" i="12"/>
  <c r="BU103" i="12" s="1"/>
  <c r="CV103" i="12" s="1"/>
  <c r="BQ103" i="12"/>
  <c r="BN103" i="12"/>
  <c r="BK103" i="12"/>
  <c r="BH103" i="12"/>
  <c r="BD103" i="12"/>
  <c r="BB103" i="12"/>
  <c r="AZ103" i="12"/>
  <c r="AW103" i="12"/>
  <c r="AT103" i="12"/>
  <c r="AQ103" i="12"/>
  <c r="AN103" i="12"/>
  <c r="AK103" i="12"/>
  <c r="AH103" i="12"/>
  <c r="AE103" i="12"/>
  <c r="AB103" i="12"/>
  <c r="Y103" i="12"/>
  <c r="V103" i="12"/>
  <c r="S103" i="12"/>
  <c r="P103" i="12"/>
  <c r="M103" i="12"/>
  <c r="J103" i="12"/>
  <c r="G103" i="12"/>
  <c r="CT102" i="12"/>
  <c r="CR102" i="12"/>
  <c r="CO102" i="12"/>
  <c r="CL102" i="12"/>
  <c r="CI102" i="12"/>
  <c r="CF102" i="12"/>
  <c r="CC102" i="12"/>
  <c r="BZ102" i="12"/>
  <c r="CA102" i="12" s="1"/>
  <c r="BW102" i="12"/>
  <c r="BT102" i="12"/>
  <c r="BU102" i="12" s="1"/>
  <c r="BQ102" i="12"/>
  <c r="BN102" i="12"/>
  <c r="BK102" i="12"/>
  <c r="BH102" i="12"/>
  <c r="BD102" i="12"/>
  <c r="BB102" i="12"/>
  <c r="AZ102" i="12"/>
  <c r="AW102" i="12"/>
  <c r="AT102" i="12"/>
  <c r="AQ102" i="12"/>
  <c r="AN102" i="12"/>
  <c r="AK102" i="12"/>
  <c r="AH102" i="12"/>
  <c r="AE102" i="12"/>
  <c r="AB102" i="12"/>
  <c r="Y102" i="12"/>
  <c r="V102" i="12"/>
  <c r="S102" i="12"/>
  <c r="P102" i="12"/>
  <c r="M102" i="12"/>
  <c r="J102" i="12"/>
  <c r="G102" i="12"/>
  <c r="BC102" i="12" s="1"/>
  <c r="CT101" i="12"/>
  <c r="CR101" i="12"/>
  <c r="CO101" i="12"/>
  <c r="CL101" i="12"/>
  <c r="CI101" i="12"/>
  <c r="CF101" i="12"/>
  <c r="CC101" i="12"/>
  <c r="BZ101" i="12"/>
  <c r="CA101" i="12" s="1"/>
  <c r="BW101" i="12"/>
  <c r="BU101" i="12"/>
  <c r="BT101" i="12"/>
  <c r="BQ101" i="12"/>
  <c r="BN101" i="12"/>
  <c r="BK101" i="12"/>
  <c r="BH101" i="12"/>
  <c r="BD101" i="12"/>
  <c r="BB101" i="12"/>
  <c r="AZ101" i="12"/>
  <c r="AW101" i="12"/>
  <c r="AT101" i="12"/>
  <c r="AQ101" i="12"/>
  <c r="AN101" i="12"/>
  <c r="AK101" i="12"/>
  <c r="AH101" i="12"/>
  <c r="AE101" i="12"/>
  <c r="AB101" i="12"/>
  <c r="Y101" i="12"/>
  <c r="V101" i="12"/>
  <c r="S101" i="12"/>
  <c r="P101" i="12"/>
  <c r="M101" i="12"/>
  <c r="J101" i="12"/>
  <c r="G101" i="12"/>
  <c r="CT100" i="12"/>
  <c r="CY100" i="12" s="1"/>
  <c r="CR100" i="12"/>
  <c r="CO100" i="12"/>
  <c r="CL100" i="12"/>
  <c r="CI100" i="12"/>
  <c r="CF100" i="12"/>
  <c r="CC100" i="12"/>
  <c r="BZ100" i="12"/>
  <c r="CA100" i="12" s="1"/>
  <c r="CV100" i="12" s="1"/>
  <c r="BW100" i="12"/>
  <c r="BT100" i="12"/>
  <c r="BQ100" i="12"/>
  <c r="BN100" i="12"/>
  <c r="BK100" i="12"/>
  <c r="BH100" i="12"/>
  <c r="BD100" i="12"/>
  <c r="BB100" i="12"/>
  <c r="AZ100" i="12"/>
  <c r="AW100" i="12"/>
  <c r="AT100" i="12"/>
  <c r="AQ100" i="12"/>
  <c r="AN100" i="12"/>
  <c r="AK100" i="12"/>
  <c r="AH100" i="12"/>
  <c r="AE100" i="12"/>
  <c r="AB100" i="12"/>
  <c r="Y100" i="12"/>
  <c r="V100" i="12"/>
  <c r="S100" i="12"/>
  <c r="P100" i="12"/>
  <c r="M100" i="12"/>
  <c r="J100" i="12"/>
  <c r="BC100" i="12" s="1"/>
  <c r="G100" i="12"/>
  <c r="CT99" i="12"/>
  <c r="CR99" i="12"/>
  <c r="CO99" i="12"/>
  <c r="CL99" i="12"/>
  <c r="CI99" i="12"/>
  <c r="CF99" i="12"/>
  <c r="CC99" i="12"/>
  <c r="BZ99" i="12"/>
  <c r="CA99" i="12" s="1"/>
  <c r="BW99" i="12"/>
  <c r="BT99" i="12"/>
  <c r="BU99" i="12" s="1"/>
  <c r="BQ99" i="12"/>
  <c r="BN99" i="12"/>
  <c r="BK99" i="12"/>
  <c r="BH99" i="12"/>
  <c r="CU99" i="12" s="1"/>
  <c r="BD99" i="12"/>
  <c r="BB99" i="12"/>
  <c r="CY99" i="12" s="1"/>
  <c r="AZ99" i="12"/>
  <c r="AW99" i="12"/>
  <c r="AT99" i="12"/>
  <c r="AQ99" i="12"/>
  <c r="AN99" i="12"/>
  <c r="AK99" i="12"/>
  <c r="AH99" i="12"/>
  <c r="AE99" i="12"/>
  <c r="AB99" i="12"/>
  <c r="Y99" i="12"/>
  <c r="V99" i="12"/>
  <c r="S99" i="12"/>
  <c r="P99" i="12"/>
  <c r="M99" i="12"/>
  <c r="J99" i="12"/>
  <c r="G99" i="12"/>
  <c r="CT98" i="12"/>
  <c r="CR98" i="12"/>
  <c r="CO98" i="12"/>
  <c r="CL98" i="12"/>
  <c r="CI98" i="12"/>
  <c r="CF98" i="12"/>
  <c r="CC98" i="12"/>
  <c r="CA98" i="12"/>
  <c r="BZ98" i="12"/>
  <c r="BW98" i="12"/>
  <c r="BT98" i="12"/>
  <c r="BU98" i="12" s="1"/>
  <c r="CV98" i="12" s="1"/>
  <c r="BQ98" i="12"/>
  <c r="BN98" i="12"/>
  <c r="BK98" i="12"/>
  <c r="BH98" i="12"/>
  <c r="BD98" i="12"/>
  <c r="BB98" i="12"/>
  <c r="CY98" i="12" s="1"/>
  <c r="AZ98" i="12"/>
  <c r="AW98" i="12"/>
  <c r="AT98" i="12"/>
  <c r="AQ98" i="12"/>
  <c r="AN98" i="12"/>
  <c r="AK98" i="12"/>
  <c r="AH98" i="12"/>
  <c r="AE98" i="12"/>
  <c r="AB98" i="12"/>
  <c r="Y98" i="12"/>
  <c r="V98" i="12"/>
  <c r="S98" i="12"/>
  <c r="P98" i="12"/>
  <c r="M98" i="12"/>
  <c r="J98" i="12"/>
  <c r="G98" i="12"/>
  <c r="CT97" i="12"/>
  <c r="CR97" i="12"/>
  <c r="CO97" i="12"/>
  <c r="CL97" i="12"/>
  <c r="CI97" i="12"/>
  <c r="CF97" i="12"/>
  <c r="CC97" i="12"/>
  <c r="CA97" i="12"/>
  <c r="BZ97" i="12"/>
  <c r="BW97" i="12"/>
  <c r="BT97" i="12"/>
  <c r="BU97" i="12" s="1"/>
  <c r="CV97" i="12" s="1"/>
  <c r="BQ97" i="12"/>
  <c r="BN97" i="12"/>
  <c r="BK97" i="12"/>
  <c r="BH97" i="12"/>
  <c r="CU97" i="12" s="1"/>
  <c r="BD97" i="12"/>
  <c r="BB97" i="12"/>
  <c r="CY97" i="12" s="1"/>
  <c r="AZ97" i="12"/>
  <c r="AW97" i="12"/>
  <c r="AT97" i="12"/>
  <c r="AQ97" i="12"/>
  <c r="AN97" i="12"/>
  <c r="AK97" i="12"/>
  <c r="AH97" i="12"/>
  <c r="AE97" i="12"/>
  <c r="AB97" i="12"/>
  <c r="Y97" i="12"/>
  <c r="V97" i="12"/>
  <c r="S97" i="12"/>
  <c r="P97" i="12"/>
  <c r="M97" i="12"/>
  <c r="J97" i="12"/>
  <c r="G97" i="12"/>
  <c r="CT96" i="12"/>
  <c r="CR96" i="12"/>
  <c r="CO96" i="12"/>
  <c r="CL96" i="12"/>
  <c r="CI96" i="12"/>
  <c r="CF96" i="12"/>
  <c r="CC96" i="12"/>
  <c r="CA96" i="12"/>
  <c r="BZ96" i="12"/>
  <c r="BW96" i="12"/>
  <c r="BT96" i="12"/>
  <c r="BU96" i="12" s="1"/>
  <c r="CV96" i="12" s="1"/>
  <c r="BQ96" i="12"/>
  <c r="BN96" i="12"/>
  <c r="BK96" i="12"/>
  <c r="BH96" i="12"/>
  <c r="BD96" i="12"/>
  <c r="BB96" i="12"/>
  <c r="CY96" i="12" s="1"/>
  <c r="AZ96" i="12"/>
  <c r="AW96" i="12"/>
  <c r="AT96" i="12"/>
  <c r="AQ96" i="12"/>
  <c r="AN96" i="12"/>
  <c r="AK96" i="12"/>
  <c r="AH96" i="12"/>
  <c r="AE96" i="12"/>
  <c r="AB96" i="12"/>
  <c r="Y96" i="12"/>
  <c r="V96" i="12"/>
  <c r="S96" i="12"/>
  <c r="P96" i="12"/>
  <c r="M96" i="12"/>
  <c r="J96" i="12"/>
  <c r="G96" i="12"/>
  <c r="CT95" i="12"/>
  <c r="CR95" i="12"/>
  <c r="CO95" i="12"/>
  <c r="CL95" i="12"/>
  <c r="CI95" i="12"/>
  <c r="CF95" i="12"/>
  <c r="CC95" i="12"/>
  <c r="CA95" i="12"/>
  <c r="BZ95" i="12"/>
  <c r="BW95" i="12"/>
  <c r="BT95" i="12"/>
  <c r="BU95" i="12" s="1"/>
  <c r="CV95" i="12" s="1"/>
  <c r="BQ95" i="12"/>
  <c r="BN95" i="12"/>
  <c r="BK95" i="12"/>
  <c r="BH95" i="12"/>
  <c r="CU95" i="12" s="1"/>
  <c r="BD95" i="12"/>
  <c r="BB95" i="12"/>
  <c r="CY95" i="12" s="1"/>
  <c r="AZ95" i="12"/>
  <c r="AW95" i="12"/>
  <c r="AT95" i="12"/>
  <c r="AQ95" i="12"/>
  <c r="AN95" i="12"/>
  <c r="AK95" i="12"/>
  <c r="AH95" i="12"/>
  <c r="AE95" i="12"/>
  <c r="AB95" i="12"/>
  <c r="Y95" i="12"/>
  <c r="V95" i="12"/>
  <c r="S95" i="12"/>
  <c r="P95" i="12"/>
  <c r="M95" i="12"/>
  <c r="J95" i="12"/>
  <c r="G95" i="12"/>
  <c r="CT94" i="12"/>
  <c r="CR94" i="12"/>
  <c r="CO94" i="12"/>
  <c r="CL94" i="12"/>
  <c r="CI94" i="12"/>
  <c r="CF94" i="12"/>
  <c r="CC94" i="12"/>
  <c r="CA94" i="12"/>
  <c r="BZ94" i="12"/>
  <c r="BW94" i="12"/>
  <c r="BT94" i="12"/>
  <c r="BU94" i="12" s="1"/>
  <c r="CV94" i="12" s="1"/>
  <c r="BQ94" i="12"/>
  <c r="BN94" i="12"/>
  <c r="BK94" i="12"/>
  <c r="BH94" i="12"/>
  <c r="BD94" i="12"/>
  <c r="BB94" i="12"/>
  <c r="CY94" i="12" s="1"/>
  <c r="AZ94" i="12"/>
  <c r="AW94" i="12"/>
  <c r="AT94" i="12"/>
  <c r="AQ94" i="12"/>
  <c r="AN94" i="12"/>
  <c r="AK94" i="12"/>
  <c r="AH94" i="12"/>
  <c r="AE94" i="12"/>
  <c r="AB94" i="12"/>
  <c r="Y94" i="12"/>
  <c r="V94" i="12"/>
  <c r="S94" i="12"/>
  <c r="P94" i="12"/>
  <c r="M94" i="12"/>
  <c r="J94" i="12"/>
  <c r="G94" i="12"/>
  <c r="CT93" i="12"/>
  <c r="CR93" i="12"/>
  <c r="CO93" i="12"/>
  <c r="CL93" i="12"/>
  <c r="CI93" i="12"/>
  <c r="CF93" i="12"/>
  <c r="CC93" i="12"/>
  <c r="CA93" i="12"/>
  <c r="BZ93" i="12"/>
  <c r="BW93" i="12"/>
  <c r="BT93" i="12"/>
  <c r="BU93" i="12" s="1"/>
  <c r="CV93" i="12" s="1"/>
  <c r="BQ93" i="12"/>
  <c r="BN93" i="12"/>
  <c r="BK93" i="12"/>
  <c r="BH93" i="12"/>
  <c r="CU93" i="12" s="1"/>
  <c r="BD93" i="12"/>
  <c r="BB93" i="12"/>
  <c r="CY93" i="12" s="1"/>
  <c r="AZ93" i="12"/>
  <c r="AW93" i="12"/>
  <c r="AT93" i="12"/>
  <c r="AQ93" i="12"/>
  <c r="AN93" i="12"/>
  <c r="AK93" i="12"/>
  <c r="AH93" i="12"/>
  <c r="AE93" i="12"/>
  <c r="AB93" i="12"/>
  <c r="Y93" i="12"/>
  <c r="V93" i="12"/>
  <c r="S93" i="12"/>
  <c r="P93" i="12"/>
  <c r="M93" i="12"/>
  <c r="J93" i="12"/>
  <c r="G93" i="12"/>
  <c r="CT92" i="12"/>
  <c r="CR92" i="12"/>
  <c r="CO92" i="12"/>
  <c r="CL92" i="12"/>
  <c r="CI92" i="12"/>
  <c r="CF92" i="12"/>
  <c r="CC92" i="12"/>
  <c r="CA92" i="12"/>
  <c r="BZ92" i="12"/>
  <c r="BW92" i="12"/>
  <c r="BT92" i="12"/>
  <c r="BU92" i="12" s="1"/>
  <c r="CV92" i="12" s="1"/>
  <c r="BQ92" i="12"/>
  <c r="BN92" i="12"/>
  <c r="BK92" i="12"/>
  <c r="BH92" i="12"/>
  <c r="BD92" i="12"/>
  <c r="BB92" i="12"/>
  <c r="CY92" i="12" s="1"/>
  <c r="AZ92" i="12"/>
  <c r="AW92" i="12"/>
  <c r="AT92" i="12"/>
  <c r="AQ92" i="12"/>
  <c r="AN92" i="12"/>
  <c r="AK92" i="12"/>
  <c r="AH92" i="12"/>
  <c r="AE92" i="12"/>
  <c r="AB92" i="12"/>
  <c r="Y92" i="12"/>
  <c r="V92" i="12"/>
  <c r="S92" i="12"/>
  <c r="P92" i="12"/>
  <c r="M92" i="12"/>
  <c r="J92" i="12"/>
  <c r="G92" i="12"/>
  <c r="CT91" i="12"/>
  <c r="CR91" i="12"/>
  <c r="CO91" i="12"/>
  <c r="CL91" i="12"/>
  <c r="CI91" i="12"/>
  <c r="CF91" i="12"/>
  <c r="CC91" i="12"/>
  <c r="CA91" i="12"/>
  <c r="BZ91" i="12"/>
  <c r="BW91" i="12"/>
  <c r="BT91" i="12"/>
  <c r="BU91" i="12" s="1"/>
  <c r="CV91" i="12" s="1"/>
  <c r="BQ91" i="12"/>
  <c r="BN91" i="12"/>
  <c r="BK91" i="12"/>
  <c r="BH91" i="12"/>
  <c r="CU91" i="12" s="1"/>
  <c r="BD91" i="12"/>
  <c r="BB91" i="12"/>
  <c r="CY91" i="12" s="1"/>
  <c r="AZ91" i="12"/>
  <c r="AW91" i="12"/>
  <c r="AT91" i="12"/>
  <c r="AQ91" i="12"/>
  <c r="AN91" i="12"/>
  <c r="AK91" i="12"/>
  <c r="AH91" i="12"/>
  <c r="AE91" i="12"/>
  <c r="AB91" i="12"/>
  <c r="Y91" i="12"/>
  <c r="V91" i="12"/>
  <c r="S91" i="12"/>
  <c r="P91" i="12"/>
  <c r="M91" i="12"/>
  <c r="J91" i="12"/>
  <c r="G91" i="12"/>
  <c r="CT90" i="12"/>
  <c r="CR90" i="12"/>
  <c r="CO90" i="12"/>
  <c r="CL90" i="12"/>
  <c r="CI90" i="12"/>
  <c r="CF90" i="12"/>
  <c r="CC90" i="12"/>
  <c r="CA90" i="12"/>
  <c r="BZ90" i="12"/>
  <c r="BW90" i="12"/>
  <c r="BT90" i="12"/>
  <c r="BU90" i="12" s="1"/>
  <c r="CV90" i="12" s="1"/>
  <c r="BQ90" i="12"/>
  <c r="BN90" i="12"/>
  <c r="BK90" i="12"/>
  <c r="BH90" i="12"/>
  <c r="BD90" i="12"/>
  <c r="BB90" i="12"/>
  <c r="CY90" i="12" s="1"/>
  <c r="AZ90" i="12"/>
  <c r="AW90" i="12"/>
  <c r="AT90" i="12"/>
  <c r="AQ90" i="12"/>
  <c r="AN90" i="12"/>
  <c r="AK90" i="12"/>
  <c r="AH90" i="12"/>
  <c r="AE90" i="12"/>
  <c r="AB90" i="12"/>
  <c r="Y90" i="12"/>
  <c r="V90" i="12"/>
  <c r="S90" i="12"/>
  <c r="P90" i="12"/>
  <c r="M90" i="12"/>
  <c r="J90" i="12"/>
  <c r="G90" i="12"/>
  <c r="CT89" i="12"/>
  <c r="CR89" i="12"/>
  <c r="CO89" i="12"/>
  <c r="CL89" i="12"/>
  <c r="CI89" i="12"/>
  <c r="CF89" i="12"/>
  <c r="CC89" i="12"/>
  <c r="CA89" i="12"/>
  <c r="BZ89" i="12"/>
  <c r="BW89" i="12"/>
  <c r="BT89" i="12"/>
  <c r="BU89" i="12" s="1"/>
  <c r="CV89" i="12" s="1"/>
  <c r="BQ89" i="12"/>
  <c r="BN89" i="12"/>
  <c r="BK89" i="12"/>
  <c r="BH89" i="12"/>
  <c r="CU89" i="12" s="1"/>
  <c r="BD89" i="12"/>
  <c r="BB89" i="12"/>
  <c r="BB106" i="12" s="1"/>
  <c r="AZ89" i="12"/>
  <c r="AW89" i="12"/>
  <c r="AT89" i="12"/>
  <c r="AQ89" i="12"/>
  <c r="AN89" i="12"/>
  <c r="AK89" i="12"/>
  <c r="AH89" i="12"/>
  <c r="AE89" i="12"/>
  <c r="AB89" i="12"/>
  <c r="Y89" i="12"/>
  <c r="V89" i="12"/>
  <c r="S89" i="12"/>
  <c r="P89" i="12"/>
  <c r="M89" i="12"/>
  <c r="J89" i="12"/>
  <c r="G89" i="12"/>
  <c r="CW86" i="12"/>
  <c r="BE86" i="12"/>
  <c r="CT85" i="12"/>
  <c r="CR85" i="12"/>
  <c r="CO85" i="12"/>
  <c r="CL85" i="12"/>
  <c r="CI85" i="12"/>
  <c r="CG85" i="12"/>
  <c r="CF85" i="12"/>
  <c r="CC85" i="12"/>
  <c r="BZ85" i="12"/>
  <c r="CA85" i="12" s="1"/>
  <c r="BW85" i="12"/>
  <c r="BX85" i="12" s="1"/>
  <c r="BU85" i="12"/>
  <c r="BT85" i="12"/>
  <c r="BQ85" i="12"/>
  <c r="BN85" i="12"/>
  <c r="BO85" i="12" s="1"/>
  <c r="BK85" i="12"/>
  <c r="BI85" i="12"/>
  <c r="BH85" i="12"/>
  <c r="BB85" i="12"/>
  <c r="CY85" i="12" s="1"/>
  <c r="AZ85" i="12"/>
  <c r="AW85" i="12"/>
  <c r="AT85" i="12"/>
  <c r="AU85" i="12" s="1"/>
  <c r="AQ85" i="12"/>
  <c r="AN85" i="12"/>
  <c r="AO85" i="12" s="1"/>
  <c r="AK85" i="12"/>
  <c r="AL85" i="12" s="1"/>
  <c r="AH85" i="12"/>
  <c r="AI85" i="12" s="1"/>
  <c r="AE85" i="12"/>
  <c r="AB85" i="12"/>
  <c r="Y85" i="12"/>
  <c r="Z85" i="12" s="1"/>
  <c r="V85" i="12"/>
  <c r="W85" i="12" s="1"/>
  <c r="S85" i="12"/>
  <c r="T85" i="12" s="1"/>
  <c r="P85" i="12"/>
  <c r="M85" i="12"/>
  <c r="N85" i="12" s="1"/>
  <c r="J85" i="12"/>
  <c r="BC85" i="12" s="1"/>
  <c r="G85" i="12"/>
  <c r="H85" i="12" s="1"/>
  <c r="CT84" i="12"/>
  <c r="CR84" i="12"/>
  <c r="CO84" i="12"/>
  <c r="CL84" i="12"/>
  <c r="CI84" i="12"/>
  <c r="CG84" i="12"/>
  <c r="CF84" i="12"/>
  <c r="CC84" i="12"/>
  <c r="BZ84" i="12"/>
  <c r="CA84" i="12" s="1"/>
  <c r="BW84" i="12"/>
  <c r="BX84" i="12" s="1"/>
  <c r="BT84" i="12"/>
  <c r="BU84" i="12" s="1"/>
  <c r="BQ84" i="12"/>
  <c r="BR84" i="12" s="1"/>
  <c r="BN84" i="12"/>
  <c r="BO84" i="12" s="1"/>
  <c r="BK84" i="12"/>
  <c r="BH84" i="12"/>
  <c r="BB84" i="12"/>
  <c r="AZ84" i="12"/>
  <c r="AW84" i="12"/>
  <c r="AU84" i="12"/>
  <c r="AT84" i="12"/>
  <c r="AQ84" i="12"/>
  <c r="AN84" i="12"/>
  <c r="AO84" i="12" s="1"/>
  <c r="AK84" i="12"/>
  <c r="AL84" i="12" s="1"/>
  <c r="AI84" i="12"/>
  <c r="AH84" i="12"/>
  <c r="AE84" i="12"/>
  <c r="AF84" i="12" s="1"/>
  <c r="AB84" i="12"/>
  <c r="Y84" i="12"/>
  <c r="Z84" i="12" s="1"/>
  <c r="V84" i="12"/>
  <c r="W84" i="12" s="1"/>
  <c r="S84" i="12"/>
  <c r="T84" i="12" s="1"/>
  <c r="P84" i="12"/>
  <c r="N84" i="12"/>
  <c r="M84" i="12"/>
  <c r="J84" i="12"/>
  <c r="K84" i="12" s="1"/>
  <c r="G84" i="12"/>
  <c r="CT83" i="12"/>
  <c r="CG83" i="12"/>
  <c r="CF83" i="12"/>
  <c r="BZ83" i="12"/>
  <c r="CA83" i="12" s="1"/>
  <c r="BW83" i="12"/>
  <c r="BX83" i="12" s="1"/>
  <c r="BT83" i="12"/>
  <c r="BU83" i="12" s="1"/>
  <c r="BR83" i="12"/>
  <c r="BQ83" i="12"/>
  <c r="BN83" i="12"/>
  <c r="BO83" i="12" s="1"/>
  <c r="BH83" i="12"/>
  <c r="BB83" i="12"/>
  <c r="CY83" i="12" s="1"/>
  <c r="AT83" i="12"/>
  <c r="AU83" i="12" s="1"/>
  <c r="AN83" i="12"/>
  <c r="AO83" i="12" s="1"/>
  <c r="AK83" i="12"/>
  <c r="AL83" i="12" s="1"/>
  <c r="AE83" i="12"/>
  <c r="AF83" i="12" s="1"/>
  <c r="AB83" i="12"/>
  <c r="AC83" i="12" s="1"/>
  <c r="Z83" i="12"/>
  <c r="Y83" i="12"/>
  <c r="V83" i="12"/>
  <c r="W83" i="12" s="1"/>
  <c r="S83" i="12"/>
  <c r="M83" i="12"/>
  <c r="N83" i="12" s="1"/>
  <c r="J83" i="12"/>
  <c r="K83" i="12" s="1"/>
  <c r="G83" i="12"/>
  <c r="H83" i="12" s="1"/>
  <c r="CY82" i="12"/>
  <c r="CT82" i="12"/>
  <c r="CG82" i="12"/>
  <c r="CF82" i="12"/>
  <c r="BZ82" i="12"/>
  <c r="CA82" i="12" s="1"/>
  <c r="BW82" i="12"/>
  <c r="BX82" i="12" s="1"/>
  <c r="BT82" i="12"/>
  <c r="BU82" i="12" s="1"/>
  <c r="BR82" i="12"/>
  <c r="BQ82" i="12"/>
  <c r="BN82" i="12"/>
  <c r="BO82" i="12" s="1"/>
  <c r="BH82" i="12"/>
  <c r="BB82" i="12"/>
  <c r="AT82" i="12"/>
  <c r="AU82" i="12" s="1"/>
  <c r="AN82" i="12"/>
  <c r="AK82" i="12"/>
  <c r="AL82" i="12" s="1"/>
  <c r="AH82" i="12"/>
  <c r="AI82" i="12" s="1"/>
  <c r="AF82" i="12"/>
  <c r="AE82" i="12"/>
  <c r="AC82" i="12"/>
  <c r="AB82" i="12"/>
  <c r="Y82" i="12"/>
  <c r="Z82" i="12" s="1"/>
  <c r="V82" i="12"/>
  <c r="W82" i="12" s="1"/>
  <c r="T82" i="12"/>
  <c r="S82" i="12"/>
  <c r="N82" i="12"/>
  <c r="M82" i="12"/>
  <c r="J82" i="12"/>
  <c r="K82" i="12" s="1"/>
  <c r="G82" i="12"/>
  <c r="H82" i="12" s="1"/>
  <c r="CT81" i="12"/>
  <c r="BZ81" i="12"/>
  <c r="CA81" i="12" s="1"/>
  <c r="BX81" i="12"/>
  <c r="BW81" i="12"/>
  <c r="BT81" i="12"/>
  <c r="BU81" i="12" s="1"/>
  <c r="BQ81" i="12"/>
  <c r="BR81" i="12" s="1"/>
  <c r="BN81" i="12"/>
  <c r="BI81" i="12"/>
  <c r="BH81" i="12"/>
  <c r="BB81" i="12"/>
  <c r="AT81" i="12"/>
  <c r="AU81" i="12" s="1"/>
  <c r="AO81" i="12"/>
  <c r="AN81" i="12"/>
  <c r="AK81" i="12"/>
  <c r="AL81" i="12" s="1"/>
  <c r="AE81" i="12"/>
  <c r="AF81" i="12" s="1"/>
  <c r="AB81" i="12"/>
  <c r="AC81" i="12" s="1"/>
  <c r="Z81" i="12"/>
  <c r="Y81" i="12"/>
  <c r="V81" i="12"/>
  <c r="W81" i="12" s="1"/>
  <c r="S81" i="12"/>
  <c r="T81" i="12" s="1"/>
  <c r="M81" i="12"/>
  <c r="K81" i="12"/>
  <c r="J81" i="12"/>
  <c r="G81" i="12"/>
  <c r="H81" i="12" s="1"/>
  <c r="CT80" i="12"/>
  <c r="CG80" i="12"/>
  <c r="CF80" i="12"/>
  <c r="CA80" i="12"/>
  <c r="BZ80" i="12"/>
  <c r="BW80" i="12"/>
  <c r="BX80" i="12" s="1"/>
  <c r="BT80" i="12"/>
  <c r="BU80" i="12" s="1"/>
  <c r="BR80" i="12"/>
  <c r="BQ80" i="12"/>
  <c r="BO80" i="12"/>
  <c r="BN80" i="12"/>
  <c r="BH80" i="12"/>
  <c r="BI80" i="12" s="1"/>
  <c r="BB80" i="12"/>
  <c r="AU80" i="12"/>
  <c r="AT80" i="12"/>
  <c r="AN80" i="12"/>
  <c r="AO80" i="12" s="1"/>
  <c r="AK80" i="12"/>
  <c r="AL80" i="12" s="1"/>
  <c r="AF80" i="12"/>
  <c r="AE80" i="12"/>
  <c r="AC80" i="12"/>
  <c r="AB80" i="12"/>
  <c r="Y80" i="12"/>
  <c r="Z80" i="12" s="1"/>
  <c r="V80" i="12"/>
  <c r="W80" i="12" s="1"/>
  <c r="T80" i="12"/>
  <c r="S80" i="12"/>
  <c r="N80" i="12"/>
  <c r="M80" i="12"/>
  <c r="J80" i="12"/>
  <c r="K80" i="12" s="1"/>
  <c r="G80" i="12"/>
  <c r="H80" i="12" s="1"/>
  <c r="CW77" i="12"/>
  <c r="BE77" i="12"/>
  <c r="BB77" i="12"/>
  <c r="CV76" i="12"/>
  <c r="CV77" i="12" s="1"/>
  <c r="CT76" i="12"/>
  <c r="CT77" i="12" s="1"/>
  <c r="CR76" i="12"/>
  <c r="CO76" i="12"/>
  <c r="CL76" i="12"/>
  <c r="CI76" i="12"/>
  <c r="CF76" i="12"/>
  <c r="CC76" i="12"/>
  <c r="BZ76" i="12"/>
  <c r="BW76" i="12"/>
  <c r="BT76" i="12"/>
  <c r="BQ76" i="12"/>
  <c r="BN76" i="12"/>
  <c r="BK76" i="12"/>
  <c r="BH76" i="12"/>
  <c r="BD76" i="12"/>
  <c r="DA76" i="12" s="1"/>
  <c r="DA77" i="12" s="1"/>
  <c r="DE76" i="12" s="1"/>
  <c r="BB76" i="12"/>
  <c r="AZ76" i="12"/>
  <c r="AW76" i="12"/>
  <c r="AT76" i="12"/>
  <c r="AQ76" i="12"/>
  <c r="AN76" i="12"/>
  <c r="AK76" i="12"/>
  <c r="AH76" i="12"/>
  <c r="AE76" i="12"/>
  <c r="AB76" i="12"/>
  <c r="Y76" i="12"/>
  <c r="V76" i="12"/>
  <c r="S76" i="12"/>
  <c r="P76" i="12"/>
  <c r="M76" i="12"/>
  <c r="J76" i="12"/>
  <c r="G76" i="12"/>
  <c r="CW73" i="12"/>
  <c r="CR73" i="12"/>
  <c r="BE73" i="12"/>
  <c r="CV72" i="12"/>
  <c r="CU72" i="12"/>
  <c r="CX72" i="12" s="1"/>
  <c r="H64" i="1" s="1"/>
  <c r="CT72" i="12"/>
  <c r="BD72" i="12"/>
  <c r="DA72" i="12" s="1"/>
  <c r="BC72" i="12"/>
  <c r="BB72" i="12"/>
  <c r="CY72" i="12" s="1"/>
  <c r="CV71" i="12"/>
  <c r="CU71" i="12"/>
  <c r="CX71" i="12" s="1"/>
  <c r="H63" i="1" s="1"/>
  <c r="CT71" i="12"/>
  <c r="BD71" i="12"/>
  <c r="DA71" i="12" s="1"/>
  <c r="BC71" i="12"/>
  <c r="BB71" i="12"/>
  <c r="CY71" i="12" s="1"/>
  <c r="CV70" i="12"/>
  <c r="CU70" i="12"/>
  <c r="CT70" i="12"/>
  <c r="BD70" i="12"/>
  <c r="BF70" i="12" s="1"/>
  <c r="F62" i="1" s="1"/>
  <c r="BC70" i="12"/>
  <c r="BB70" i="12"/>
  <c r="CY70" i="12" s="1"/>
  <c r="CV69" i="12"/>
  <c r="CT69" i="12"/>
  <c r="CR69" i="12"/>
  <c r="CO69" i="12"/>
  <c r="CL69" i="12"/>
  <c r="CI69" i="12"/>
  <c r="CF69" i="12"/>
  <c r="CC69" i="12"/>
  <c r="BZ69" i="12"/>
  <c r="BW69" i="12"/>
  <c r="BT69" i="12"/>
  <c r="BQ69" i="12"/>
  <c r="BN69" i="12"/>
  <c r="BK69" i="12"/>
  <c r="BH69" i="12"/>
  <c r="CU69" i="12" s="1"/>
  <c r="CX69" i="12" s="1"/>
  <c r="H61" i="1" s="1"/>
  <c r="BD69" i="12"/>
  <c r="DA69" i="12" s="1"/>
  <c r="BB69" i="12"/>
  <c r="CY69" i="12" s="1"/>
  <c r="AZ69" i="12"/>
  <c r="AW69" i="12"/>
  <c r="AT69" i="12"/>
  <c r="AQ69" i="12"/>
  <c r="AN69" i="12"/>
  <c r="AK69" i="12"/>
  <c r="AH69" i="12"/>
  <c r="AE69" i="12"/>
  <c r="AB69" i="12"/>
  <c r="Y69" i="12"/>
  <c r="V69" i="12"/>
  <c r="S69" i="12"/>
  <c r="P69" i="12"/>
  <c r="M69" i="12"/>
  <c r="J69" i="12"/>
  <c r="G69" i="12"/>
  <c r="BC69" i="12" s="1"/>
  <c r="CV68" i="12"/>
  <c r="CT68" i="12"/>
  <c r="CR68" i="12"/>
  <c r="CO68" i="12"/>
  <c r="CL68" i="12"/>
  <c r="CI68" i="12"/>
  <c r="CF68" i="12"/>
  <c r="CC68" i="12"/>
  <c r="BZ68" i="12"/>
  <c r="BW68" i="12"/>
  <c r="BT68" i="12"/>
  <c r="BQ68" i="12"/>
  <c r="BN68" i="12"/>
  <c r="BK68" i="12"/>
  <c r="BH68" i="12"/>
  <c r="BD68" i="12"/>
  <c r="DA68" i="12" s="1"/>
  <c r="BB68" i="12"/>
  <c r="AZ68" i="12"/>
  <c r="AW68" i="12"/>
  <c r="AT68" i="12"/>
  <c r="AQ68" i="12"/>
  <c r="AN68" i="12"/>
  <c r="AK68" i="12"/>
  <c r="AH68" i="12"/>
  <c r="AE68" i="12"/>
  <c r="AB68" i="12"/>
  <c r="Y68" i="12"/>
  <c r="V68" i="12"/>
  <c r="S68" i="12"/>
  <c r="P68" i="12"/>
  <c r="M68" i="12"/>
  <c r="J68" i="12"/>
  <c r="G68" i="12"/>
  <c r="CV67" i="12"/>
  <c r="CT67" i="12"/>
  <c r="CR67" i="12"/>
  <c r="CO67" i="12"/>
  <c r="CL67" i="12"/>
  <c r="CI67" i="12"/>
  <c r="CF67" i="12"/>
  <c r="CC67" i="12"/>
  <c r="BZ67" i="12"/>
  <c r="BW67" i="12"/>
  <c r="BT67" i="12"/>
  <c r="BQ67" i="12"/>
  <c r="BN67" i="12"/>
  <c r="BK67" i="12"/>
  <c r="BH67" i="12"/>
  <c r="CU67" i="12" s="1"/>
  <c r="CX67" i="12" s="1"/>
  <c r="H59" i="1" s="1"/>
  <c r="BD67" i="12"/>
  <c r="BB67" i="12"/>
  <c r="CY67" i="12" s="1"/>
  <c r="AZ67" i="12"/>
  <c r="AW67" i="12"/>
  <c r="AT67" i="12"/>
  <c r="AQ67" i="12"/>
  <c r="AN67" i="12"/>
  <c r="AK67" i="12"/>
  <c r="AH67" i="12"/>
  <c r="AE67" i="12"/>
  <c r="AB67" i="12"/>
  <c r="Y67" i="12"/>
  <c r="V67" i="12"/>
  <c r="S67" i="12"/>
  <c r="P67" i="12"/>
  <c r="M67" i="12"/>
  <c r="J67" i="12"/>
  <c r="G67" i="12"/>
  <c r="CV66" i="12"/>
  <c r="CU66" i="12"/>
  <c r="CX66" i="12" s="1"/>
  <c r="H58" i="1" s="1"/>
  <c r="CT66" i="12"/>
  <c r="BD66" i="12"/>
  <c r="DA66" i="12" s="1"/>
  <c r="BC66" i="12"/>
  <c r="BB66" i="12"/>
  <c r="CY66" i="12" s="1"/>
  <c r="CV65" i="12"/>
  <c r="CT65" i="12"/>
  <c r="CR65" i="12"/>
  <c r="CO65" i="12"/>
  <c r="CL65" i="12"/>
  <c r="CI65" i="12"/>
  <c r="CC65" i="12"/>
  <c r="BZ65" i="12"/>
  <c r="BW65" i="12"/>
  <c r="BT65" i="12"/>
  <c r="BQ65" i="12"/>
  <c r="BN65" i="12"/>
  <c r="CU65" i="12" s="1"/>
  <c r="CX65" i="12" s="1"/>
  <c r="H57" i="1" s="1"/>
  <c r="BK65" i="12"/>
  <c r="BH65" i="12"/>
  <c r="BD65" i="12"/>
  <c r="DA65" i="12" s="1"/>
  <c r="BB65" i="12"/>
  <c r="CY65" i="12" s="1"/>
  <c r="AZ65" i="12"/>
  <c r="AW65" i="12"/>
  <c r="AT65" i="12"/>
  <c r="AQ65" i="12"/>
  <c r="AN65" i="12"/>
  <c r="AK65" i="12"/>
  <c r="AH65" i="12"/>
  <c r="AE65" i="12"/>
  <c r="AB65" i="12"/>
  <c r="Y65" i="12"/>
  <c r="V65" i="12"/>
  <c r="S65" i="12"/>
  <c r="P65" i="12"/>
  <c r="M65" i="12"/>
  <c r="J65" i="12"/>
  <c r="G65" i="12"/>
  <c r="BC65" i="12" s="1"/>
  <c r="CV64" i="12"/>
  <c r="CT64" i="12"/>
  <c r="CR64" i="12"/>
  <c r="CO64" i="12"/>
  <c r="CL64" i="12"/>
  <c r="CI64" i="12"/>
  <c r="CF64" i="12"/>
  <c r="CC64" i="12"/>
  <c r="BZ64" i="12"/>
  <c r="BW64" i="12"/>
  <c r="BT64" i="12"/>
  <c r="BQ64" i="12"/>
  <c r="BN64" i="12"/>
  <c r="BK64" i="12"/>
  <c r="BH64" i="12"/>
  <c r="BB64" i="12"/>
  <c r="CY64" i="12" s="1"/>
  <c r="AZ64" i="12"/>
  <c r="AW64" i="12"/>
  <c r="AT64" i="12"/>
  <c r="AQ64" i="12"/>
  <c r="AN64" i="12"/>
  <c r="AK64" i="12"/>
  <c r="AH64" i="12"/>
  <c r="AE64" i="12"/>
  <c r="AB64" i="12"/>
  <c r="Y64" i="12"/>
  <c r="V64" i="12"/>
  <c r="S64" i="12"/>
  <c r="P64" i="12"/>
  <c r="M64" i="12"/>
  <c r="J64" i="12"/>
  <c r="G64" i="12"/>
  <c r="CV63" i="12"/>
  <c r="CT63" i="12"/>
  <c r="CR63" i="12"/>
  <c r="CO63" i="12"/>
  <c r="CL63" i="12"/>
  <c r="CI63" i="12"/>
  <c r="CF63" i="12"/>
  <c r="CC63" i="12"/>
  <c r="BZ63" i="12"/>
  <c r="BW63" i="12"/>
  <c r="BT63" i="12"/>
  <c r="BQ63" i="12"/>
  <c r="BN63" i="12"/>
  <c r="BK63" i="12"/>
  <c r="BH63" i="12"/>
  <c r="BD63" i="12"/>
  <c r="DA63" i="12" s="1"/>
  <c r="BB63" i="12"/>
  <c r="CY63" i="12" s="1"/>
  <c r="AZ63" i="12"/>
  <c r="AW63" i="12"/>
  <c r="AT63" i="12"/>
  <c r="AQ63" i="12"/>
  <c r="AN63" i="12"/>
  <c r="AK63" i="12"/>
  <c r="AH63" i="12"/>
  <c r="AE63" i="12"/>
  <c r="AB63" i="12"/>
  <c r="Y63" i="12"/>
  <c r="V63" i="12"/>
  <c r="S63" i="12"/>
  <c r="P63" i="12"/>
  <c r="M63" i="12"/>
  <c r="J63" i="12"/>
  <c r="G63" i="12"/>
  <c r="CV62" i="12"/>
  <c r="CT62" i="12"/>
  <c r="CR62" i="12"/>
  <c r="CO62" i="12"/>
  <c r="CL62" i="12"/>
  <c r="CI62" i="12"/>
  <c r="CF62" i="12"/>
  <c r="CC62" i="12"/>
  <c r="BZ62" i="12"/>
  <c r="BW62" i="12"/>
  <c r="BT62" i="12"/>
  <c r="BQ62" i="12"/>
  <c r="BN62" i="12"/>
  <c r="BK62" i="12"/>
  <c r="BH62" i="12"/>
  <c r="BB62" i="12"/>
  <c r="CY62" i="12" s="1"/>
  <c r="AZ62" i="12"/>
  <c r="AW62" i="12"/>
  <c r="AT62" i="12"/>
  <c r="AQ62" i="12"/>
  <c r="AN62" i="12"/>
  <c r="AK62" i="12"/>
  <c r="AH62" i="12"/>
  <c r="AE62" i="12"/>
  <c r="AB62" i="12"/>
  <c r="Y62" i="12"/>
  <c r="V62" i="12"/>
  <c r="S62" i="12"/>
  <c r="P62" i="12"/>
  <c r="M62" i="12"/>
  <c r="K62" i="12"/>
  <c r="BD62" i="12" s="1"/>
  <c r="DA62" i="12" s="1"/>
  <c r="J62" i="12"/>
  <c r="G62" i="12"/>
  <c r="CV61" i="12"/>
  <c r="CT61" i="12"/>
  <c r="CR61" i="12"/>
  <c r="CO61" i="12"/>
  <c r="CL61" i="12"/>
  <c r="CI61" i="12"/>
  <c r="CF61" i="12"/>
  <c r="CC61" i="12"/>
  <c r="BZ61" i="12"/>
  <c r="BW61" i="12"/>
  <c r="BT61" i="12"/>
  <c r="BQ61" i="12"/>
  <c r="BN61" i="12"/>
  <c r="BK61" i="12"/>
  <c r="BH61" i="12"/>
  <c r="BB61" i="12"/>
  <c r="CY61" i="12" s="1"/>
  <c r="AZ61" i="12"/>
  <c r="AW61" i="12"/>
  <c r="AT61" i="12"/>
  <c r="AQ61" i="12"/>
  <c r="AN61" i="12"/>
  <c r="AK61" i="12"/>
  <c r="AH61" i="12"/>
  <c r="AE61" i="12"/>
  <c r="AB61" i="12"/>
  <c r="Y61" i="12"/>
  <c r="V61" i="12"/>
  <c r="S61" i="12"/>
  <c r="P61" i="12"/>
  <c r="M61" i="12"/>
  <c r="J61" i="12"/>
  <c r="G61" i="12"/>
  <c r="CV60" i="12"/>
  <c r="CT60" i="12"/>
  <c r="CR60" i="12"/>
  <c r="CO60" i="12"/>
  <c r="CL60" i="12"/>
  <c r="CI60" i="12"/>
  <c r="CC60" i="12"/>
  <c r="BZ60" i="12"/>
  <c r="BW60" i="12"/>
  <c r="BT60" i="12"/>
  <c r="BQ60" i="12"/>
  <c r="BN60" i="12"/>
  <c r="BK60" i="12"/>
  <c r="BH60" i="12"/>
  <c r="BD60" i="12"/>
  <c r="DA60" i="12" s="1"/>
  <c r="BB60" i="12"/>
  <c r="CY60" i="12" s="1"/>
  <c r="AZ60" i="12"/>
  <c r="AW60" i="12"/>
  <c r="AT60" i="12"/>
  <c r="AQ60" i="12"/>
  <c r="AN60" i="12"/>
  <c r="AK60" i="12"/>
  <c r="AH60" i="12"/>
  <c r="AE60" i="12"/>
  <c r="AB60" i="12"/>
  <c r="Y60" i="12"/>
  <c r="V60" i="12"/>
  <c r="S60" i="12"/>
  <c r="P60" i="12"/>
  <c r="M60" i="12"/>
  <c r="J60" i="12"/>
  <c r="G60" i="12"/>
  <c r="CV59" i="12"/>
  <c r="CT59" i="12"/>
  <c r="CR59" i="12"/>
  <c r="CO59" i="12"/>
  <c r="CL59" i="12"/>
  <c r="CI59" i="12"/>
  <c r="CF59" i="12"/>
  <c r="CC59" i="12"/>
  <c r="BZ59" i="12"/>
  <c r="BW59" i="12"/>
  <c r="BT59" i="12"/>
  <c r="BQ59" i="12"/>
  <c r="BN59" i="12"/>
  <c r="BK59" i="12"/>
  <c r="BH59" i="12"/>
  <c r="BD59" i="12"/>
  <c r="BB59" i="12"/>
  <c r="CY59" i="12" s="1"/>
  <c r="AZ59" i="12"/>
  <c r="AW59" i="12"/>
  <c r="AT59" i="12"/>
  <c r="AQ59" i="12"/>
  <c r="AN59" i="12"/>
  <c r="AK59" i="12"/>
  <c r="AH59" i="12"/>
  <c r="AE59" i="12"/>
  <c r="AB59" i="12"/>
  <c r="Y59" i="12"/>
  <c r="V59" i="12"/>
  <c r="S59" i="12"/>
  <c r="P59" i="12"/>
  <c r="M59" i="12"/>
  <c r="J59" i="12"/>
  <c r="G59" i="12"/>
  <c r="CV58" i="12"/>
  <c r="CT58" i="12"/>
  <c r="CR58" i="12"/>
  <c r="CO58" i="12"/>
  <c r="CL58" i="12"/>
  <c r="CI58" i="12"/>
  <c r="CF58" i="12"/>
  <c r="CC58" i="12"/>
  <c r="BZ58" i="12"/>
  <c r="BW58" i="12"/>
  <c r="BT58" i="12"/>
  <c r="BQ58" i="12"/>
  <c r="BN58" i="12"/>
  <c r="BK58" i="12"/>
  <c r="BH58" i="12"/>
  <c r="BD58" i="12"/>
  <c r="DA58" i="12" s="1"/>
  <c r="BB58" i="12"/>
  <c r="AZ58" i="12"/>
  <c r="AW58" i="12"/>
  <c r="AT58" i="12"/>
  <c r="AQ58" i="12"/>
  <c r="AN58" i="12"/>
  <c r="AK58" i="12"/>
  <c r="AH58" i="12"/>
  <c r="AE58" i="12"/>
  <c r="AB58" i="12"/>
  <c r="Y58" i="12"/>
  <c r="V58" i="12"/>
  <c r="S58" i="12"/>
  <c r="P58" i="12"/>
  <c r="M58" i="12"/>
  <c r="J58" i="12"/>
  <c r="G58" i="12"/>
  <c r="CV57" i="12"/>
  <c r="CT57" i="12"/>
  <c r="CR57" i="12"/>
  <c r="CO57" i="12"/>
  <c r="CL57" i="12"/>
  <c r="CI57" i="12"/>
  <c r="CF57" i="12"/>
  <c r="CC57" i="12"/>
  <c r="BZ57" i="12"/>
  <c r="BW57" i="12"/>
  <c r="BT57" i="12"/>
  <c r="BQ57" i="12"/>
  <c r="BN57" i="12"/>
  <c r="BK57" i="12"/>
  <c r="BH57" i="12"/>
  <c r="BD57" i="12"/>
  <c r="BB57" i="12"/>
  <c r="CY57" i="12" s="1"/>
  <c r="AZ57" i="12"/>
  <c r="AW57" i="12"/>
  <c r="AT57" i="12"/>
  <c r="AQ57" i="12"/>
  <c r="AN57" i="12"/>
  <c r="AK57" i="12"/>
  <c r="AH57" i="12"/>
  <c r="AE57" i="12"/>
  <c r="AB57" i="12"/>
  <c r="Y57" i="12"/>
  <c r="V57" i="12"/>
  <c r="S57" i="12"/>
  <c r="P57" i="12"/>
  <c r="M57" i="12"/>
  <c r="J57" i="12"/>
  <c r="G57" i="12"/>
  <c r="BC57" i="12" s="1"/>
  <c r="CV56" i="12"/>
  <c r="CT56" i="12"/>
  <c r="CR56" i="12"/>
  <c r="CO56" i="12"/>
  <c r="CL56" i="12"/>
  <c r="CI56" i="12"/>
  <c r="CF56" i="12"/>
  <c r="CC56" i="12"/>
  <c r="BZ56" i="12"/>
  <c r="BW56" i="12"/>
  <c r="BT56" i="12"/>
  <c r="BQ56" i="12"/>
  <c r="BN56" i="12"/>
  <c r="BK56" i="12"/>
  <c r="BH56" i="12"/>
  <c r="BD56" i="12"/>
  <c r="DA56" i="12" s="1"/>
  <c r="BB56" i="12"/>
  <c r="AZ56" i="12"/>
  <c r="AW56" i="12"/>
  <c r="AT56" i="12"/>
  <c r="AQ56" i="12"/>
  <c r="AN56" i="12"/>
  <c r="AK56" i="12"/>
  <c r="AH56" i="12"/>
  <c r="AE56" i="12"/>
  <c r="AB56" i="12"/>
  <c r="Y56" i="12"/>
  <c r="V56" i="12"/>
  <c r="S56" i="12"/>
  <c r="P56" i="12"/>
  <c r="M56" i="12"/>
  <c r="J56" i="12"/>
  <c r="G56" i="12"/>
  <c r="CV55" i="12"/>
  <c r="CT55" i="12"/>
  <c r="BH55" i="12"/>
  <c r="CU55" i="12" s="1"/>
  <c r="CX55" i="12" s="1"/>
  <c r="H47" i="1" s="1"/>
  <c r="BB55" i="12"/>
  <c r="CY55" i="12" s="1"/>
  <c r="AT55" i="12"/>
  <c r="AN55" i="12"/>
  <c r="AO55" i="12" s="1"/>
  <c r="AK55" i="12"/>
  <c r="AL55" i="12" s="1"/>
  <c r="AH55" i="12"/>
  <c r="AF55" i="12"/>
  <c r="AE55" i="12"/>
  <c r="AB55" i="12"/>
  <c r="AC55" i="12" s="1"/>
  <c r="Y55" i="12"/>
  <c r="V55" i="12"/>
  <c r="S55" i="12"/>
  <c r="N55" i="12"/>
  <c r="M55" i="12"/>
  <c r="K55" i="12"/>
  <c r="J55" i="12"/>
  <c r="G55" i="12"/>
  <c r="H55" i="12" s="1"/>
  <c r="CY54" i="12"/>
  <c r="CV54" i="12"/>
  <c r="CV73" i="12" s="1"/>
  <c r="CT54" i="12"/>
  <c r="CR54" i="12"/>
  <c r="CO54" i="12"/>
  <c r="CL54" i="12"/>
  <c r="CI54" i="12"/>
  <c r="CF54" i="12"/>
  <c r="BK54" i="12"/>
  <c r="BH54" i="12"/>
  <c r="BD54" i="12"/>
  <c r="DA54" i="12" s="1"/>
  <c r="BB54" i="12"/>
  <c r="AZ54" i="12"/>
  <c r="AW54" i="12"/>
  <c r="AT54" i="12"/>
  <c r="AQ54" i="12"/>
  <c r="AN54" i="12"/>
  <c r="AK54" i="12"/>
  <c r="AH54" i="12"/>
  <c r="AE54" i="12"/>
  <c r="AB54" i="12"/>
  <c r="Y54" i="12"/>
  <c r="V54" i="12"/>
  <c r="S54" i="12"/>
  <c r="P54" i="12"/>
  <c r="M54" i="12"/>
  <c r="J54" i="12"/>
  <c r="G54" i="12"/>
  <c r="CW51" i="12"/>
  <c r="BE51" i="12"/>
  <c r="CV50" i="12"/>
  <c r="CX50" i="12" s="1"/>
  <c r="H75" i="1" s="1"/>
  <c r="CU50" i="12"/>
  <c r="CT50" i="12"/>
  <c r="BD50" i="12"/>
  <c r="BC50" i="12"/>
  <c r="CZ50" i="12" s="1"/>
  <c r="BB50" i="12"/>
  <c r="CV49" i="12"/>
  <c r="CU49" i="12"/>
  <c r="CT49" i="12"/>
  <c r="BD49" i="12"/>
  <c r="BC49" i="12"/>
  <c r="BF49" i="12" s="1"/>
  <c r="F74" i="1" s="1"/>
  <c r="BB49" i="12"/>
  <c r="CV48" i="12"/>
  <c r="CT48" i="12"/>
  <c r="CF48" i="12"/>
  <c r="BZ48" i="12"/>
  <c r="BW48" i="12"/>
  <c r="BT48" i="12"/>
  <c r="BQ48" i="12"/>
  <c r="BN48" i="12"/>
  <c r="BH48" i="12"/>
  <c r="BD48" i="12"/>
  <c r="DA48" i="12" s="1"/>
  <c r="BB48" i="12"/>
  <c r="AT48" i="12"/>
  <c r="AN48" i="12"/>
  <c r="AK48" i="12"/>
  <c r="AH48" i="12"/>
  <c r="AE48" i="12"/>
  <c r="AB48" i="12"/>
  <c r="Y48" i="12"/>
  <c r="V48" i="12"/>
  <c r="S48" i="12"/>
  <c r="M48" i="12"/>
  <c r="J48" i="12"/>
  <c r="G48" i="12"/>
  <c r="CV47" i="12"/>
  <c r="CT47" i="12"/>
  <c r="CY47" i="12" s="1"/>
  <c r="CF47" i="12"/>
  <c r="BZ47" i="12"/>
  <c r="BW47" i="12"/>
  <c r="BT47" i="12"/>
  <c r="BQ47" i="12"/>
  <c r="BN47" i="12"/>
  <c r="BH47" i="12"/>
  <c r="BD47" i="12"/>
  <c r="DA47" i="12" s="1"/>
  <c r="BB47" i="12"/>
  <c r="AT47" i="12"/>
  <c r="AN47" i="12"/>
  <c r="AK47" i="12"/>
  <c r="AH47" i="12"/>
  <c r="AE47" i="12"/>
  <c r="AB47" i="12"/>
  <c r="Y47" i="12"/>
  <c r="V47" i="12"/>
  <c r="S47" i="12"/>
  <c r="M47" i="12"/>
  <c r="J47" i="12"/>
  <c r="G47" i="12"/>
  <c r="CV46" i="12"/>
  <c r="CT46" i="12"/>
  <c r="CY46" i="12" s="1"/>
  <c r="CF46" i="12"/>
  <c r="BZ46" i="12"/>
  <c r="BW46" i="12"/>
  <c r="BT46" i="12"/>
  <c r="BQ46" i="12"/>
  <c r="BN46" i="12"/>
  <c r="BH46" i="12"/>
  <c r="BD46" i="12"/>
  <c r="DA46" i="12" s="1"/>
  <c r="BB46" i="12"/>
  <c r="AT46" i="12"/>
  <c r="AN46" i="12"/>
  <c r="AK46" i="12"/>
  <c r="AE46" i="12"/>
  <c r="AB46" i="12"/>
  <c r="Y46" i="12"/>
  <c r="V46" i="12"/>
  <c r="S46" i="12"/>
  <c r="M46" i="12"/>
  <c r="J46" i="12"/>
  <c r="G46" i="12"/>
  <c r="BC46" i="12" s="1"/>
  <c r="CV45" i="12"/>
  <c r="CT45" i="12"/>
  <c r="CF45" i="12"/>
  <c r="BZ45" i="12"/>
  <c r="BW45" i="12"/>
  <c r="BT45" i="12"/>
  <c r="BQ45" i="12"/>
  <c r="BN45" i="12"/>
  <c r="BK45" i="12"/>
  <c r="BH45" i="12"/>
  <c r="BD45" i="12"/>
  <c r="DA45" i="12" s="1"/>
  <c r="BB45" i="12"/>
  <c r="CY45" i="12" s="1"/>
  <c r="AZ45" i="12"/>
  <c r="AW45" i="12"/>
  <c r="AT45" i="12"/>
  <c r="AN45" i="12"/>
  <c r="AK45" i="12"/>
  <c r="AH45" i="12"/>
  <c r="AE45" i="12"/>
  <c r="AB45" i="12"/>
  <c r="Y45" i="12"/>
  <c r="V45" i="12"/>
  <c r="S45" i="12"/>
  <c r="P45" i="12"/>
  <c r="M45" i="12"/>
  <c r="J45" i="12"/>
  <c r="G45" i="12"/>
  <c r="CV44" i="12"/>
  <c r="CT44" i="12"/>
  <c r="CF44" i="12"/>
  <c r="BZ44" i="12"/>
  <c r="BW44" i="12"/>
  <c r="BT44" i="12"/>
  <c r="BQ44" i="12"/>
  <c r="BN44" i="12"/>
  <c r="BH44" i="12"/>
  <c r="CU44" i="12" s="1"/>
  <c r="CX44" i="12" s="1"/>
  <c r="H69" i="1" s="1"/>
  <c r="BD44" i="12"/>
  <c r="BB44" i="12"/>
  <c r="CY44" i="12" s="1"/>
  <c r="AT44" i="12"/>
  <c r="AN44" i="12"/>
  <c r="AK44" i="12"/>
  <c r="AE44" i="12"/>
  <c r="AB44" i="12"/>
  <c r="Y44" i="12"/>
  <c r="V44" i="12"/>
  <c r="S44" i="12"/>
  <c r="M44" i="12"/>
  <c r="J44" i="12"/>
  <c r="G44" i="12"/>
  <c r="CV43" i="12"/>
  <c r="CT43" i="12"/>
  <c r="CF43" i="12"/>
  <c r="BZ43" i="12"/>
  <c r="BW43" i="12"/>
  <c r="BT43" i="12"/>
  <c r="BQ43" i="12"/>
  <c r="BN43" i="12"/>
  <c r="BK43" i="12"/>
  <c r="BH43" i="12"/>
  <c r="BD43" i="12"/>
  <c r="DA43" i="12" s="1"/>
  <c r="BB43" i="12"/>
  <c r="CY43" i="12" s="1"/>
  <c r="AZ43" i="12"/>
  <c r="AW43" i="12"/>
  <c r="AT43" i="12"/>
  <c r="AN43" i="12"/>
  <c r="AK43" i="12"/>
  <c r="AH43" i="12"/>
  <c r="AE43" i="12"/>
  <c r="AB43" i="12"/>
  <c r="Y43" i="12"/>
  <c r="V43" i="12"/>
  <c r="S43" i="12"/>
  <c r="P43" i="12"/>
  <c r="M43" i="12"/>
  <c r="J43" i="12"/>
  <c r="G43" i="12"/>
  <c r="BC43" i="12" s="1"/>
  <c r="CV42" i="12"/>
  <c r="CT42" i="12"/>
  <c r="CF42" i="12"/>
  <c r="BZ42" i="12"/>
  <c r="BW42" i="12"/>
  <c r="BT42" i="12"/>
  <c r="BQ42" i="12"/>
  <c r="BN42" i="12"/>
  <c r="BK42" i="12"/>
  <c r="BH42" i="12"/>
  <c r="BD42" i="12"/>
  <c r="DA42" i="12" s="1"/>
  <c r="BB42" i="12"/>
  <c r="CY42" i="12" s="1"/>
  <c r="AZ42" i="12"/>
  <c r="AW42" i="12"/>
  <c r="AT42" i="12"/>
  <c r="AN42" i="12"/>
  <c r="AK42" i="12"/>
  <c r="AH42" i="12"/>
  <c r="AE42" i="12"/>
  <c r="AB42" i="12"/>
  <c r="Y42" i="12"/>
  <c r="V42" i="12"/>
  <c r="S42" i="12"/>
  <c r="P42" i="12"/>
  <c r="M42" i="12"/>
  <c r="J42" i="12"/>
  <c r="G42" i="12"/>
  <c r="CV41" i="12"/>
  <c r="CT41" i="12"/>
  <c r="CY41" i="12" s="1"/>
  <c r="CR41" i="12"/>
  <c r="CO41" i="12"/>
  <c r="CL41" i="12"/>
  <c r="CI41" i="12"/>
  <c r="CF41" i="12"/>
  <c r="CC41" i="12"/>
  <c r="BZ41" i="12"/>
  <c r="BW41" i="12"/>
  <c r="BT41" i="12"/>
  <c r="BQ41" i="12"/>
  <c r="BN41" i="12"/>
  <c r="BK41" i="12"/>
  <c r="BH41" i="12"/>
  <c r="BD41" i="12"/>
  <c r="DA41" i="12" s="1"/>
  <c r="BB41" i="12"/>
  <c r="AZ41" i="12"/>
  <c r="AW41" i="12"/>
  <c r="AT41" i="12"/>
  <c r="AQ41" i="12"/>
  <c r="AN41" i="12"/>
  <c r="AK41" i="12"/>
  <c r="AH41" i="12"/>
  <c r="AE41" i="12"/>
  <c r="AB41" i="12"/>
  <c r="Y41" i="12"/>
  <c r="V41" i="12"/>
  <c r="S41" i="12"/>
  <c r="P41" i="12"/>
  <c r="M41" i="12"/>
  <c r="J41" i="12"/>
  <c r="BC41" i="12" s="1"/>
  <c r="G41" i="12"/>
  <c r="CV40" i="12"/>
  <c r="DA40" i="12" s="1"/>
  <c r="CT40" i="12"/>
  <c r="CR40" i="12"/>
  <c r="CO40" i="12"/>
  <c r="CL40" i="12"/>
  <c r="CI40" i="12"/>
  <c r="CF40" i="12"/>
  <c r="CC40" i="12"/>
  <c r="BZ40" i="12"/>
  <c r="BW40" i="12"/>
  <c r="BT40" i="12"/>
  <c r="BQ40" i="12"/>
  <c r="BN40" i="12"/>
  <c r="BK40" i="12"/>
  <c r="BH40" i="12"/>
  <c r="BD40" i="12"/>
  <c r="BB40" i="12"/>
  <c r="AZ40" i="12"/>
  <c r="AW40" i="12"/>
  <c r="AT40" i="12"/>
  <c r="AQ40" i="12"/>
  <c r="AN40" i="12"/>
  <c r="AK40" i="12"/>
  <c r="AH40" i="12"/>
  <c r="AE40" i="12"/>
  <c r="AB40" i="12"/>
  <c r="Y40" i="12"/>
  <c r="V40" i="12"/>
  <c r="S40" i="12"/>
  <c r="P40" i="12"/>
  <c r="M40" i="12"/>
  <c r="J40" i="12"/>
  <c r="G40" i="12"/>
  <c r="CV39" i="12"/>
  <c r="CT39" i="12"/>
  <c r="CY39" i="12" s="1"/>
  <c r="CR39" i="12"/>
  <c r="CO39" i="12"/>
  <c r="CL39" i="12"/>
  <c r="CI39" i="12"/>
  <c r="CF39" i="12"/>
  <c r="CC39" i="12"/>
  <c r="BZ39" i="12"/>
  <c r="BW39" i="12"/>
  <c r="BT39" i="12"/>
  <c r="BQ39" i="12"/>
  <c r="BN39" i="12"/>
  <c r="BK39" i="12"/>
  <c r="BH39" i="12"/>
  <c r="BD39" i="12"/>
  <c r="BB39" i="12"/>
  <c r="AZ39" i="12"/>
  <c r="AW39" i="12"/>
  <c r="AT39" i="12"/>
  <c r="AQ39" i="12"/>
  <c r="AN39" i="12"/>
  <c r="AK39" i="12"/>
  <c r="AH39" i="12"/>
  <c r="AE39" i="12"/>
  <c r="AB39" i="12"/>
  <c r="Y39" i="12"/>
  <c r="V39" i="12"/>
  <c r="S39" i="12"/>
  <c r="P39" i="12"/>
  <c r="M39" i="12"/>
  <c r="J39" i="12"/>
  <c r="G39" i="12"/>
  <c r="CV38" i="12"/>
  <c r="CT38" i="12"/>
  <c r="CR38" i="12"/>
  <c r="CO38" i="12"/>
  <c r="CL38" i="12"/>
  <c r="CI38" i="12"/>
  <c r="CF38" i="12"/>
  <c r="CC38" i="12"/>
  <c r="BZ38" i="12"/>
  <c r="BW38" i="12"/>
  <c r="BT38" i="12"/>
  <c r="BQ38" i="12"/>
  <c r="BN38" i="12"/>
  <c r="BK38" i="12"/>
  <c r="BH38" i="12"/>
  <c r="BB38" i="12"/>
  <c r="CY38" i="12" s="1"/>
  <c r="AZ38" i="12"/>
  <c r="AW38" i="12"/>
  <c r="AT38" i="12"/>
  <c r="AQ38" i="12"/>
  <c r="AN38" i="12"/>
  <c r="AK38" i="12"/>
  <c r="AH38" i="12"/>
  <c r="AE38" i="12"/>
  <c r="AB38" i="12"/>
  <c r="Y38" i="12"/>
  <c r="V38" i="12"/>
  <c r="S38" i="12"/>
  <c r="P38" i="12"/>
  <c r="M38" i="12"/>
  <c r="J38" i="12"/>
  <c r="K38" i="12" s="1"/>
  <c r="BD38" i="12" s="1"/>
  <c r="DA38" i="12" s="1"/>
  <c r="G38" i="12"/>
  <c r="CV37" i="12"/>
  <c r="CT37" i="12"/>
  <c r="CR37" i="12"/>
  <c r="CO37" i="12"/>
  <c r="CL37" i="12"/>
  <c r="CI37" i="12"/>
  <c r="CF37" i="12"/>
  <c r="CC37" i="12"/>
  <c r="BZ37" i="12"/>
  <c r="BW37" i="12"/>
  <c r="BT37" i="12"/>
  <c r="BQ37" i="12"/>
  <c r="BN37" i="12"/>
  <c r="BK37" i="12"/>
  <c r="BH37" i="12"/>
  <c r="BB37" i="12"/>
  <c r="CY37" i="12" s="1"/>
  <c r="AZ37" i="12"/>
  <c r="AW37" i="12"/>
  <c r="AT37" i="12"/>
  <c r="AQ37" i="12"/>
  <c r="AN37" i="12"/>
  <c r="AK37" i="12"/>
  <c r="AH37" i="12"/>
  <c r="AE37" i="12"/>
  <c r="AB37" i="12"/>
  <c r="Y37" i="12"/>
  <c r="V37" i="12"/>
  <c r="S37" i="12"/>
  <c r="P37" i="12"/>
  <c r="M37" i="12"/>
  <c r="J37" i="12"/>
  <c r="BC37" i="12" s="1"/>
  <c r="G37" i="12"/>
  <c r="CV36" i="12"/>
  <c r="CT36" i="12"/>
  <c r="CR36" i="12"/>
  <c r="CO36" i="12"/>
  <c r="CL36" i="12"/>
  <c r="CI36" i="12"/>
  <c r="CF36" i="12"/>
  <c r="CC36" i="12"/>
  <c r="BZ36" i="12"/>
  <c r="BW36" i="12"/>
  <c r="BT36" i="12"/>
  <c r="BQ36" i="12"/>
  <c r="BN36" i="12"/>
  <c r="BK36" i="12"/>
  <c r="BH36" i="12"/>
  <c r="CU36" i="12" s="1"/>
  <c r="CX36" i="12" s="1"/>
  <c r="H41" i="1" s="1"/>
  <c r="BB36" i="12"/>
  <c r="AZ36" i="12"/>
  <c r="AW36" i="12"/>
  <c r="AT36" i="12"/>
  <c r="AQ36" i="12"/>
  <c r="AN36" i="12"/>
  <c r="AK36" i="12"/>
  <c r="AH36" i="12"/>
  <c r="AE36" i="12"/>
  <c r="AB36" i="12"/>
  <c r="Y36" i="12"/>
  <c r="V36" i="12"/>
  <c r="S36" i="12"/>
  <c r="P36" i="12"/>
  <c r="M36" i="12"/>
  <c r="K36" i="12"/>
  <c r="BD36" i="12" s="1"/>
  <c r="DA36" i="12" s="1"/>
  <c r="J36" i="12"/>
  <c r="G36" i="12"/>
  <c r="CV35" i="12"/>
  <c r="CT35" i="12"/>
  <c r="CR35" i="12"/>
  <c r="CO35" i="12"/>
  <c r="CL35" i="12"/>
  <c r="CI35" i="12"/>
  <c r="CF35" i="12"/>
  <c r="CC35" i="12"/>
  <c r="BZ35" i="12"/>
  <c r="BW35" i="12"/>
  <c r="BT35" i="12"/>
  <c r="BQ35" i="12"/>
  <c r="BN35" i="12"/>
  <c r="BK35" i="12"/>
  <c r="BH35" i="12"/>
  <c r="BD35" i="12"/>
  <c r="DA35" i="12" s="1"/>
  <c r="BB35" i="12"/>
  <c r="AZ35" i="12"/>
  <c r="AW35" i="12"/>
  <c r="AT35" i="12"/>
  <c r="AQ35" i="12"/>
  <c r="AN35" i="12"/>
  <c r="AK35" i="12"/>
  <c r="AH35" i="12"/>
  <c r="AE35" i="12"/>
  <c r="AB35" i="12"/>
  <c r="Y35" i="12"/>
  <c r="V35" i="12"/>
  <c r="S35" i="12"/>
  <c r="P35" i="12"/>
  <c r="M35" i="12"/>
  <c r="J35" i="12"/>
  <c r="G35" i="12"/>
  <c r="CV34" i="12"/>
  <c r="CT34" i="12"/>
  <c r="CR34" i="12"/>
  <c r="CO34" i="12"/>
  <c r="CL34" i="12"/>
  <c r="CI34" i="12"/>
  <c r="CF34" i="12"/>
  <c r="CC34" i="12"/>
  <c r="BZ34" i="12"/>
  <c r="BW34" i="12"/>
  <c r="BT34" i="12"/>
  <c r="BQ34" i="12"/>
  <c r="BN34" i="12"/>
  <c r="BK34" i="12"/>
  <c r="BH34" i="12"/>
  <c r="BB34" i="12"/>
  <c r="CY34" i="12" s="1"/>
  <c r="AZ34" i="12"/>
  <c r="AW34" i="12"/>
  <c r="AT34" i="12"/>
  <c r="AQ34" i="12"/>
  <c r="AN34" i="12"/>
  <c r="AK34" i="12"/>
  <c r="AH34" i="12"/>
  <c r="AE34" i="12"/>
  <c r="AB34" i="12"/>
  <c r="Y34" i="12"/>
  <c r="V34" i="12"/>
  <c r="S34" i="12"/>
  <c r="P34" i="12"/>
  <c r="M34" i="12"/>
  <c r="J34" i="12"/>
  <c r="G34" i="12"/>
  <c r="CY33" i="12"/>
  <c r="CV33" i="12"/>
  <c r="CT33" i="12"/>
  <c r="CR33" i="12"/>
  <c r="CO33" i="12"/>
  <c r="CL33" i="12"/>
  <c r="CI33" i="12"/>
  <c r="CF33" i="12"/>
  <c r="CC33" i="12"/>
  <c r="BZ33" i="12"/>
  <c r="BW33" i="12"/>
  <c r="BT33" i="12"/>
  <c r="BQ33" i="12"/>
  <c r="BN33" i="12"/>
  <c r="BK33" i="12"/>
  <c r="BH33" i="12"/>
  <c r="BD33" i="12"/>
  <c r="BB33" i="12"/>
  <c r="AZ33" i="12"/>
  <c r="AW33" i="12"/>
  <c r="AT33" i="12"/>
  <c r="AQ33" i="12"/>
  <c r="AN33" i="12"/>
  <c r="AK33" i="12"/>
  <c r="AH33" i="12"/>
  <c r="AE33" i="12"/>
  <c r="AB33" i="12"/>
  <c r="Y33" i="12"/>
  <c r="V33" i="12"/>
  <c r="S33" i="12"/>
  <c r="P33" i="12"/>
  <c r="M33" i="12"/>
  <c r="J33" i="12"/>
  <c r="BC33" i="12" s="1"/>
  <c r="G33" i="12"/>
  <c r="CV32" i="12"/>
  <c r="DA32" i="12" s="1"/>
  <c r="CT32" i="12"/>
  <c r="CR32" i="12"/>
  <c r="CO32" i="12"/>
  <c r="CL32" i="12"/>
  <c r="CI32" i="12"/>
  <c r="CF32" i="12"/>
  <c r="CC32" i="12"/>
  <c r="BZ32" i="12"/>
  <c r="BW32" i="12"/>
  <c r="BT32" i="12"/>
  <c r="BQ32" i="12"/>
  <c r="BN32" i="12"/>
  <c r="BK32" i="12"/>
  <c r="BH32" i="12"/>
  <c r="BD32" i="12"/>
  <c r="BB32" i="12"/>
  <c r="CY32" i="12" s="1"/>
  <c r="AZ32" i="12"/>
  <c r="AW32" i="12"/>
  <c r="AT32" i="12"/>
  <c r="AQ32" i="12"/>
  <c r="AN32" i="12"/>
  <c r="AK32" i="12"/>
  <c r="AH32" i="12"/>
  <c r="AE32" i="12"/>
  <c r="AB32" i="12"/>
  <c r="Y32" i="12"/>
  <c r="V32" i="12"/>
  <c r="S32" i="12"/>
  <c r="P32" i="12"/>
  <c r="M32" i="12"/>
  <c r="J32" i="12"/>
  <c r="G32" i="12"/>
  <c r="CV31" i="12"/>
  <c r="CT31" i="12"/>
  <c r="CR31" i="12"/>
  <c r="CO31" i="12"/>
  <c r="CL31" i="12"/>
  <c r="CI31" i="12"/>
  <c r="CF31" i="12"/>
  <c r="CC31" i="12"/>
  <c r="BZ31" i="12"/>
  <c r="BW31" i="12"/>
  <c r="BT31" i="12"/>
  <c r="BQ31" i="12"/>
  <c r="BN31" i="12"/>
  <c r="BK31" i="12"/>
  <c r="BH31" i="12"/>
  <c r="CU31" i="12" s="1"/>
  <c r="CX31" i="12" s="1"/>
  <c r="H36" i="1" s="1"/>
  <c r="BD31" i="12"/>
  <c r="DA31" i="12" s="1"/>
  <c r="BB31" i="12"/>
  <c r="AZ31" i="12"/>
  <c r="AW31" i="12"/>
  <c r="AT31" i="12"/>
  <c r="AQ31" i="12"/>
  <c r="AN31" i="12"/>
  <c r="AK31" i="12"/>
  <c r="AH31" i="12"/>
  <c r="AE31" i="12"/>
  <c r="AB31" i="12"/>
  <c r="Y31" i="12"/>
  <c r="V31" i="12"/>
  <c r="S31" i="12"/>
  <c r="P31" i="12"/>
  <c r="M31" i="12"/>
  <c r="J31" i="12"/>
  <c r="G31" i="12"/>
  <c r="CV30" i="12"/>
  <c r="CT30" i="12"/>
  <c r="CY30" i="12" s="1"/>
  <c r="CR30" i="12"/>
  <c r="CO30" i="12"/>
  <c r="CL30" i="12"/>
  <c r="CI30" i="12"/>
  <c r="CF30" i="12"/>
  <c r="CC30" i="12"/>
  <c r="BZ30" i="12"/>
  <c r="BW30" i="12"/>
  <c r="BT30" i="12"/>
  <c r="BQ30" i="12"/>
  <c r="BN30" i="12"/>
  <c r="BK30" i="12"/>
  <c r="CU30" i="12" s="1"/>
  <c r="CX30" i="12" s="1"/>
  <c r="H35" i="1" s="1"/>
  <c r="BH30" i="12"/>
  <c r="BD30" i="12"/>
  <c r="BB30" i="12"/>
  <c r="AZ30" i="12"/>
  <c r="AW30" i="12"/>
  <c r="AT30" i="12"/>
  <c r="AQ30" i="12"/>
  <c r="AN30" i="12"/>
  <c r="AK30" i="12"/>
  <c r="AH30" i="12"/>
  <c r="AE30" i="12"/>
  <c r="AB30" i="12"/>
  <c r="Y30" i="12"/>
  <c r="V30" i="12"/>
  <c r="S30" i="12"/>
  <c r="P30" i="12"/>
  <c r="M30" i="12"/>
  <c r="J30" i="12"/>
  <c r="G30" i="12"/>
  <c r="CY29" i="12"/>
  <c r="CV29" i="12"/>
  <c r="CT29" i="12"/>
  <c r="CR29" i="12"/>
  <c r="CO29" i="12"/>
  <c r="CL29" i="12"/>
  <c r="CI29" i="12"/>
  <c r="CF29" i="12"/>
  <c r="CC29" i="12"/>
  <c r="BZ29" i="12"/>
  <c r="BW29" i="12"/>
  <c r="BT29" i="12"/>
  <c r="BQ29" i="12"/>
  <c r="BN29" i="12"/>
  <c r="BK29" i="12"/>
  <c r="BH29" i="12"/>
  <c r="BD29" i="12"/>
  <c r="BB29" i="12"/>
  <c r="AZ29" i="12"/>
  <c r="AW29" i="12"/>
  <c r="AT29" i="12"/>
  <c r="AQ29" i="12"/>
  <c r="AN29" i="12"/>
  <c r="AK29" i="12"/>
  <c r="AH29" i="12"/>
  <c r="AE29" i="12"/>
  <c r="AB29" i="12"/>
  <c r="Y29" i="12"/>
  <c r="V29" i="12"/>
  <c r="S29" i="12"/>
  <c r="P29" i="12"/>
  <c r="M29" i="12"/>
  <c r="J29" i="12"/>
  <c r="BC29" i="12" s="1"/>
  <c r="G29" i="12"/>
  <c r="CV28" i="12"/>
  <c r="CT28" i="12"/>
  <c r="CY28" i="12" s="1"/>
  <c r="CR28" i="12"/>
  <c r="CO28" i="12"/>
  <c r="CL28" i="12"/>
  <c r="CI28" i="12"/>
  <c r="CF28" i="12"/>
  <c r="CC28" i="12"/>
  <c r="BZ28" i="12"/>
  <c r="BW28" i="12"/>
  <c r="BT28" i="12"/>
  <c r="BQ28" i="12"/>
  <c r="BN28" i="12"/>
  <c r="BK28" i="12"/>
  <c r="CU28" i="12" s="1"/>
  <c r="CX28" i="12" s="1"/>
  <c r="H33" i="1" s="1"/>
  <c r="BH28" i="12"/>
  <c r="BD28" i="12"/>
  <c r="DA28" i="12" s="1"/>
  <c r="BB28" i="12"/>
  <c r="AZ28" i="12"/>
  <c r="AW28" i="12"/>
  <c r="AT28" i="12"/>
  <c r="AQ28" i="12"/>
  <c r="AN28" i="12"/>
  <c r="AK28" i="12"/>
  <c r="AH28" i="12"/>
  <c r="AE28" i="12"/>
  <c r="AB28" i="12"/>
  <c r="Y28" i="12"/>
  <c r="V28" i="12"/>
  <c r="S28" i="12"/>
  <c r="P28" i="12"/>
  <c r="M28" i="12"/>
  <c r="J28" i="12"/>
  <c r="G28" i="12"/>
  <c r="CV27" i="12"/>
  <c r="CT27" i="12"/>
  <c r="CR27" i="12"/>
  <c r="CO27" i="12"/>
  <c r="CL27" i="12"/>
  <c r="CI27" i="12"/>
  <c r="CF27" i="12"/>
  <c r="CC27" i="12"/>
  <c r="BZ27" i="12"/>
  <c r="BW27" i="12"/>
  <c r="BT27" i="12"/>
  <c r="BQ27" i="12"/>
  <c r="BN27" i="12"/>
  <c r="BK27" i="12"/>
  <c r="BH27" i="12"/>
  <c r="BD27" i="12"/>
  <c r="DA27" i="12" s="1"/>
  <c r="BB27" i="12"/>
  <c r="AZ27" i="12"/>
  <c r="AW27" i="12"/>
  <c r="AT27" i="12"/>
  <c r="AQ27" i="12"/>
  <c r="AN27" i="12"/>
  <c r="AK27" i="12"/>
  <c r="AH27" i="12"/>
  <c r="AE27" i="12"/>
  <c r="AB27" i="12"/>
  <c r="Y27" i="12"/>
  <c r="V27" i="12"/>
  <c r="S27" i="12"/>
  <c r="P27" i="12"/>
  <c r="M27" i="12"/>
  <c r="J27" i="12"/>
  <c r="G27" i="12"/>
  <c r="CV26" i="12"/>
  <c r="CT26" i="12"/>
  <c r="CR26" i="12"/>
  <c r="CO26" i="12"/>
  <c r="CL26" i="12"/>
  <c r="CI26" i="12"/>
  <c r="CF26" i="12"/>
  <c r="CC26" i="12"/>
  <c r="BZ26" i="12"/>
  <c r="BW26" i="12"/>
  <c r="BT26" i="12"/>
  <c r="BQ26" i="12"/>
  <c r="BN26" i="12"/>
  <c r="BK26" i="12"/>
  <c r="BH26" i="12"/>
  <c r="BB26" i="12"/>
  <c r="AZ26" i="12"/>
  <c r="AW26" i="12"/>
  <c r="AT26" i="12"/>
  <c r="AQ26" i="12"/>
  <c r="AN26" i="12"/>
  <c r="AK26" i="12"/>
  <c r="AH26" i="12"/>
  <c r="AE26" i="12"/>
  <c r="AB26" i="12"/>
  <c r="Y26" i="12"/>
  <c r="V26" i="12"/>
  <c r="S26" i="12"/>
  <c r="P26" i="12"/>
  <c r="M26" i="12"/>
  <c r="K26" i="12"/>
  <c r="BD26" i="12" s="1"/>
  <c r="DA26" i="12" s="1"/>
  <c r="J26" i="12"/>
  <c r="G26" i="12"/>
  <c r="CV25" i="12"/>
  <c r="CT25" i="12"/>
  <c r="CR25" i="12"/>
  <c r="CO25" i="12"/>
  <c r="CL25" i="12"/>
  <c r="CI25" i="12"/>
  <c r="CF25" i="12"/>
  <c r="CC25" i="12"/>
  <c r="BZ25" i="12"/>
  <c r="BW25" i="12"/>
  <c r="BT25" i="12"/>
  <c r="BQ25" i="12"/>
  <c r="BN25" i="12"/>
  <c r="BK25" i="12"/>
  <c r="BH25" i="12"/>
  <c r="BD25" i="12"/>
  <c r="DA25" i="12" s="1"/>
  <c r="BB25" i="12"/>
  <c r="AZ25" i="12"/>
  <c r="AW25" i="12"/>
  <c r="AT25" i="12"/>
  <c r="AQ25" i="12"/>
  <c r="AN25" i="12"/>
  <c r="AK25" i="12"/>
  <c r="AH25" i="12"/>
  <c r="AE25" i="12"/>
  <c r="AB25" i="12"/>
  <c r="Y25" i="12"/>
  <c r="V25" i="12"/>
  <c r="S25" i="12"/>
  <c r="P25" i="12"/>
  <c r="M25" i="12"/>
  <c r="J25" i="12"/>
  <c r="G25" i="12"/>
  <c r="CV24" i="12"/>
  <c r="CT24" i="12"/>
  <c r="CR24" i="12"/>
  <c r="CO24" i="12"/>
  <c r="CL24" i="12"/>
  <c r="CI24" i="12"/>
  <c r="CF24" i="12"/>
  <c r="CC24" i="12"/>
  <c r="BZ24" i="12"/>
  <c r="BW24" i="12"/>
  <c r="BT24" i="12"/>
  <c r="BQ24" i="12"/>
  <c r="BN24" i="12"/>
  <c r="BK24" i="12"/>
  <c r="BH24" i="12"/>
  <c r="BD24" i="12"/>
  <c r="BB24" i="12"/>
  <c r="CY24" i="12" s="1"/>
  <c r="AZ24" i="12"/>
  <c r="AW24" i="12"/>
  <c r="AT24" i="12"/>
  <c r="AQ24" i="12"/>
  <c r="AN24" i="12"/>
  <c r="AK24" i="12"/>
  <c r="AH24" i="12"/>
  <c r="AE24" i="12"/>
  <c r="AB24" i="12"/>
  <c r="Y24" i="12"/>
  <c r="V24" i="12"/>
  <c r="S24" i="12"/>
  <c r="P24" i="12"/>
  <c r="M24" i="12"/>
  <c r="J24" i="12"/>
  <c r="G24" i="12"/>
  <c r="BC24" i="12" s="1"/>
  <c r="CV23" i="12"/>
  <c r="CT23" i="12"/>
  <c r="CR23" i="12"/>
  <c r="CO23" i="12"/>
  <c r="CL23" i="12"/>
  <c r="CI23" i="12"/>
  <c r="CF23" i="12"/>
  <c r="CC23" i="12"/>
  <c r="BZ23" i="12"/>
  <c r="BW23" i="12"/>
  <c r="BT23" i="12"/>
  <c r="BQ23" i="12"/>
  <c r="BN23" i="12"/>
  <c r="BK23" i="12"/>
  <c r="BH23" i="12"/>
  <c r="BD23" i="12"/>
  <c r="DA23" i="12" s="1"/>
  <c r="BB23" i="12"/>
  <c r="AZ23" i="12"/>
  <c r="AW23" i="12"/>
  <c r="AT23" i="12"/>
  <c r="AQ23" i="12"/>
  <c r="AN23" i="12"/>
  <c r="AK23" i="12"/>
  <c r="AH23" i="12"/>
  <c r="AE23" i="12"/>
  <c r="AB23" i="12"/>
  <c r="Y23" i="12"/>
  <c r="V23" i="12"/>
  <c r="S23" i="12"/>
  <c r="P23" i="12"/>
  <c r="M23" i="12"/>
  <c r="J23" i="12"/>
  <c r="G23" i="12"/>
  <c r="CV22" i="12"/>
  <c r="CT22" i="12"/>
  <c r="CR22" i="12"/>
  <c r="CO22" i="12"/>
  <c r="CL22" i="12"/>
  <c r="CI22" i="12"/>
  <c r="CF22" i="12"/>
  <c r="CC22" i="12"/>
  <c r="BZ22" i="12"/>
  <c r="BW22" i="12"/>
  <c r="BT22" i="12"/>
  <c r="BQ22" i="12"/>
  <c r="BN22" i="12"/>
  <c r="BK22" i="12"/>
  <c r="BH22" i="12"/>
  <c r="CU22" i="12" s="1"/>
  <c r="CX22" i="12" s="1"/>
  <c r="H27" i="1" s="1"/>
  <c r="BD22" i="12"/>
  <c r="BB22" i="12"/>
  <c r="CY22" i="12" s="1"/>
  <c r="AZ22" i="12"/>
  <c r="AW22" i="12"/>
  <c r="AT22" i="12"/>
  <c r="AQ22" i="12"/>
  <c r="AN22" i="12"/>
  <c r="AK22" i="12"/>
  <c r="AH22" i="12"/>
  <c r="AE22" i="12"/>
  <c r="AB22" i="12"/>
  <c r="Y22" i="12"/>
  <c r="V22" i="12"/>
  <c r="S22" i="12"/>
  <c r="P22" i="12"/>
  <c r="M22" i="12"/>
  <c r="J22" i="12"/>
  <c r="G22" i="12"/>
  <c r="CV21" i="12"/>
  <c r="CT21" i="12"/>
  <c r="CR21" i="12"/>
  <c r="CO21" i="12"/>
  <c r="CL21" i="12"/>
  <c r="CI21" i="12"/>
  <c r="CF21" i="12"/>
  <c r="CC21" i="12"/>
  <c r="BZ21" i="12"/>
  <c r="BW21" i="12"/>
  <c r="BT21" i="12"/>
  <c r="BQ21" i="12"/>
  <c r="BN21" i="12"/>
  <c r="BK21" i="12"/>
  <c r="BH21" i="12"/>
  <c r="BD21" i="12"/>
  <c r="DA21" i="12" s="1"/>
  <c r="BB21" i="12"/>
  <c r="AZ21" i="12"/>
  <c r="AW21" i="12"/>
  <c r="AT21" i="12"/>
  <c r="AQ21" i="12"/>
  <c r="AN21" i="12"/>
  <c r="AK21" i="12"/>
  <c r="AH21" i="12"/>
  <c r="AE21" i="12"/>
  <c r="AB21" i="12"/>
  <c r="Y21" i="12"/>
  <c r="V21" i="12"/>
  <c r="S21" i="12"/>
  <c r="P21" i="12"/>
  <c r="M21" i="12"/>
  <c r="J21" i="12"/>
  <c r="G21" i="12"/>
  <c r="CV20" i="12"/>
  <c r="CT20" i="12"/>
  <c r="CR20" i="12"/>
  <c r="CO20" i="12"/>
  <c r="CL20" i="12"/>
  <c r="CI20" i="12"/>
  <c r="CF20" i="12"/>
  <c r="CC20" i="12"/>
  <c r="BZ20" i="12"/>
  <c r="BW20" i="12"/>
  <c r="BT20" i="12"/>
  <c r="BQ20" i="12"/>
  <c r="BN20" i="12"/>
  <c r="BK20" i="12"/>
  <c r="BH20" i="12"/>
  <c r="BD20" i="12"/>
  <c r="BB20" i="12"/>
  <c r="CY20" i="12" s="1"/>
  <c r="AZ20" i="12"/>
  <c r="AW20" i="12"/>
  <c r="AT20" i="12"/>
  <c r="AQ20" i="12"/>
  <c r="AN20" i="12"/>
  <c r="AK20" i="12"/>
  <c r="AH20" i="12"/>
  <c r="AE20" i="12"/>
  <c r="AB20" i="12"/>
  <c r="Y20" i="12"/>
  <c r="V20" i="12"/>
  <c r="S20" i="12"/>
  <c r="P20" i="12"/>
  <c r="M20" i="12"/>
  <c r="J20" i="12"/>
  <c r="G20" i="12"/>
  <c r="BC20" i="12" s="1"/>
  <c r="CV19" i="12"/>
  <c r="CT19" i="12"/>
  <c r="CR19" i="12"/>
  <c r="CO19" i="12"/>
  <c r="CL19" i="12"/>
  <c r="CI19" i="12"/>
  <c r="CF19" i="12"/>
  <c r="CC19" i="12"/>
  <c r="BZ19" i="12"/>
  <c r="BW19" i="12"/>
  <c r="BT19" i="12"/>
  <c r="BQ19" i="12"/>
  <c r="BN19" i="12"/>
  <c r="BK19" i="12"/>
  <c r="BH19" i="12"/>
  <c r="BD19" i="12"/>
  <c r="BB19" i="12"/>
  <c r="AZ19" i="12"/>
  <c r="AW19" i="12"/>
  <c r="AT19" i="12"/>
  <c r="AQ19" i="12"/>
  <c r="AN19" i="12"/>
  <c r="AK19" i="12"/>
  <c r="AH19" i="12"/>
  <c r="AE19" i="12"/>
  <c r="AB19" i="12"/>
  <c r="Y19" i="12"/>
  <c r="V19" i="12"/>
  <c r="S19" i="12"/>
  <c r="P19" i="12"/>
  <c r="M19" i="12"/>
  <c r="J19" i="12"/>
  <c r="G19" i="12"/>
  <c r="CW16" i="12"/>
  <c r="BE16" i="12"/>
  <c r="CV15" i="12"/>
  <c r="CT15" i="12"/>
  <c r="CR15" i="12"/>
  <c r="CO15" i="12"/>
  <c r="CL15" i="12"/>
  <c r="CI15" i="12"/>
  <c r="CF15" i="12"/>
  <c r="CC15" i="12"/>
  <c r="BZ15" i="12"/>
  <c r="BW15" i="12"/>
  <c r="BT15" i="12"/>
  <c r="BQ15" i="12"/>
  <c r="BN15" i="12"/>
  <c r="BK15" i="12"/>
  <c r="BH15" i="12"/>
  <c r="BD15" i="12"/>
  <c r="BB15" i="12"/>
  <c r="CY15" i="12" s="1"/>
  <c r="AZ15" i="12"/>
  <c r="AW15" i="12"/>
  <c r="AT15" i="12"/>
  <c r="AQ15" i="12"/>
  <c r="AN15" i="12"/>
  <c r="AK15" i="12"/>
  <c r="AH15" i="12"/>
  <c r="AE15" i="12"/>
  <c r="AB15" i="12"/>
  <c r="Y15" i="12"/>
  <c r="V15" i="12"/>
  <c r="S15" i="12"/>
  <c r="P15" i="12"/>
  <c r="M15" i="12"/>
  <c r="J15" i="12"/>
  <c r="G15" i="12"/>
  <c r="BC15" i="12" s="1"/>
  <c r="CV14" i="12"/>
  <c r="CT14" i="12"/>
  <c r="CR14" i="12"/>
  <c r="CO14" i="12"/>
  <c r="CL14" i="12"/>
  <c r="CI14" i="12"/>
  <c r="CF14" i="12"/>
  <c r="CC14" i="12"/>
  <c r="BZ14" i="12"/>
  <c r="BW14" i="12"/>
  <c r="BT14" i="12"/>
  <c r="BQ14" i="12"/>
  <c r="BN14" i="12"/>
  <c r="BK14" i="12"/>
  <c r="BH14" i="12"/>
  <c r="BD14" i="12"/>
  <c r="DA14" i="12" s="1"/>
  <c r="BB14" i="12"/>
  <c r="AZ14" i="12"/>
  <c r="AW14" i="12"/>
  <c r="AT14" i="12"/>
  <c r="AQ14" i="12"/>
  <c r="AN14" i="12"/>
  <c r="AK14" i="12"/>
  <c r="AH14" i="12"/>
  <c r="AE14" i="12"/>
  <c r="AB14" i="12"/>
  <c r="Y14" i="12"/>
  <c r="V14" i="12"/>
  <c r="S14" i="12"/>
  <c r="P14" i="12"/>
  <c r="M14" i="12"/>
  <c r="J14" i="12"/>
  <c r="G14" i="12"/>
  <c r="CV13" i="12"/>
  <c r="CT13" i="12"/>
  <c r="CR13" i="12"/>
  <c r="CO13" i="12"/>
  <c r="CL13" i="12"/>
  <c r="CI13" i="12"/>
  <c r="CF13" i="12"/>
  <c r="CC13" i="12"/>
  <c r="BZ13" i="12"/>
  <c r="BW13" i="12"/>
  <c r="BT13" i="12"/>
  <c r="BQ13" i="12"/>
  <c r="BN13" i="12"/>
  <c r="BK13" i="12"/>
  <c r="BH13" i="12"/>
  <c r="CU13" i="12" s="1"/>
  <c r="CX13" i="12" s="1"/>
  <c r="H11" i="1" s="1"/>
  <c r="BB13" i="12"/>
  <c r="CY13" i="12" s="1"/>
  <c r="AZ13" i="12"/>
  <c r="AW13" i="12"/>
  <c r="AT13" i="12"/>
  <c r="AQ13" i="12"/>
  <c r="AN13" i="12"/>
  <c r="AK13" i="12"/>
  <c r="AH13" i="12"/>
  <c r="AE13" i="12"/>
  <c r="AB13" i="12"/>
  <c r="Y13" i="12"/>
  <c r="V13" i="12"/>
  <c r="S13" i="12"/>
  <c r="P13" i="12"/>
  <c r="M13" i="12"/>
  <c r="N13" i="12" s="1"/>
  <c r="J13" i="12"/>
  <c r="K13" i="12" s="1"/>
  <c r="BD13" i="12" s="1"/>
  <c r="DA13" i="12" s="1"/>
  <c r="G13" i="12"/>
  <c r="CV12" i="12"/>
  <c r="CT12" i="12"/>
  <c r="CR12" i="12"/>
  <c r="CO12" i="12"/>
  <c r="CL12" i="12"/>
  <c r="CI12" i="12"/>
  <c r="CF12" i="12"/>
  <c r="CC12" i="12"/>
  <c r="BZ12" i="12"/>
  <c r="BW12" i="12"/>
  <c r="BT12" i="12"/>
  <c r="BQ12" i="12"/>
  <c r="BN12" i="12"/>
  <c r="BK12" i="12"/>
  <c r="BH12" i="12"/>
  <c r="BB12" i="12"/>
  <c r="CY12" i="12" s="1"/>
  <c r="AZ12" i="12"/>
  <c r="AW12" i="12"/>
  <c r="AT12" i="12"/>
  <c r="AU12" i="12" s="1"/>
  <c r="BD12" i="12" s="1"/>
  <c r="AQ12" i="12"/>
  <c r="AN12" i="12"/>
  <c r="AK12" i="12"/>
  <c r="AH12" i="12"/>
  <c r="AE12" i="12"/>
  <c r="AB12" i="12"/>
  <c r="Y12" i="12"/>
  <c r="V12" i="12"/>
  <c r="S12" i="12"/>
  <c r="P12" i="12"/>
  <c r="M12" i="12"/>
  <c r="J12" i="12"/>
  <c r="G12" i="12"/>
  <c r="CV11" i="12"/>
  <c r="DA11" i="12" s="1"/>
  <c r="CT11" i="12"/>
  <c r="CR11" i="12"/>
  <c r="CO11" i="12"/>
  <c r="CL11" i="12"/>
  <c r="CI11" i="12"/>
  <c r="CF11" i="12"/>
  <c r="CC11" i="12"/>
  <c r="BZ11" i="12"/>
  <c r="BW11" i="12"/>
  <c r="BT11" i="12"/>
  <c r="BQ11" i="12"/>
  <c r="BN11" i="12"/>
  <c r="BK11" i="12"/>
  <c r="BH11" i="12"/>
  <c r="BD11" i="12"/>
  <c r="BB11" i="12"/>
  <c r="CY11" i="12" s="1"/>
  <c r="AZ11" i="12"/>
  <c r="AW11" i="12"/>
  <c r="AT11" i="12"/>
  <c r="AQ11" i="12"/>
  <c r="AN11" i="12"/>
  <c r="AK11" i="12"/>
  <c r="AH11" i="12"/>
  <c r="AE11" i="12"/>
  <c r="AB11" i="12"/>
  <c r="Y11" i="12"/>
  <c r="V11" i="12"/>
  <c r="S11" i="12"/>
  <c r="P11" i="12"/>
  <c r="M11" i="12"/>
  <c r="J11" i="12"/>
  <c r="G11" i="12"/>
  <c r="CV10" i="12"/>
  <c r="CT10" i="12"/>
  <c r="CR10" i="12"/>
  <c r="CO10" i="12"/>
  <c r="CL10" i="12"/>
  <c r="CI10" i="12"/>
  <c r="CF10" i="12"/>
  <c r="CC10" i="12"/>
  <c r="BZ10" i="12"/>
  <c r="BW10" i="12"/>
  <c r="BT10" i="12"/>
  <c r="BQ10" i="12"/>
  <c r="BN10" i="12"/>
  <c r="BK10" i="12"/>
  <c r="BH10" i="12"/>
  <c r="BB10" i="12"/>
  <c r="CY10" i="12" s="1"/>
  <c r="AZ10" i="12"/>
  <c r="AW10" i="12"/>
  <c r="AT10" i="12"/>
  <c r="AQ10" i="12"/>
  <c r="AN10" i="12"/>
  <c r="AK10" i="12"/>
  <c r="AH10" i="12"/>
  <c r="AE10" i="12"/>
  <c r="AB10" i="12"/>
  <c r="Y10" i="12"/>
  <c r="V10" i="12"/>
  <c r="S10" i="12"/>
  <c r="P10" i="12"/>
  <c r="M10" i="12"/>
  <c r="N10" i="12" s="1"/>
  <c r="J10" i="12"/>
  <c r="K10" i="12" s="1"/>
  <c r="BD10" i="12" s="1"/>
  <c r="DA10" i="12" s="1"/>
  <c r="G10" i="12"/>
  <c r="CV9" i="12"/>
  <c r="CT9" i="12"/>
  <c r="CR9" i="12"/>
  <c r="CO9" i="12"/>
  <c r="CL9" i="12"/>
  <c r="CI9" i="12"/>
  <c r="CF9" i="12"/>
  <c r="CC9" i="12"/>
  <c r="BZ9" i="12"/>
  <c r="BW9" i="12"/>
  <c r="BT9" i="12"/>
  <c r="BQ9" i="12"/>
  <c r="BN9" i="12"/>
  <c r="BK9" i="12"/>
  <c r="BH9" i="12"/>
  <c r="BD9" i="12"/>
  <c r="BB9" i="12"/>
  <c r="AZ9" i="12"/>
  <c r="AW9" i="12"/>
  <c r="AT9" i="12"/>
  <c r="AQ9" i="12"/>
  <c r="AN9" i="12"/>
  <c r="AK9" i="12"/>
  <c r="AH9" i="12"/>
  <c r="AE9" i="12"/>
  <c r="AB9" i="12"/>
  <c r="Y9" i="12"/>
  <c r="V9" i="12"/>
  <c r="S9" i="12"/>
  <c r="P9" i="12"/>
  <c r="M9" i="12"/>
  <c r="J9" i="12"/>
  <c r="G9" i="12"/>
  <c r="CV8" i="12"/>
  <c r="CT8" i="12"/>
  <c r="CR8" i="12"/>
  <c r="CO8" i="12"/>
  <c r="CL8" i="12"/>
  <c r="CI8" i="12"/>
  <c r="CF8" i="12"/>
  <c r="CC8" i="12"/>
  <c r="BZ8" i="12"/>
  <c r="BW8" i="12"/>
  <c r="BT8" i="12"/>
  <c r="BQ8" i="12"/>
  <c r="BN8" i="12"/>
  <c r="BK8" i="12"/>
  <c r="BH8" i="12"/>
  <c r="BD8" i="12"/>
  <c r="BB8" i="12"/>
  <c r="AZ8" i="12"/>
  <c r="AW8" i="12"/>
  <c r="AT8" i="12"/>
  <c r="AQ8" i="12"/>
  <c r="AN8" i="12"/>
  <c r="AK8" i="12"/>
  <c r="AH8" i="12"/>
  <c r="AE8" i="12"/>
  <c r="AB8" i="12"/>
  <c r="Y8" i="12"/>
  <c r="V8" i="12"/>
  <c r="S8" i="12"/>
  <c r="P8" i="12"/>
  <c r="M8" i="12"/>
  <c r="J8" i="12"/>
  <c r="G8" i="12"/>
  <c r="A8" i="12"/>
  <c r="A9" i="12" s="1"/>
  <c r="A10" i="12" s="1"/>
  <c r="A11" i="12" s="1"/>
  <c r="A12" i="12" s="1"/>
  <c r="A13" i="12" s="1"/>
  <c r="A14" i="12" s="1"/>
  <c r="A15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6" i="12" s="1"/>
  <c r="A80" i="12" s="1"/>
  <c r="A81" i="12" s="1"/>
  <c r="A82" i="12" s="1"/>
  <c r="A83" i="12" s="1"/>
  <c r="A84" i="12" s="1"/>
  <c r="A85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9" i="12" s="1"/>
  <c r="A110" i="12" s="1"/>
  <c r="A111" i="12" s="1"/>
  <c r="A112" i="12" s="1"/>
  <c r="A113" i="12" s="1"/>
  <c r="A114" i="12" s="1"/>
  <c r="A115" i="12" s="1"/>
  <c r="CV7" i="12"/>
  <c r="CT7" i="12"/>
  <c r="CR7" i="12"/>
  <c r="CO7" i="12"/>
  <c r="CL7" i="12"/>
  <c r="CI7" i="12"/>
  <c r="CF7" i="12"/>
  <c r="CC7" i="12"/>
  <c r="BZ7" i="12"/>
  <c r="BW7" i="12"/>
  <c r="BT7" i="12"/>
  <c r="BQ7" i="12"/>
  <c r="BN7" i="12"/>
  <c r="BK7" i="12"/>
  <c r="BH7" i="12"/>
  <c r="BD7" i="12"/>
  <c r="BB7" i="12"/>
  <c r="AZ7" i="12"/>
  <c r="AW7" i="12"/>
  <c r="AT7" i="12"/>
  <c r="AQ7" i="12"/>
  <c r="AN7" i="12"/>
  <c r="AK7" i="12"/>
  <c r="AH7" i="12"/>
  <c r="AE7" i="12"/>
  <c r="AB7" i="12"/>
  <c r="Y7" i="12"/>
  <c r="V7" i="12"/>
  <c r="S7" i="12"/>
  <c r="P7" i="12"/>
  <c r="M7" i="12"/>
  <c r="J7" i="12"/>
  <c r="BC7" i="12" s="1"/>
  <c r="G7" i="12"/>
  <c r="CV84" i="12" l="1"/>
  <c r="CT16" i="12"/>
  <c r="BB16" i="12"/>
  <c r="CV16" i="12"/>
  <c r="CU8" i="12"/>
  <c r="CX8" i="12" s="1"/>
  <c r="H6" i="1" s="1"/>
  <c r="BC9" i="12"/>
  <c r="DA9" i="12"/>
  <c r="BC14" i="12"/>
  <c r="CY14" i="12"/>
  <c r="BC19" i="12"/>
  <c r="BB51" i="12"/>
  <c r="CV51" i="12"/>
  <c r="CU21" i="12"/>
  <c r="CX21" i="12" s="1"/>
  <c r="H26" i="1" s="1"/>
  <c r="DA22" i="12"/>
  <c r="BC23" i="12"/>
  <c r="CY23" i="12"/>
  <c r="CU25" i="12"/>
  <c r="CX25" i="12" s="1"/>
  <c r="H30" i="1" s="1"/>
  <c r="BC27" i="12"/>
  <c r="CY27" i="12"/>
  <c r="DA29" i="12"/>
  <c r="BC31" i="12"/>
  <c r="CU32" i="12"/>
  <c r="CX32" i="12" s="1"/>
  <c r="H37" i="1" s="1"/>
  <c r="DA33" i="12"/>
  <c r="CU35" i="12"/>
  <c r="CX35" i="12" s="1"/>
  <c r="H40" i="1" s="1"/>
  <c r="BC38" i="12"/>
  <c r="CU39" i="12"/>
  <c r="CX39" i="12" s="1"/>
  <c r="H44" i="1" s="1"/>
  <c r="BC40" i="12"/>
  <c r="BC44" i="12"/>
  <c r="DA44" i="12"/>
  <c r="CU45" i="12"/>
  <c r="CX45" i="12" s="1"/>
  <c r="H70" i="1" s="1"/>
  <c r="CY48" i="12"/>
  <c r="CY49" i="12"/>
  <c r="CX49" i="12"/>
  <c r="H74" i="1" s="1"/>
  <c r="BF50" i="12"/>
  <c r="F75" i="1" s="1"/>
  <c r="CU54" i="12"/>
  <c r="CY56" i="12"/>
  <c r="CU56" i="12"/>
  <c r="CX56" i="12" s="1"/>
  <c r="H48" i="1" s="1"/>
  <c r="DA59" i="12"/>
  <c r="DA67" i="12"/>
  <c r="BC68" i="12"/>
  <c r="CY68" i="12"/>
  <c r="CU68" i="12"/>
  <c r="CX68" i="12" s="1"/>
  <c r="H60" i="1" s="1"/>
  <c r="CZ70" i="12"/>
  <c r="CX70" i="12"/>
  <c r="H62" i="1" s="1"/>
  <c r="BF72" i="12"/>
  <c r="F64" i="1" s="1"/>
  <c r="BC76" i="12"/>
  <c r="CY76" i="12"/>
  <c r="CY77" i="12" s="1"/>
  <c r="BB86" i="12"/>
  <c r="CT86" i="12"/>
  <c r="BC81" i="12"/>
  <c r="CU81" i="12"/>
  <c r="CY84" i="12"/>
  <c r="K85" i="12"/>
  <c r="BD85" i="12" s="1"/>
  <c r="BF85" i="12" s="1"/>
  <c r="F133" i="1" s="1"/>
  <c r="BC90" i="12"/>
  <c r="BC92" i="12"/>
  <c r="BC94" i="12"/>
  <c r="BC96" i="12"/>
  <c r="BC98" i="12"/>
  <c r="CU100" i="12"/>
  <c r="CU101" i="12"/>
  <c r="BC103" i="12"/>
  <c r="BC104" i="12"/>
  <c r="BF109" i="12"/>
  <c r="F185" i="1" s="1"/>
  <c r="BF110" i="12"/>
  <c r="F186" i="1" s="1"/>
  <c r="BF111" i="12"/>
  <c r="F187" i="1" s="1"/>
  <c r="CZ113" i="12"/>
  <c r="DB113" i="12" s="1"/>
  <c r="BF114" i="12"/>
  <c r="F190" i="1" s="1"/>
  <c r="DA8" i="2"/>
  <c r="CU10" i="2"/>
  <c r="CX10" i="2" s="1"/>
  <c r="H18" i="1" s="1"/>
  <c r="CU12" i="2"/>
  <c r="CU16" i="2"/>
  <c r="CV16" i="2"/>
  <c r="BC26" i="12"/>
  <c r="CU34" i="12"/>
  <c r="CX34" i="12" s="1"/>
  <c r="H39" i="1" s="1"/>
  <c r="BC47" i="12"/>
  <c r="BC48" i="12"/>
  <c r="CY81" i="12"/>
  <c r="CU82" i="12"/>
  <c r="CU83" i="12"/>
  <c r="BC84" i="12"/>
  <c r="CU84" i="12"/>
  <c r="CU85" i="12"/>
  <c r="CU90" i="12"/>
  <c r="CU92" i="12"/>
  <c r="CU94" i="12"/>
  <c r="CU96" i="12"/>
  <c r="CU98" i="12"/>
  <c r="CU102" i="12"/>
  <c r="CV102" i="12"/>
  <c r="DA102" i="12" s="1"/>
  <c r="CU103" i="12"/>
  <c r="CU104" i="12"/>
  <c r="CX104" i="12" s="1"/>
  <c r="H158" i="1" s="1"/>
  <c r="CU8" i="2"/>
  <c r="CX8" i="2" s="1"/>
  <c r="H16" i="1" s="1"/>
  <c r="BC8" i="12"/>
  <c r="CY8" i="12"/>
  <c r="DA8" i="12"/>
  <c r="CU9" i="12"/>
  <c r="CX9" i="12" s="1"/>
  <c r="H7" i="1" s="1"/>
  <c r="CY9" i="12"/>
  <c r="CU10" i="12"/>
  <c r="CX10" i="12" s="1"/>
  <c r="H8" i="1" s="1"/>
  <c r="BC11" i="12"/>
  <c r="BC13" i="12"/>
  <c r="CU14" i="12"/>
  <c r="CX14" i="12" s="1"/>
  <c r="H12" i="1" s="1"/>
  <c r="DA15" i="12"/>
  <c r="CU19" i="12"/>
  <c r="DA20" i="12"/>
  <c r="BC21" i="12"/>
  <c r="CY21" i="12"/>
  <c r="CU23" i="12"/>
  <c r="CX23" i="12" s="1"/>
  <c r="H28" i="1" s="1"/>
  <c r="DA24" i="12"/>
  <c r="BC25" i="12"/>
  <c r="CY25" i="12"/>
  <c r="CU26" i="12"/>
  <c r="CX26" i="12" s="1"/>
  <c r="H31" i="1" s="1"/>
  <c r="CY26" i="12"/>
  <c r="CU27" i="12"/>
  <c r="CX27" i="12" s="1"/>
  <c r="H32" i="1" s="1"/>
  <c r="CU29" i="12"/>
  <c r="CX29" i="12" s="1"/>
  <c r="H34" i="1" s="1"/>
  <c r="DA30" i="12"/>
  <c r="CY31" i="12"/>
  <c r="BC32" i="12"/>
  <c r="CU33" i="12"/>
  <c r="CX33" i="12" s="1"/>
  <c r="H38" i="1" s="1"/>
  <c r="BC35" i="12"/>
  <c r="CY35" i="12"/>
  <c r="CY36" i="12"/>
  <c r="DA39" i="12"/>
  <c r="CU40" i="12"/>
  <c r="CX40" i="12" s="1"/>
  <c r="H45" i="1" s="1"/>
  <c r="CY40" i="12"/>
  <c r="CU41" i="12"/>
  <c r="CX41" i="12" s="1"/>
  <c r="H66" i="1" s="1"/>
  <c r="BC42" i="12"/>
  <c r="CU43" i="12"/>
  <c r="CX43" i="12" s="1"/>
  <c r="H68" i="1" s="1"/>
  <c r="BC45" i="12"/>
  <c r="CU46" i="12"/>
  <c r="CX46" i="12" s="1"/>
  <c r="H71" i="1" s="1"/>
  <c r="CU47" i="12"/>
  <c r="CX47" i="12" s="1"/>
  <c r="H72" i="1" s="1"/>
  <c r="CU48" i="12"/>
  <c r="CX48" i="12" s="1"/>
  <c r="H73" i="1" s="1"/>
  <c r="DA49" i="12"/>
  <c r="CY50" i="12"/>
  <c r="BC54" i="12"/>
  <c r="BB73" i="12"/>
  <c r="DA57" i="12"/>
  <c r="CY58" i="12"/>
  <c r="CU58" i="12"/>
  <c r="CX58" i="12" s="1"/>
  <c r="H50" i="1" s="1"/>
  <c r="CU60" i="12"/>
  <c r="CX60" i="12" s="1"/>
  <c r="H52" i="1" s="1"/>
  <c r="CU61" i="12"/>
  <c r="CX61" i="12" s="1"/>
  <c r="H53" i="1" s="1"/>
  <c r="BC64" i="12"/>
  <c r="CU64" i="12"/>
  <c r="CX64" i="12" s="1"/>
  <c r="H56" i="1" s="1"/>
  <c r="CZ66" i="12"/>
  <c r="DB66" i="12" s="1"/>
  <c r="CZ71" i="12"/>
  <c r="DB71" i="12" s="1"/>
  <c r="CU76" i="12"/>
  <c r="CU80" i="12"/>
  <c r="BI82" i="12"/>
  <c r="BC83" i="12"/>
  <c r="BI83" i="12"/>
  <c r="CV83" i="12" s="1"/>
  <c r="H84" i="12"/>
  <c r="BC89" i="12"/>
  <c r="BD106" i="12"/>
  <c r="CT106" i="12"/>
  <c r="BC91" i="12"/>
  <c r="DA91" i="12"/>
  <c r="BC93" i="12"/>
  <c r="BC95" i="12"/>
  <c r="DA95" i="12"/>
  <c r="BC97" i="12"/>
  <c r="BC99" i="12"/>
  <c r="BC101" i="12"/>
  <c r="CY101" i="12"/>
  <c r="CY102" i="12"/>
  <c r="CU105" i="12"/>
  <c r="CX105" i="12" s="1"/>
  <c r="H159" i="1" s="1"/>
  <c r="CT116" i="12"/>
  <c r="DB110" i="12"/>
  <c r="DB111" i="12"/>
  <c r="BF112" i="12"/>
  <c r="F188" i="1" s="1"/>
  <c r="DB114" i="12"/>
  <c r="CZ115" i="12"/>
  <c r="DB115" i="12" s="1"/>
  <c r="BF115" i="12"/>
  <c r="F191" i="1" s="1"/>
  <c r="BC11" i="2"/>
  <c r="CY12" i="2"/>
  <c r="CU7" i="12"/>
  <c r="CU11" i="12"/>
  <c r="CX11" i="12" s="1"/>
  <c r="H9" i="1" s="1"/>
  <c r="BC12" i="12"/>
  <c r="DA12" i="12"/>
  <c r="CU12" i="12"/>
  <c r="CX12" i="12" s="1"/>
  <c r="H10" i="1" s="1"/>
  <c r="CU15" i="12"/>
  <c r="CX15" i="12" s="1"/>
  <c r="H13" i="1" s="1"/>
  <c r="CT51" i="12"/>
  <c r="CU20" i="12"/>
  <c r="CX20" i="12" s="1"/>
  <c r="H25" i="1" s="1"/>
  <c r="BC22" i="12"/>
  <c r="CU24" i="12"/>
  <c r="CX24" i="12" s="1"/>
  <c r="H29" i="1" s="1"/>
  <c r="BC28" i="12"/>
  <c r="BC30" i="12"/>
  <c r="BC34" i="12"/>
  <c r="BC36" i="12"/>
  <c r="CU37" i="12"/>
  <c r="CX37" i="12" s="1"/>
  <c r="H42" i="1" s="1"/>
  <c r="CU38" i="12"/>
  <c r="CX38" i="12" s="1"/>
  <c r="H43" i="1" s="1"/>
  <c r="BC39" i="12"/>
  <c r="CU42" i="12"/>
  <c r="CX42" i="12" s="1"/>
  <c r="H67" i="1" s="1"/>
  <c r="BC62" i="12"/>
  <c r="BC67" i="12"/>
  <c r="CY103" i="12"/>
  <c r="DA104" i="12"/>
  <c r="CV116" i="12"/>
  <c r="BC9" i="2"/>
  <c r="CU9" i="2"/>
  <c r="CX9" i="2" s="1"/>
  <c r="H17" i="1" s="1"/>
  <c r="DA10" i="2"/>
  <c r="CY11" i="2"/>
  <c r="BC12" i="2"/>
  <c r="CY13" i="2"/>
  <c r="CV15" i="2"/>
  <c r="CY18" i="2"/>
  <c r="CU19" i="2"/>
  <c r="CX19" i="2" s="1"/>
  <c r="H169" i="1" s="1"/>
  <c r="BC21" i="2"/>
  <c r="CU22" i="2"/>
  <c r="CY23" i="2"/>
  <c r="BC24" i="2"/>
  <c r="BC26" i="2"/>
  <c r="BC28" i="2"/>
  <c r="DA31" i="2"/>
  <c r="BC32" i="2"/>
  <c r="CY32" i="2"/>
  <c r="CU32" i="2"/>
  <c r="CX32" i="2" s="1"/>
  <c r="H80" i="1" s="1"/>
  <c r="BC34" i="2"/>
  <c r="DA37" i="2"/>
  <c r="CU38" i="2"/>
  <c r="CX38" i="2" s="1"/>
  <c r="H86" i="1" s="1"/>
  <c r="BC41" i="2"/>
  <c r="CU42" i="2"/>
  <c r="CX42" i="2" s="1"/>
  <c r="H90" i="1" s="1"/>
  <c r="DA43" i="2"/>
  <c r="BC44" i="2"/>
  <c r="CY44" i="2"/>
  <c r="BC46" i="2"/>
  <c r="BF47" i="2"/>
  <c r="F95" i="1" s="1"/>
  <c r="CX21" i="2"/>
  <c r="H171" i="1" s="1"/>
  <c r="CV22" i="2"/>
  <c r="DA22" i="2" s="1"/>
  <c r="CU29" i="2"/>
  <c r="CX29" i="2" s="1"/>
  <c r="H77" i="1" s="1"/>
  <c r="CU59" i="2"/>
  <c r="CX59" i="2" s="1"/>
  <c r="H107" i="1" s="1"/>
  <c r="CU7" i="2"/>
  <c r="CY7" i="2"/>
  <c r="CU11" i="2"/>
  <c r="CX11" i="2" s="1"/>
  <c r="H161" i="1" s="1"/>
  <c r="CU13" i="2"/>
  <c r="DA16" i="2"/>
  <c r="BC17" i="2"/>
  <c r="CU18" i="2"/>
  <c r="CY19" i="2"/>
  <c r="BC20" i="2"/>
  <c r="CY22" i="2"/>
  <c r="CU23" i="2"/>
  <c r="CX23" i="2" s="1"/>
  <c r="H173" i="1" s="1"/>
  <c r="CU26" i="2"/>
  <c r="CX26" i="2" s="1"/>
  <c r="H176" i="1" s="1"/>
  <c r="CU28" i="2"/>
  <c r="CX28" i="2" s="1"/>
  <c r="H178" i="1" s="1"/>
  <c r="DA29" i="2"/>
  <c r="BC30" i="2"/>
  <c r="CU30" i="2"/>
  <c r="CX30" i="2" s="1"/>
  <c r="H78" i="1" s="1"/>
  <c r="CZ36" i="2"/>
  <c r="BC38" i="2"/>
  <c r="DA39" i="2"/>
  <c r="BC40" i="2"/>
  <c r="DA40" i="2"/>
  <c r="CU40" i="2"/>
  <c r="CX40" i="2" s="1"/>
  <c r="H88" i="1" s="1"/>
  <c r="CY40" i="2"/>
  <c r="BC42" i="2"/>
  <c r="CY42" i="2"/>
  <c r="DA45" i="2"/>
  <c r="CY46" i="2"/>
  <c r="CU46" i="2"/>
  <c r="CX46" i="2" s="1"/>
  <c r="H94" i="1" s="1"/>
  <c r="CY47" i="2"/>
  <c r="CU49" i="2"/>
  <c r="CX49" i="2" s="1"/>
  <c r="H97" i="1" s="1"/>
  <c r="DA56" i="2"/>
  <c r="CU14" i="2"/>
  <c r="CX14" i="2" s="1"/>
  <c r="H164" i="1" s="1"/>
  <c r="BC15" i="2"/>
  <c r="CY15" i="2"/>
  <c r="CU17" i="2"/>
  <c r="CX17" i="2" s="1"/>
  <c r="H167" i="1" s="1"/>
  <c r="CV18" i="2"/>
  <c r="DA18" i="2" s="1"/>
  <c r="BC19" i="2"/>
  <c r="CU20" i="2"/>
  <c r="CX20" i="2" s="1"/>
  <c r="H170" i="1" s="1"/>
  <c r="BC22" i="2"/>
  <c r="CU25" i="2"/>
  <c r="CX25" i="2" s="1"/>
  <c r="H175" i="1" s="1"/>
  <c r="DA26" i="2"/>
  <c r="CU27" i="2"/>
  <c r="CX27" i="2" s="1"/>
  <c r="H177" i="1" s="1"/>
  <c r="CY30" i="2"/>
  <c r="BC31" i="2"/>
  <c r="CU33" i="2"/>
  <c r="CX33" i="2" s="1"/>
  <c r="H81" i="1" s="1"/>
  <c r="BC35" i="2"/>
  <c r="BC37" i="2"/>
  <c r="BC43" i="2"/>
  <c r="CU43" i="2"/>
  <c r="CX43" i="2" s="1"/>
  <c r="H91" i="1" s="1"/>
  <c r="CY45" i="2"/>
  <c r="DA49" i="2"/>
  <c r="BC51" i="2"/>
  <c r="DA51" i="2"/>
  <c r="CY52" i="2"/>
  <c r="BC57" i="2"/>
  <c r="DA57" i="2"/>
  <c r="BF58" i="2"/>
  <c r="F106" i="1" s="1"/>
  <c r="DA60" i="2"/>
  <c r="CY62" i="2"/>
  <c r="DA62" i="2"/>
  <c r="BC66" i="2"/>
  <c r="CY66" i="2"/>
  <c r="CY68" i="2"/>
  <c r="BC69" i="2"/>
  <c r="DA70" i="2"/>
  <c r="DB72" i="2"/>
  <c r="BF73" i="2"/>
  <c r="F198" i="1" s="1"/>
  <c r="CU77" i="2"/>
  <c r="CX77" i="2" s="1"/>
  <c r="H19" i="1" s="1"/>
  <c r="BC78" i="2"/>
  <c r="DA78" i="2"/>
  <c r="CY79" i="2"/>
  <c r="CU79" i="2"/>
  <c r="CX79" i="2" s="1"/>
  <c r="H21" i="1" s="1"/>
  <c r="CU83" i="2"/>
  <c r="BC85" i="2"/>
  <c r="CV85" i="2"/>
  <c r="DA85" i="2" s="1"/>
  <c r="BC86" i="2"/>
  <c r="CY86" i="2"/>
  <c r="DA88" i="2"/>
  <c r="BC89" i="2"/>
  <c r="CY89" i="2"/>
  <c r="CU90" i="2"/>
  <c r="CX90" i="2" s="1"/>
  <c r="H116" i="1" s="1"/>
  <c r="BC91" i="2"/>
  <c r="CU93" i="2"/>
  <c r="CX93" i="2" s="1"/>
  <c r="H119" i="1" s="1"/>
  <c r="DA94" i="2"/>
  <c r="BC97" i="2"/>
  <c r="CU98" i="2"/>
  <c r="CX98" i="2" s="1"/>
  <c r="H124" i="1" s="1"/>
  <c r="CU69" i="2"/>
  <c r="CZ100" i="2"/>
  <c r="CX102" i="2"/>
  <c r="H201" i="1" s="1"/>
  <c r="DA105" i="2"/>
  <c r="CU48" i="2"/>
  <c r="CX48" i="2" s="1"/>
  <c r="H96" i="1" s="1"/>
  <c r="CZ50" i="2"/>
  <c r="CY51" i="2"/>
  <c r="CU53" i="2"/>
  <c r="CX53" i="2" s="1"/>
  <c r="H101" i="1" s="1"/>
  <c r="DB58" i="2"/>
  <c r="CY60" i="2"/>
  <c r="CU61" i="2"/>
  <c r="CX61" i="2" s="1"/>
  <c r="H109" i="1" s="1"/>
  <c r="BC62" i="2"/>
  <c r="CU63" i="2"/>
  <c r="CX63" i="2" s="1"/>
  <c r="H111" i="1" s="1"/>
  <c r="BC65" i="2"/>
  <c r="BD65" i="2"/>
  <c r="DA65" i="2" s="1"/>
  <c r="CU65" i="2"/>
  <c r="CX65" i="2" s="1"/>
  <c r="H136" i="1" s="1"/>
  <c r="CU66" i="2"/>
  <c r="CX66" i="2" s="1"/>
  <c r="H137" i="1" s="1"/>
  <c r="BC67" i="2"/>
  <c r="CV69" i="2"/>
  <c r="CY70" i="2"/>
  <c r="CX70" i="2"/>
  <c r="H195" i="1" s="1"/>
  <c r="BF72" i="2"/>
  <c r="F197" i="1" s="1"/>
  <c r="CZ74" i="2"/>
  <c r="DB74" i="2" s="1"/>
  <c r="CY78" i="2"/>
  <c r="BC80" i="2"/>
  <c r="DA80" i="2"/>
  <c r="CU80" i="2"/>
  <c r="CX80" i="2" s="1"/>
  <c r="H22" i="1" s="1"/>
  <c r="CU81" i="2"/>
  <c r="CX81" i="2" s="1"/>
  <c r="H179" i="1" s="1"/>
  <c r="BC83" i="2"/>
  <c r="CU86" i="2"/>
  <c r="CX86" i="2" s="1"/>
  <c r="H112" i="1" s="1"/>
  <c r="BC87" i="2"/>
  <c r="DA87" i="2"/>
  <c r="CU89" i="2"/>
  <c r="CX89" i="2" s="1"/>
  <c r="H115" i="1" s="1"/>
  <c r="BC90" i="2"/>
  <c r="CY90" i="2"/>
  <c r="CY91" i="2"/>
  <c r="DA92" i="2"/>
  <c r="CY93" i="2"/>
  <c r="DA93" i="2"/>
  <c r="BC96" i="2"/>
  <c r="CY96" i="2"/>
  <c r="CU96" i="2"/>
  <c r="CX96" i="2" s="1"/>
  <c r="H122" i="1" s="1"/>
  <c r="BC98" i="2"/>
  <c r="CY99" i="2"/>
  <c r="DA100" i="2"/>
  <c r="CY101" i="2"/>
  <c r="DA102" i="2"/>
  <c r="CY103" i="2"/>
  <c r="CU55" i="2"/>
  <c r="CX55" i="2" s="1"/>
  <c r="H103" i="1" s="1"/>
  <c r="CU56" i="2"/>
  <c r="CX56" i="2" s="1"/>
  <c r="H104" i="1" s="1"/>
  <c r="BC59" i="2"/>
  <c r="DA59" i="2"/>
  <c r="DA64" i="2"/>
  <c r="CU67" i="2"/>
  <c r="BF71" i="2"/>
  <c r="F196" i="1" s="1"/>
  <c r="BC77" i="2"/>
  <c r="CY77" i="2"/>
  <c r="BC81" i="2"/>
  <c r="CU82" i="2"/>
  <c r="CV82" i="2"/>
  <c r="DA82" i="2" s="1"/>
  <c r="BC84" i="2"/>
  <c r="CU87" i="2"/>
  <c r="CX87" i="2" s="1"/>
  <c r="H113" i="1" s="1"/>
  <c r="BC88" i="2"/>
  <c r="BF88" i="2" s="1"/>
  <c r="CU88" i="2"/>
  <c r="CX88" i="2" s="1"/>
  <c r="H114" i="1" s="1"/>
  <c r="BC93" i="2"/>
  <c r="BC94" i="2"/>
  <c r="CU95" i="2"/>
  <c r="CX95" i="2" s="1"/>
  <c r="H121" i="1" s="1"/>
  <c r="DA96" i="2"/>
  <c r="DA98" i="2"/>
  <c r="BC99" i="2"/>
  <c r="BF101" i="2"/>
  <c r="F200" i="1" s="1"/>
  <c r="BF103" i="2"/>
  <c r="F193" i="1" s="1"/>
  <c r="BF104" i="2"/>
  <c r="F202" i="1" s="1"/>
  <c r="CY105" i="2"/>
  <c r="CX105" i="2"/>
  <c r="H203" i="1" s="1"/>
  <c r="DA15" i="2"/>
  <c r="DA7" i="2"/>
  <c r="BF11" i="2"/>
  <c r="F161" i="1" s="1"/>
  <c r="CZ11" i="2"/>
  <c r="CX15" i="2"/>
  <c r="H165" i="1" s="1"/>
  <c r="CX16" i="2"/>
  <c r="H166" i="1" s="1"/>
  <c r="BF23" i="2"/>
  <c r="F173" i="1" s="1"/>
  <c r="CZ23" i="2"/>
  <c r="DB23" i="2" s="1"/>
  <c r="CZ33" i="2"/>
  <c r="DB33" i="2" s="1"/>
  <c r="BF33" i="2"/>
  <c r="F81" i="1" s="1"/>
  <c r="BF39" i="2"/>
  <c r="F87" i="1" s="1"/>
  <c r="CZ39" i="2"/>
  <c r="DB39" i="2" s="1"/>
  <c r="BF17" i="2"/>
  <c r="F167" i="1" s="1"/>
  <c r="CZ17" i="2"/>
  <c r="DB17" i="2" s="1"/>
  <c r="CZ20" i="2"/>
  <c r="DB20" i="2" s="1"/>
  <c r="BF20" i="2"/>
  <c r="F170" i="1" s="1"/>
  <c r="CZ40" i="2"/>
  <c r="DB40" i="2" s="1"/>
  <c r="BF40" i="2"/>
  <c r="F88" i="1" s="1"/>
  <c r="BF42" i="2"/>
  <c r="F90" i="1" s="1"/>
  <c r="CZ42" i="2"/>
  <c r="DB42" i="2" s="1"/>
  <c r="CZ53" i="2"/>
  <c r="DB53" i="2" s="1"/>
  <c r="BF53" i="2"/>
  <c r="F101" i="1" s="1"/>
  <c r="BF55" i="2"/>
  <c r="F103" i="1" s="1"/>
  <c r="CZ55" i="2"/>
  <c r="DB55" i="2" s="1"/>
  <c r="BF35" i="2"/>
  <c r="F83" i="1" s="1"/>
  <c r="CZ35" i="2"/>
  <c r="DB35" i="2" s="1"/>
  <c r="BF37" i="2"/>
  <c r="F85" i="1" s="1"/>
  <c r="CZ37" i="2"/>
  <c r="DB37" i="2" s="1"/>
  <c r="BF43" i="2"/>
  <c r="F91" i="1" s="1"/>
  <c r="CZ43" i="2"/>
  <c r="DB43" i="2" s="1"/>
  <c r="CZ12" i="2"/>
  <c r="DB12" i="2" s="1"/>
  <c r="BF12" i="2"/>
  <c r="F162" i="1" s="1"/>
  <c r="BF21" i="2"/>
  <c r="F171" i="1" s="1"/>
  <c r="CZ21" i="2"/>
  <c r="DB21" i="2" s="1"/>
  <c r="CZ24" i="2"/>
  <c r="DB24" i="2" s="1"/>
  <c r="BF24" i="2"/>
  <c r="F174" i="1" s="1"/>
  <c r="BF26" i="2"/>
  <c r="F176" i="1" s="1"/>
  <c r="CZ26" i="2"/>
  <c r="DB26" i="2" s="1"/>
  <c r="CY26" i="2"/>
  <c r="CZ28" i="2"/>
  <c r="DB28" i="2" s="1"/>
  <c r="BF28" i="2"/>
  <c r="F178" i="1" s="1"/>
  <c r="CY28" i="2"/>
  <c r="BF44" i="2"/>
  <c r="F92" i="1" s="1"/>
  <c r="CZ7" i="2"/>
  <c r="BF7" i="2"/>
  <c r="CZ8" i="2"/>
  <c r="DB8" i="2" s="1"/>
  <c r="BF8" i="2"/>
  <c r="F16" i="1" s="1"/>
  <c r="CX12" i="2"/>
  <c r="H162" i="1" s="1"/>
  <c r="BF13" i="2"/>
  <c r="F163" i="1" s="1"/>
  <c r="CZ13" i="2"/>
  <c r="DB13" i="2" s="1"/>
  <c r="DA13" i="2"/>
  <c r="BF14" i="2"/>
  <c r="F164" i="1" s="1"/>
  <c r="CZ14" i="2"/>
  <c r="CZ18" i="2"/>
  <c r="DB18" i="2" s="1"/>
  <c r="BF18" i="2"/>
  <c r="F168" i="1" s="1"/>
  <c r="CX24" i="2"/>
  <c r="H174" i="1" s="1"/>
  <c r="CZ25" i="2"/>
  <c r="DB25" i="2" s="1"/>
  <c r="BF25" i="2"/>
  <c r="F175" i="1" s="1"/>
  <c r="CZ27" i="2"/>
  <c r="DB27" i="2" s="1"/>
  <c r="BF27" i="2"/>
  <c r="F177" i="1" s="1"/>
  <c r="BF29" i="2"/>
  <c r="F77" i="1" s="1"/>
  <c r="CZ29" i="2"/>
  <c r="DB29" i="2" s="1"/>
  <c r="BF51" i="2"/>
  <c r="F99" i="1" s="1"/>
  <c r="CX7" i="2"/>
  <c r="CX13" i="2"/>
  <c r="H163" i="1" s="1"/>
  <c r="DA14" i="2"/>
  <c r="CX18" i="2"/>
  <c r="H168" i="1" s="1"/>
  <c r="CZ30" i="2"/>
  <c r="DB30" i="2" s="1"/>
  <c r="BF30" i="2"/>
  <c r="F78" i="1" s="1"/>
  <c r="DB36" i="2"/>
  <c r="CZ38" i="2"/>
  <c r="DB38" i="2" s="1"/>
  <c r="BF38" i="2"/>
  <c r="F86" i="1" s="1"/>
  <c r="BF10" i="2"/>
  <c r="F18" i="1" s="1"/>
  <c r="CZ10" i="2"/>
  <c r="DB10" i="2" s="1"/>
  <c r="BF15" i="2"/>
  <c r="F165" i="1" s="1"/>
  <c r="CZ15" i="2"/>
  <c r="DB15" i="2" s="1"/>
  <c r="BF19" i="2"/>
  <c r="F169" i="1" s="1"/>
  <c r="CZ19" i="2"/>
  <c r="DB19" i="2" s="1"/>
  <c r="CZ22" i="2"/>
  <c r="DB22" i="2" s="1"/>
  <c r="BF22" i="2"/>
  <c r="F172" i="1" s="1"/>
  <c r="BF31" i="2"/>
  <c r="F79" i="1" s="1"/>
  <c r="CZ31" i="2"/>
  <c r="DB31" i="2" s="1"/>
  <c r="BF9" i="2"/>
  <c r="F17" i="1" s="1"/>
  <c r="CZ9" i="2"/>
  <c r="DB9" i="2" s="1"/>
  <c r="BF32" i="2"/>
  <c r="F80" i="1" s="1"/>
  <c r="CZ32" i="2"/>
  <c r="DB32" i="2" s="1"/>
  <c r="CZ34" i="2"/>
  <c r="DB34" i="2" s="1"/>
  <c r="BF34" i="2"/>
  <c r="F82" i="1" s="1"/>
  <c r="CZ41" i="2"/>
  <c r="DB41" i="2" s="1"/>
  <c r="BF41" i="2"/>
  <c r="F89" i="1" s="1"/>
  <c r="CZ46" i="2"/>
  <c r="DB46" i="2" s="1"/>
  <c r="BF36" i="2"/>
  <c r="F84" i="1" s="1"/>
  <c r="BC48" i="2"/>
  <c r="CX50" i="2"/>
  <c r="H98" i="1" s="1"/>
  <c r="CZ66" i="2"/>
  <c r="DB66" i="2" s="1"/>
  <c r="BF66" i="2"/>
  <c r="F137" i="1" s="1"/>
  <c r="CV83" i="2"/>
  <c r="CX83" i="2" s="1"/>
  <c r="H181" i="1" s="1"/>
  <c r="BF89" i="2"/>
  <c r="F115" i="1" s="1"/>
  <c r="CZ89" i="2"/>
  <c r="DB89" i="2" s="1"/>
  <c r="DD89" i="2" s="1"/>
  <c r="CU44" i="2"/>
  <c r="CX44" i="2" s="1"/>
  <c r="H92" i="1" s="1"/>
  <c r="BF49" i="2"/>
  <c r="F97" i="1" s="1"/>
  <c r="CZ49" i="2"/>
  <c r="DB49" i="2" s="1"/>
  <c r="BF56" i="2"/>
  <c r="F104" i="1" s="1"/>
  <c r="CZ56" i="2"/>
  <c r="DB56" i="2" s="1"/>
  <c r="CZ61" i="2"/>
  <c r="DB61" i="2" s="1"/>
  <c r="BF61" i="2"/>
  <c r="F109" i="1" s="1"/>
  <c r="BF63" i="2"/>
  <c r="F111" i="1" s="1"/>
  <c r="CZ63" i="2"/>
  <c r="DB63" i="2" s="1"/>
  <c r="BD67" i="2"/>
  <c r="BF67" i="2" s="1"/>
  <c r="F138" i="1" s="1"/>
  <c r="CZ68" i="2"/>
  <c r="CX69" i="2"/>
  <c r="H140" i="1" s="1"/>
  <c r="DB71" i="2"/>
  <c r="CZ82" i="2"/>
  <c r="BF82" i="2"/>
  <c r="F180" i="1" s="1"/>
  <c r="CV84" i="2"/>
  <c r="CX84" i="2" s="1"/>
  <c r="H182" i="1" s="1"/>
  <c r="CZ95" i="2"/>
  <c r="DB95" i="2" s="1"/>
  <c r="DD95" i="2" s="1"/>
  <c r="BF95" i="2"/>
  <c r="F121" i="1" s="1"/>
  <c r="DB100" i="2"/>
  <c r="DD100" i="2" s="1"/>
  <c r="DB104" i="2"/>
  <c r="DD104" i="2" s="1"/>
  <c r="BF45" i="2"/>
  <c r="F93" i="1" s="1"/>
  <c r="CZ62" i="2"/>
  <c r="DB62" i="2" s="1"/>
  <c r="BF62" i="2"/>
  <c r="F110" i="1" s="1"/>
  <c r="BF83" i="2"/>
  <c r="F181" i="1" s="1"/>
  <c r="CZ83" i="2"/>
  <c r="CZ90" i="2"/>
  <c r="DB90" i="2" s="1"/>
  <c r="DD90" i="2" s="1"/>
  <c r="BF90" i="2"/>
  <c r="F116" i="1" s="1"/>
  <c r="CZ96" i="2"/>
  <c r="DB96" i="2" s="1"/>
  <c r="DD96" i="2" s="1"/>
  <c r="BF96" i="2"/>
  <c r="F122" i="1" s="1"/>
  <c r="CU52" i="2"/>
  <c r="CZ59" i="2"/>
  <c r="DB59" i="2" s="1"/>
  <c r="BF59" i="2"/>
  <c r="F107" i="1" s="1"/>
  <c r="DF66" i="2"/>
  <c r="CZ77" i="2"/>
  <c r="DB77" i="2" s="1"/>
  <c r="DD77" i="2" s="1"/>
  <c r="BF77" i="2"/>
  <c r="F19" i="1" s="1"/>
  <c r="CX82" i="2"/>
  <c r="H180" i="1" s="1"/>
  <c r="BF84" i="2"/>
  <c r="F182" i="1" s="1"/>
  <c r="CZ84" i="2"/>
  <c r="CU45" i="2"/>
  <c r="CX45" i="2" s="1"/>
  <c r="H93" i="1" s="1"/>
  <c r="CZ57" i="2"/>
  <c r="DB57" i="2" s="1"/>
  <c r="BF57" i="2"/>
  <c r="F105" i="1" s="1"/>
  <c r="DB64" i="2"/>
  <c r="CV67" i="2"/>
  <c r="CX67" i="2" s="1"/>
  <c r="H138" i="1" s="1"/>
  <c r="CZ69" i="2"/>
  <c r="DF74" i="2"/>
  <c r="BF78" i="2"/>
  <c r="F20" i="1" s="1"/>
  <c r="CZ78" i="2"/>
  <c r="DB78" i="2" s="1"/>
  <c r="DD78" i="2" s="1"/>
  <c r="CZ85" i="2"/>
  <c r="DB85" i="2" s="1"/>
  <c r="DD85" i="2" s="1"/>
  <c r="BF85" i="2"/>
  <c r="F183" i="1" s="1"/>
  <c r="BF86" i="2"/>
  <c r="F112" i="1" s="1"/>
  <c r="CZ86" i="2"/>
  <c r="BF91" i="2"/>
  <c r="F117" i="1" s="1"/>
  <c r="CZ91" i="2"/>
  <c r="DB91" i="2" s="1"/>
  <c r="DD91" i="2" s="1"/>
  <c r="BF97" i="2"/>
  <c r="F123" i="1" s="1"/>
  <c r="CZ97" i="2"/>
  <c r="DB97" i="2" s="1"/>
  <c r="DD97" i="2" s="1"/>
  <c r="BB106" i="2"/>
  <c r="DB50" i="2"/>
  <c r="CU54" i="2"/>
  <c r="CX54" i="2" s="1"/>
  <c r="H102" i="1" s="1"/>
  <c r="BD69" i="2"/>
  <c r="DA69" i="2" s="1"/>
  <c r="CZ79" i="2"/>
  <c r="DB79" i="2" s="1"/>
  <c r="DD79" i="2" s="1"/>
  <c r="BF79" i="2"/>
  <c r="F21" i="1" s="1"/>
  <c r="CX85" i="2"/>
  <c r="H183" i="1" s="1"/>
  <c r="CZ92" i="2"/>
  <c r="DB92" i="2" s="1"/>
  <c r="DD92" i="2" s="1"/>
  <c r="BF92" i="2"/>
  <c r="F118" i="1" s="1"/>
  <c r="CT106" i="2"/>
  <c r="BC16" i="2"/>
  <c r="BC106" i="2" s="1"/>
  <c r="CZ65" i="2"/>
  <c r="DB65" i="2" s="1"/>
  <c r="BF65" i="2"/>
  <c r="F136" i="1" s="1"/>
  <c r="CZ80" i="2"/>
  <c r="DB80" i="2" s="1"/>
  <c r="DD80" i="2" s="1"/>
  <c r="BF80" i="2"/>
  <c r="F22" i="1" s="1"/>
  <c r="CZ87" i="2"/>
  <c r="DB87" i="2" s="1"/>
  <c r="DD87" i="2" s="1"/>
  <c r="BF87" i="2"/>
  <c r="F113" i="1" s="1"/>
  <c r="CZ98" i="2"/>
  <c r="DB98" i="2" s="1"/>
  <c r="DD98" i="2" s="1"/>
  <c r="BF98" i="2"/>
  <c r="F124" i="1" s="1"/>
  <c r="BF46" i="2"/>
  <c r="F94" i="1" s="1"/>
  <c r="CU51" i="2"/>
  <c r="CX51" i="2" s="1"/>
  <c r="H99" i="1" s="1"/>
  <c r="CZ54" i="2"/>
  <c r="BF81" i="2"/>
  <c r="F179" i="1" s="1"/>
  <c r="CZ81" i="2"/>
  <c r="DB81" i="2" s="1"/>
  <c r="DD81" i="2" s="1"/>
  <c r="CZ88" i="2"/>
  <c r="DB88" i="2" s="1"/>
  <c r="DD88" i="2" s="1"/>
  <c r="CZ93" i="2"/>
  <c r="DB93" i="2" s="1"/>
  <c r="DD93" i="2" s="1"/>
  <c r="BF93" i="2"/>
  <c r="F119" i="1" s="1"/>
  <c r="BF94" i="2"/>
  <c r="F120" i="1" s="1"/>
  <c r="CZ94" i="2"/>
  <c r="DB94" i="2" s="1"/>
  <c r="DD94" i="2" s="1"/>
  <c r="BF99" i="2"/>
  <c r="F141" i="1" s="1"/>
  <c r="CZ99" i="2"/>
  <c r="DB99" i="2" s="1"/>
  <c r="DD99" i="2" s="1"/>
  <c r="BF50" i="2"/>
  <c r="F98" i="1" s="1"/>
  <c r="K68" i="2"/>
  <c r="BD68" i="2" s="1"/>
  <c r="BI68" i="2"/>
  <c r="CV68" i="2" s="1"/>
  <c r="CX68" i="2" s="1"/>
  <c r="H139" i="1" s="1"/>
  <c r="BF100" i="2"/>
  <c r="F192" i="1" s="1"/>
  <c r="CZ103" i="2"/>
  <c r="DB103" i="2" s="1"/>
  <c r="DD103" i="2" s="1"/>
  <c r="AL54" i="2"/>
  <c r="BD54" i="2" s="1"/>
  <c r="DA54" i="2" s="1"/>
  <c r="DF63" i="2" s="1"/>
  <c r="CZ67" i="2"/>
  <c r="BF74" i="2"/>
  <c r="F199" i="1" s="1"/>
  <c r="CZ73" i="2"/>
  <c r="DB73" i="2" s="1"/>
  <c r="CZ102" i="2"/>
  <c r="DB102" i="2" s="1"/>
  <c r="DD102" i="2" s="1"/>
  <c r="CZ70" i="2"/>
  <c r="CZ47" i="2"/>
  <c r="DB47" i="2" s="1"/>
  <c r="CZ60" i="2"/>
  <c r="DB60" i="2" s="1"/>
  <c r="CZ101" i="2"/>
  <c r="DB101" i="2" s="1"/>
  <c r="DD101" i="2" s="1"/>
  <c r="CZ105" i="2"/>
  <c r="DB105" i="2" s="1"/>
  <c r="DD105" i="2" s="1"/>
  <c r="CX64" i="2"/>
  <c r="H135" i="1" s="1"/>
  <c r="BD16" i="12"/>
  <c r="BF29" i="12"/>
  <c r="F34" i="1" s="1"/>
  <c r="CZ29" i="12"/>
  <c r="DB29" i="12" s="1"/>
  <c r="CZ8" i="12"/>
  <c r="DB8" i="12" s="1"/>
  <c r="BF8" i="12"/>
  <c r="F6" i="1" s="1"/>
  <c r="CZ35" i="12"/>
  <c r="DB35" i="12" s="1"/>
  <c r="BF35" i="12"/>
  <c r="F40" i="1" s="1"/>
  <c r="BF42" i="12"/>
  <c r="F67" i="1" s="1"/>
  <c r="CZ42" i="12"/>
  <c r="DB42" i="12" s="1"/>
  <c r="CU16" i="12"/>
  <c r="CX7" i="12"/>
  <c r="BF30" i="12"/>
  <c r="F35" i="1" s="1"/>
  <c r="CZ30" i="12"/>
  <c r="DB30" i="12" s="1"/>
  <c r="CZ34" i="12"/>
  <c r="BF62" i="12"/>
  <c r="F54" i="1" s="1"/>
  <c r="BF7" i="12"/>
  <c r="F5" i="1" s="1"/>
  <c r="CZ7" i="12"/>
  <c r="CZ9" i="12"/>
  <c r="DB9" i="12" s="1"/>
  <c r="BF9" i="12"/>
  <c r="F7" i="1" s="1"/>
  <c r="BC51" i="12"/>
  <c r="CZ19" i="12"/>
  <c r="BF19" i="12"/>
  <c r="F24" i="1" s="1"/>
  <c r="CZ27" i="12"/>
  <c r="DB27" i="12" s="1"/>
  <c r="BF27" i="12"/>
  <c r="F32" i="1" s="1"/>
  <c r="CZ31" i="12"/>
  <c r="DB31" i="12" s="1"/>
  <c r="BF31" i="12"/>
  <c r="F36" i="1" s="1"/>
  <c r="CZ38" i="12"/>
  <c r="DB38" i="12" s="1"/>
  <c r="BF38" i="12"/>
  <c r="F43" i="1" s="1"/>
  <c r="CZ37" i="12"/>
  <c r="BF43" i="12"/>
  <c r="F68" i="1" s="1"/>
  <c r="CZ43" i="12"/>
  <c r="DB43" i="12" s="1"/>
  <c r="CZ47" i="12"/>
  <c r="DB47" i="12" s="1"/>
  <c r="BF47" i="12"/>
  <c r="F72" i="1" s="1"/>
  <c r="CZ48" i="12"/>
  <c r="DB48" i="12" s="1"/>
  <c r="BF48" i="12"/>
  <c r="F73" i="1" s="1"/>
  <c r="CZ20" i="12"/>
  <c r="DB20" i="12" s="1"/>
  <c r="BF20" i="12"/>
  <c r="F25" i="1" s="1"/>
  <c r="CZ13" i="12"/>
  <c r="DB13" i="12" s="1"/>
  <c r="BF13" i="12"/>
  <c r="F11" i="1" s="1"/>
  <c r="CZ21" i="12"/>
  <c r="DB21" i="12" s="1"/>
  <c r="BF21" i="12"/>
  <c r="F26" i="1" s="1"/>
  <c r="CZ45" i="12"/>
  <c r="DB45" i="12" s="1"/>
  <c r="BF45" i="12"/>
  <c r="F70" i="1" s="1"/>
  <c r="CZ11" i="12"/>
  <c r="DB11" i="12" s="1"/>
  <c r="BF11" i="12"/>
  <c r="F9" i="1" s="1"/>
  <c r="CU51" i="12"/>
  <c r="CX19" i="12"/>
  <c r="CZ32" i="12"/>
  <c r="DB32" i="12" s="1"/>
  <c r="BF32" i="12"/>
  <c r="F37" i="1" s="1"/>
  <c r="BF54" i="12"/>
  <c r="F46" i="1" s="1"/>
  <c r="CZ54" i="12"/>
  <c r="CZ12" i="12"/>
  <c r="DB12" i="12" s="1"/>
  <c r="BF12" i="12"/>
  <c r="F10" i="1" s="1"/>
  <c r="BF22" i="12"/>
  <c r="F27" i="1" s="1"/>
  <c r="CZ22" i="12"/>
  <c r="DB22" i="12" s="1"/>
  <c r="CZ28" i="12"/>
  <c r="DB28" i="12" s="1"/>
  <c r="BF28" i="12"/>
  <c r="F33" i="1" s="1"/>
  <c r="BF36" i="12"/>
  <c r="F41" i="1" s="1"/>
  <c r="CZ36" i="12"/>
  <c r="DB36" i="12" s="1"/>
  <c r="BF39" i="12"/>
  <c r="F44" i="1" s="1"/>
  <c r="CZ39" i="12"/>
  <c r="DB39" i="12" s="1"/>
  <c r="BF26" i="12"/>
  <c r="F31" i="1" s="1"/>
  <c r="CZ26" i="12"/>
  <c r="DB26" i="12" s="1"/>
  <c r="CZ14" i="12"/>
  <c r="DB14" i="12" s="1"/>
  <c r="BF14" i="12"/>
  <c r="F12" i="1" s="1"/>
  <c r="CZ23" i="12"/>
  <c r="DB23" i="12" s="1"/>
  <c r="BF23" i="12"/>
  <c r="F28" i="1" s="1"/>
  <c r="BF40" i="12"/>
  <c r="F45" i="1" s="1"/>
  <c r="CZ40" i="12"/>
  <c r="DB40" i="12" s="1"/>
  <c r="BF44" i="12"/>
  <c r="F69" i="1" s="1"/>
  <c r="CZ44" i="12"/>
  <c r="DB44" i="12" s="1"/>
  <c r="CX54" i="12"/>
  <c r="H46" i="1" s="1"/>
  <c r="CZ15" i="12"/>
  <c r="DB15" i="12" s="1"/>
  <c r="BF15" i="12"/>
  <c r="F13" i="1" s="1"/>
  <c r="CZ24" i="12"/>
  <c r="DB24" i="12" s="1"/>
  <c r="BF24" i="12"/>
  <c r="F29" i="1" s="1"/>
  <c r="BF33" i="12"/>
  <c r="F38" i="1" s="1"/>
  <c r="CZ33" i="12"/>
  <c r="DB33" i="12" s="1"/>
  <c r="CZ41" i="12"/>
  <c r="DB41" i="12" s="1"/>
  <c r="BF41" i="12"/>
  <c r="F66" i="1" s="1"/>
  <c r="CZ46" i="12"/>
  <c r="DB46" i="12" s="1"/>
  <c r="BF46" i="12"/>
  <c r="F71" i="1" s="1"/>
  <c r="BF57" i="12"/>
  <c r="F49" i="1" s="1"/>
  <c r="CZ25" i="12"/>
  <c r="DB25" i="12" s="1"/>
  <c r="BF25" i="12"/>
  <c r="F30" i="1" s="1"/>
  <c r="CZ85" i="12"/>
  <c r="CX91" i="12"/>
  <c r="H145" i="1" s="1"/>
  <c r="CX95" i="12"/>
  <c r="H149" i="1" s="1"/>
  <c r="CZ100" i="12"/>
  <c r="BF100" i="12"/>
  <c r="F154" i="1" s="1"/>
  <c r="DA100" i="12"/>
  <c r="BF102" i="12"/>
  <c r="F156" i="1" s="1"/>
  <c r="CZ102" i="12"/>
  <c r="DA50" i="12"/>
  <c r="DB50" i="12" s="1"/>
  <c r="BD80" i="12"/>
  <c r="CZ81" i="12"/>
  <c r="BD82" i="12"/>
  <c r="CZ92" i="12"/>
  <c r="BF92" i="12"/>
  <c r="F146" i="1" s="1"/>
  <c r="DA92" i="12"/>
  <c r="CZ96" i="12"/>
  <c r="DB96" i="12" s="1"/>
  <c r="BF96" i="12"/>
  <c r="F150" i="1" s="1"/>
  <c r="DA96" i="12"/>
  <c r="CX100" i="12"/>
  <c r="H154" i="1" s="1"/>
  <c r="BF103" i="12"/>
  <c r="F157" i="1" s="1"/>
  <c r="CZ103" i="12"/>
  <c r="DA103" i="12"/>
  <c r="BF104" i="12"/>
  <c r="F158" i="1" s="1"/>
  <c r="CZ104" i="12"/>
  <c r="DB104" i="12" s="1"/>
  <c r="CY19" i="12"/>
  <c r="CY51" i="12" s="1"/>
  <c r="BC59" i="12"/>
  <c r="CV80" i="12"/>
  <c r="CZ84" i="12"/>
  <c r="CX84" i="12"/>
  <c r="H132" i="1" s="1"/>
  <c r="CX92" i="12"/>
  <c r="H146" i="1" s="1"/>
  <c r="CX96" i="12"/>
  <c r="H150" i="1" s="1"/>
  <c r="CX102" i="12"/>
  <c r="H156" i="1" s="1"/>
  <c r="CX103" i="12"/>
  <c r="H157" i="1" s="1"/>
  <c r="CZ105" i="12"/>
  <c r="DB105" i="12" s="1"/>
  <c r="BF105" i="12"/>
  <c r="F159" i="1" s="1"/>
  <c r="CZ49" i="12"/>
  <c r="DB49" i="12" s="1"/>
  <c r="BD55" i="12"/>
  <c r="DA55" i="12" s="1"/>
  <c r="CU86" i="12"/>
  <c r="CV82" i="12"/>
  <c r="CX82" i="12" s="1"/>
  <c r="H130" i="1" s="1"/>
  <c r="CZ83" i="12"/>
  <c r="BD84" i="12"/>
  <c r="DA84" i="12" s="1"/>
  <c r="BF89" i="12"/>
  <c r="F143" i="1" s="1"/>
  <c r="BC106" i="12"/>
  <c r="CZ89" i="12"/>
  <c r="BF93" i="12"/>
  <c r="F147" i="1" s="1"/>
  <c r="CZ93" i="12"/>
  <c r="DB93" i="12" s="1"/>
  <c r="DA93" i="12"/>
  <c r="BF97" i="12"/>
  <c r="F151" i="1" s="1"/>
  <c r="CZ97" i="12"/>
  <c r="DA97" i="12"/>
  <c r="CY7" i="12"/>
  <c r="CY16" i="12" s="1"/>
  <c r="DA7" i="12"/>
  <c r="DA16" i="12" s="1"/>
  <c r="DE16" i="12" s="1"/>
  <c r="DA19" i="12"/>
  <c r="CT73" i="12"/>
  <c r="BC55" i="12"/>
  <c r="BC56" i="12"/>
  <c r="CU57" i="12"/>
  <c r="CX57" i="12" s="1"/>
  <c r="H49" i="1" s="1"/>
  <c r="CU59" i="12"/>
  <c r="CX59" i="12" s="1"/>
  <c r="H51" i="1" s="1"/>
  <c r="CU62" i="12"/>
  <c r="CX62" i="12" s="1"/>
  <c r="H54" i="1" s="1"/>
  <c r="BC63" i="12"/>
  <c r="BF67" i="12"/>
  <c r="F59" i="1" s="1"/>
  <c r="CZ67" i="12"/>
  <c r="DB67" i="12" s="1"/>
  <c r="CX89" i="12"/>
  <c r="H143" i="1" s="1"/>
  <c r="CU106" i="12"/>
  <c r="CX93" i="12"/>
  <c r="H147" i="1" s="1"/>
  <c r="CX97" i="12"/>
  <c r="H151" i="1" s="1"/>
  <c r="BC10" i="12"/>
  <c r="BC16" i="12" s="1"/>
  <c r="BC60" i="12"/>
  <c r="BF68" i="12"/>
  <c r="F60" i="1" s="1"/>
  <c r="CZ68" i="12"/>
  <c r="DB68" i="12" s="1"/>
  <c r="BC77" i="12"/>
  <c r="BF76" i="12"/>
  <c r="CZ76" i="12"/>
  <c r="CZ90" i="12"/>
  <c r="BF90" i="12"/>
  <c r="F144" i="1" s="1"/>
  <c r="DA90" i="12"/>
  <c r="CZ94" i="12"/>
  <c r="BF94" i="12"/>
  <c r="F148" i="1" s="1"/>
  <c r="DA94" i="12"/>
  <c r="CZ98" i="12"/>
  <c r="BF98" i="12"/>
  <c r="F152" i="1" s="1"/>
  <c r="DA98" i="12"/>
  <c r="CV99" i="12"/>
  <c r="CV106" i="12" s="1"/>
  <c r="K34" i="12"/>
  <c r="BD34" i="12" s="1"/>
  <c r="DA34" i="12" s="1"/>
  <c r="K37" i="12"/>
  <c r="BD37" i="12" s="1"/>
  <c r="DA37" i="12" s="1"/>
  <c r="BC58" i="12"/>
  <c r="CU63" i="12"/>
  <c r="CX63" i="12" s="1"/>
  <c r="H55" i="1" s="1"/>
  <c r="BF65" i="12"/>
  <c r="F57" i="1" s="1"/>
  <c r="CZ65" i="12"/>
  <c r="DB65" i="12" s="1"/>
  <c r="CZ69" i="12"/>
  <c r="DB69" i="12" s="1"/>
  <c r="BF69" i="12"/>
  <c r="F61" i="1" s="1"/>
  <c r="CX83" i="12"/>
  <c r="H131" i="1" s="1"/>
  <c r="CX90" i="12"/>
  <c r="H144" i="1" s="1"/>
  <c r="CX94" i="12"/>
  <c r="H148" i="1" s="1"/>
  <c r="CX98" i="12"/>
  <c r="H152" i="1" s="1"/>
  <c r="CV101" i="12"/>
  <c r="CX101" i="12" s="1"/>
  <c r="H155" i="1" s="1"/>
  <c r="CY73" i="12"/>
  <c r="BC61" i="12"/>
  <c r="K61" i="12"/>
  <c r="BD61" i="12" s="1"/>
  <c r="DA61" i="12" s="1"/>
  <c r="DA73" i="12" s="1"/>
  <c r="CZ64" i="12"/>
  <c r="CX76" i="12"/>
  <c r="CU77" i="12"/>
  <c r="BF91" i="12"/>
  <c r="F145" i="1" s="1"/>
  <c r="CZ91" i="12"/>
  <c r="DB91" i="12" s="1"/>
  <c r="BF95" i="12"/>
  <c r="F149" i="1" s="1"/>
  <c r="CZ95" i="12"/>
  <c r="DB95" i="12" s="1"/>
  <c r="BF99" i="12"/>
  <c r="F153" i="1" s="1"/>
  <c r="CZ99" i="12"/>
  <c r="DA99" i="12"/>
  <c r="BF101" i="12"/>
  <c r="F155" i="1" s="1"/>
  <c r="CZ101" i="12"/>
  <c r="BF66" i="12"/>
  <c r="F58" i="1" s="1"/>
  <c r="BF71" i="12"/>
  <c r="F63" i="1" s="1"/>
  <c r="BD77" i="12"/>
  <c r="BR85" i="12"/>
  <c r="CV85" i="12" s="1"/>
  <c r="CY89" i="12"/>
  <c r="CY106" i="12" s="1"/>
  <c r="BC116" i="12"/>
  <c r="CX109" i="12"/>
  <c r="BF113" i="12"/>
  <c r="BD116" i="12"/>
  <c r="DA70" i="12"/>
  <c r="DB70" i="12" s="1"/>
  <c r="CY80" i="12"/>
  <c r="CY86" i="12" s="1"/>
  <c r="DA89" i="12"/>
  <c r="CY109" i="12"/>
  <c r="CY116" i="12" s="1"/>
  <c r="CZ112" i="12"/>
  <c r="DB112" i="12" s="1"/>
  <c r="K64" i="12"/>
  <c r="BD64" i="12" s="1"/>
  <c r="DA64" i="12" s="1"/>
  <c r="CZ72" i="12"/>
  <c r="DB72" i="12" s="1"/>
  <c r="CZ109" i="12"/>
  <c r="N81" i="12"/>
  <c r="BD81" i="12" s="1"/>
  <c r="DA81" i="12" s="1"/>
  <c r="BO81" i="12"/>
  <c r="CV81" i="12" s="1"/>
  <c r="CX81" i="12" s="1"/>
  <c r="H129" i="1" s="1"/>
  <c r="BC80" i="12"/>
  <c r="BC82" i="12"/>
  <c r="T83" i="12"/>
  <c r="BD83" i="12" s="1"/>
  <c r="DB99" i="12" l="1"/>
  <c r="DB94" i="12"/>
  <c r="DA51" i="12"/>
  <c r="DE72" i="12" s="1"/>
  <c r="DB97" i="12"/>
  <c r="CX51" i="12"/>
  <c r="H24" i="1"/>
  <c r="CY106" i="2"/>
  <c r="DB101" i="12"/>
  <c r="BF77" i="12"/>
  <c r="F126" i="1"/>
  <c r="BC73" i="12"/>
  <c r="DB92" i="12"/>
  <c r="DA101" i="12"/>
  <c r="DA106" i="12" s="1"/>
  <c r="DE105" i="12" s="1"/>
  <c r="CX99" i="12"/>
  <c r="H153" i="1" s="1"/>
  <c r="CX16" i="12"/>
  <c r="H5" i="1"/>
  <c r="DB82" i="2"/>
  <c r="DD82" i="2" s="1"/>
  <c r="BF116" i="12"/>
  <c r="F189" i="1"/>
  <c r="CX116" i="12"/>
  <c r="H185" i="1"/>
  <c r="DA83" i="2"/>
  <c r="H15" i="1"/>
  <c r="DB14" i="2"/>
  <c r="F15" i="1"/>
  <c r="CX77" i="12"/>
  <c r="H126" i="1"/>
  <c r="DB90" i="12"/>
  <c r="DB102" i="12"/>
  <c r="CZ51" i="2"/>
  <c r="DB51" i="2" s="1"/>
  <c r="CX22" i="2"/>
  <c r="H172" i="1" s="1"/>
  <c r="DA68" i="2"/>
  <c r="DB68" i="2" s="1"/>
  <c r="BF68" i="2"/>
  <c r="F139" i="1" s="1"/>
  <c r="DB69" i="2"/>
  <c r="DE69" i="2"/>
  <c r="BF69" i="2"/>
  <c r="F140" i="1" s="1"/>
  <c r="CZ44" i="2"/>
  <c r="DB44" i="2" s="1"/>
  <c r="CZ52" i="2"/>
  <c r="DB52" i="2" s="1"/>
  <c r="CX52" i="2"/>
  <c r="H100" i="1" s="1"/>
  <c r="DA67" i="2"/>
  <c r="CU106" i="2"/>
  <c r="DB54" i="2"/>
  <c r="DA84" i="2"/>
  <c r="DF28" i="2" s="1"/>
  <c r="DE66" i="2"/>
  <c r="BF48" i="2"/>
  <c r="F96" i="1" s="1"/>
  <c r="CZ48" i="2"/>
  <c r="DB48" i="2" s="1"/>
  <c r="DB11" i="2"/>
  <c r="DG66" i="2"/>
  <c r="CZ45" i="2"/>
  <c r="DB45" i="2" s="1"/>
  <c r="BF54" i="2"/>
  <c r="F102" i="1" s="1"/>
  <c r="DB70" i="2"/>
  <c r="DG74" i="2" s="1"/>
  <c r="DE74" i="2"/>
  <c r="CV106" i="2"/>
  <c r="DA106" i="2"/>
  <c r="DF10" i="2"/>
  <c r="CZ16" i="2"/>
  <c r="DB16" i="2" s="1"/>
  <c r="BF16" i="2"/>
  <c r="F166" i="1" s="1"/>
  <c r="BD106" i="2"/>
  <c r="DB86" i="2"/>
  <c r="DB83" i="2"/>
  <c r="DD83" i="2" s="1"/>
  <c r="DE10" i="2"/>
  <c r="DB7" i="2"/>
  <c r="DA83" i="12"/>
  <c r="BF83" i="12"/>
  <c r="F131" i="1" s="1"/>
  <c r="CX85" i="12"/>
  <c r="H133" i="1" s="1"/>
  <c r="DA85" i="12"/>
  <c r="BF61" i="12"/>
  <c r="F53" i="1" s="1"/>
  <c r="CZ61" i="12"/>
  <c r="DB61" i="12" s="1"/>
  <c r="CV86" i="12"/>
  <c r="CZ60" i="12"/>
  <c r="DB60" i="12" s="1"/>
  <c r="BF60" i="12"/>
  <c r="F52" i="1" s="1"/>
  <c r="CZ59" i="12"/>
  <c r="DB59" i="12" s="1"/>
  <c r="BF59" i="12"/>
  <c r="F51" i="1" s="1"/>
  <c r="BF37" i="12"/>
  <c r="F42" i="1" s="1"/>
  <c r="BF10" i="12"/>
  <c r="CZ10" i="12"/>
  <c r="DB10" i="12" s="1"/>
  <c r="CU73" i="12"/>
  <c r="BD51" i="12"/>
  <c r="DB37" i="12"/>
  <c r="CZ51" i="12"/>
  <c r="DB19" i="12"/>
  <c r="CZ62" i="12"/>
  <c r="DB62" i="12" s="1"/>
  <c r="CZ82" i="12"/>
  <c r="BF82" i="12"/>
  <c r="F130" i="1" s="1"/>
  <c r="BF106" i="12"/>
  <c r="BD73" i="12"/>
  <c r="BF81" i="12"/>
  <c r="F129" i="1" s="1"/>
  <c r="DB85" i="12"/>
  <c r="CX73" i="12"/>
  <c r="BF34" i="12"/>
  <c r="F39" i="1" s="1"/>
  <c r="BF80" i="12"/>
  <c r="CZ80" i="12"/>
  <c r="BC86" i="12"/>
  <c r="DB76" i="12"/>
  <c r="DB77" i="12" s="1"/>
  <c r="CZ77" i="12"/>
  <c r="DD76" i="12" s="1"/>
  <c r="DB81" i="12"/>
  <c r="DB34" i="12"/>
  <c r="DB64" i="12"/>
  <c r="DB98" i="12"/>
  <c r="CZ56" i="12"/>
  <c r="DB56" i="12" s="1"/>
  <c r="BF56" i="12"/>
  <c r="F48" i="1" s="1"/>
  <c r="DB84" i="12"/>
  <c r="DA80" i="12"/>
  <c r="BD86" i="12"/>
  <c r="BF64" i="12"/>
  <c r="F56" i="1" s="1"/>
  <c r="CZ58" i="12"/>
  <c r="DB58" i="12" s="1"/>
  <c r="BF58" i="12"/>
  <c r="F50" i="1" s="1"/>
  <c r="BF55" i="12"/>
  <c r="CZ55" i="12"/>
  <c r="DB55" i="12" s="1"/>
  <c r="DB83" i="12"/>
  <c r="BF84" i="12"/>
  <c r="F132" i="1" s="1"/>
  <c r="DB103" i="12"/>
  <c r="DB100" i="12"/>
  <c r="CZ57" i="12"/>
  <c r="DB57" i="12" s="1"/>
  <c r="DB7" i="12"/>
  <c r="DB109" i="12"/>
  <c r="DB116" i="12" s="1"/>
  <c r="CZ116" i="12"/>
  <c r="DD115" i="12" s="1"/>
  <c r="CX80" i="12"/>
  <c r="CZ63" i="12"/>
  <c r="DB63" i="12" s="1"/>
  <c r="BF63" i="12"/>
  <c r="F55" i="1" s="1"/>
  <c r="CZ106" i="12"/>
  <c r="DD105" i="12" s="1"/>
  <c r="DB89" i="12"/>
  <c r="DA82" i="12"/>
  <c r="DB54" i="12"/>
  <c r="BF51" i="12"/>
  <c r="BF86" i="12" l="1"/>
  <c r="F128" i="1"/>
  <c r="DB84" i="2"/>
  <c r="DD84" i="2" s="1"/>
  <c r="CX106" i="2"/>
  <c r="DE28" i="2"/>
  <c r="DF69" i="2"/>
  <c r="BF106" i="2"/>
  <c r="BF73" i="12"/>
  <c r="F47" i="1"/>
  <c r="CX106" i="12"/>
  <c r="CX118" i="12" s="1"/>
  <c r="CZ106" i="2"/>
  <c r="CX86" i="12"/>
  <c r="H128" i="1"/>
  <c r="BF16" i="12"/>
  <c r="BF118" i="12" s="1"/>
  <c r="F8" i="1"/>
  <c r="DB67" i="2"/>
  <c r="DG69" i="2" s="1"/>
  <c r="DG63" i="2"/>
  <c r="DD86" i="2"/>
  <c r="DD106" i="2" s="1"/>
  <c r="DG28" i="2"/>
  <c r="DE63" i="2"/>
  <c r="DB106" i="2"/>
  <c r="DB108" i="2" s="1"/>
  <c r="DB118" i="12" s="1"/>
  <c r="DG10" i="2"/>
  <c r="DF117" i="12"/>
  <c r="DF115" i="12"/>
  <c r="DB16" i="12"/>
  <c r="DA86" i="12"/>
  <c r="DE85" i="12" s="1"/>
  <c r="DB106" i="12"/>
  <c r="DF76" i="12"/>
  <c r="DF78" i="12"/>
  <c r="CZ16" i="12"/>
  <c r="DD16" i="12" s="1"/>
  <c r="DB80" i="12"/>
  <c r="CZ86" i="12"/>
  <c r="DD85" i="12" s="1"/>
  <c r="DB82" i="12"/>
  <c r="DB73" i="12"/>
  <c r="DB51" i="12"/>
  <c r="DF72" i="12" s="1"/>
  <c r="CZ73" i="12"/>
  <c r="DD72" i="12" s="1"/>
  <c r="DB117" i="12" l="1"/>
  <c r="DF18" i="12"/>
  <c r="DF16" i="12"/>
  <c r="DF105" i="12"/>
  <c r="DF107" i="12"/>
  <c r="DF74" i="12"/>
  <c r="DB86" i="12"/>
  <c r="DF87" i="12" l="1"/>
  <c r="DF85" i="12"/>
  <c r="DB119" i="12"/>
  <c r="J77" i="1" l="1"/>
  <c r="AA77" i="1"/>
  <c r="AA78" i="1"/>
  <c r="AA79" i="1"/>
  <c r="AA80" i="1"/>
  <c r="L78" i="1" l="1"/>
  <c r="M78" i="1" s="1"/>
  <c r="N78" i="1" s="1"/>
  <c r="L79" i="1"/>
  <c r="M79" i="1" s="1"/>
  <c r="L77" i="1"/>
  <c r="C77" i="1" s="1"/>
  <c r="E77" i="1" s="1"/>
  <c r="L80" i="1"/>
  <c r="M80" i="1" s="1"/>
  <c r="C78" i="1" l="1"/>
  <c r="E78" i="1" s="1"/>
  <c r="R78" i="1" s="1"/>
  <c r="C79" i="1"/>
  <c r="E79" i="1" s="1"/>
  <c r="O79" i="1" s="1"/>
  <c r="N79" i="1"/>
  <c r="M77" i="1"/>
  <c r="N77" i="1" s="1"/>
  <c r="N80" i="1"/>
  <c r="C80" i="1"/>
  <c r="E80" i="1" s="1"/>
  <c r="P80" i="1" s="1"/>
  <c r="O77" i="1"/>
  <c r="R77" i="1"/>
  <c r="P77" i="1"/>
  <c r="D77" i="1"/>
  <c r="O78" i="1" l="1"/>
  <c r="D78" i="1"/>
  <c r="P78" i="1"/>
  <c r="R79" i="1"/>
  <c r="P79" i="1"/>
  <c r="Q79" i="1" s="1"/>
  <c r="D79" i="1"/>
  <c r="Q78" i="1"/>
  <c r="U78" i="1" s="1"/>
  <c r="AB78" i="1" s="1"/>
  <c r="AF78" i="1" s="1"/>
  <c r="Q77" i="1"/>
  <c r="U77" i="1" s="1"/>
  <c r="AB77" i="1" s="1"/>
  <c r="AF77" i="1" s="1"/>
  <c r="O80" i="1"/>
  <c r="Q80" i="1" s="1"/>
  <c r="U80" i="1" s="1"/>
  <c r="AB80" i="1" s="1"/>
  <c r="AF80" i="1" s="1"/>
  <c r="D80" i="1"/>
  <c r="U79" i="1" l="1"/>
  <c r="AB79" i="1" s="1"/>
  <c r="AF79" i="1" s="1"/>
  <c r="J63" i="1" l="1"/>
  <c r="J64" i="1"/>
  <c r="J232" i="1" l="1"/>
  <c r="K31" i="7" l="1"/>
  <c r="T31" i="7"/>
  <c r="AA221" i="1"/>
  <c r="H221" i="1"/>
  <c r="F221" i="1"/>
  <c r="L221" i="1" l="1"/>
  <c r="M221" i="1" s="1"/>
  <c r="G5" i="1"/>
  <c r="I5" i="1"/>
  <c r="AA5" i="1"/>
  <c r="C221" i="1" l="1"/>
  <c r="E221" i="1" s="1"/>
  <c r="O221" i="1" s="1"/>
  <c r="N221" i="1"/>
  <c r="P221" i="1" l="1"/>
  <c r="Q221" i="1" s="1"/>
  <c r="U221" i="1" s="1"/>
  <c r="AB221" i="1" s="1"/>
  <c r="AF221" i="1" s="1"/>
  <c r="D221" i="1"/>
  <c r="L5" i="1" l="1"/>
  <c r="C5" i="1" l="1"/>
  <c r="E5" i="1" s="1"/>
  <c r="M5" i="1"/>
  <c r="N5" i="1" s="1"/>
  <c r="D5" i="1" l="1"/>
  <c r="O5" i="1"/>
  <c r="R5" i="1"/>
  <c r="P5" i="1"/>
  <c r="Q5" i="1" l="1"/>
  <c r="U5" i="1" s="1"/>
  <c r="AB5" i="1" s="1"/>
  <c r="AF5" i="1" s="1"/>
  <c r="A7" i="1"/>
  <c r="A8" i="1" s="1"/>
  <c r="A9" i="1" s="1"/>
  <c r="A10" i="1" s="1"/>
  <c r="A11" i="1" s="1"/>
  <c r="A12" i="1" s="1"/>
  <c r="A13" i="1" s="1"/>
  <c r="A15" i="1" s="1"/>
  <c r="A16" i="1" s="1"/>
  <c r="A17" i="1" s="1"/>
  <c r="A18" i="1" s="1"/>
  <c r="A19" i="1" s="1"/>
  <c r="A20" i="1" s="1"/>
  <c r="S346" i="1"/>
  <c r="T346" i="1"/>
  <c r="V346" i="1"/>
  <c r="W346" i="1"/>
  <c r="X346" i="1"/>
  <c r="X337" i="1" s="1"/>
  <c r="Y346" i="1"/>
  <c r="Y337" i="1" s="1"/>
  <c r="Z346" i="1"/>
  <c r="AC346" i="1"/>
  <c r="AD346" i="1"/>
  <c r="AE346" i="1"/>
  <c r="M346" i="1"/>
  <c r="O346" i="1"/>
  <c r="P346" i="1"/>
  <c r="R346" i="1"/>
  <c r="G346" i="1"/>
  <c r="I346" i="1"/>
  <c r="J346" i="1"/>
  <c r="K346" i="1"/>
  <c r="AA67" i="1"/>
  <c r="AA66" i="1"/>
  <c r="J61" i="1"/>
  <c r="S297" i="1" l="1"/>
  <c r="S337" i="1" s="1"/>
  <c r="H306" i="1"/>
  <c r="H307" i="1"/>
  <c r="H308" i="1"/>
  <c r="H305" i="1"/>
  <c r="F306" i="1"/>
  <c r="F307" i="1"/>
  <c r="F308" i="1"/>
  <c r="F305" i="1"/>
  <c r="H294" i="1"/>
  <c r="H295" i="1"/>
  <c r="H296" i="1"/>
  <c r="H309" i="1"/>
  <c r="H297" i="1"/>
  <c r="H310" i="1"/>
  <c r="H298" i="1"/>
  <c r="H299" i="1"/>
  <c r="H300" i="1"/>
  <c r="H301" i="1"/>
  <c r="H302" i="1"/>
  <c r="H303" i="1"/>
  <c r="H293" i="1"/>
  <c r="F294" i="1"/>
  <c r="F295" i="1"/>
  <c r="F296" i="1"/>
  <c r="F309" i="1"/>
  <c r="F297" i="1"/>
  <c r="F310" i="1"/>
  <c r="F298" i="1"/>
  <c r="F299" i="1"/>
  <c r="F300" i="1"/>
  <c r="F301" i="1"/>
  <c r="F302" i="1"/>
  <c r="F303" i="1"/>
  <c r="F293" i="1"/>
  <c r="AA302" i="1"/>
  <c r="AA305" i="1"/>
  <c r="AA306" i="1"/>
  <c r="AA307" i="1"/>
  <c r="AA308" i="1"/>
  <c r="H14" i="8"/>
  <c r="G14" i="8"/>
  <c r="H13" i="8"/>
  <c r="G13" i="8"/>
  <c r="H12" i="8"/>
  <c r="G12" i="8"/>
  <c r="H11" i="8"/>
  <c r="G11" i="8"/>
  <c r="H10" i="8"/>
  <c r="G10" i="8"/>
  <c r="H9" i="8"/>
  <c r="G9" i="8"/>
  <c r="H18" i="8"/>
  <c r="G18" i="8"/>
  <c r="H20" i="8"/>
  <c r="G20" i="8"/>
  <c r="H8" i="8"/>
  <c r="G8" i="8"/>
  <c r="H19" i="8"/>
  <c r="G19" i="8"/>
  <c r="H7" i="8"/>
  <c r="G7" i="8"/>
  <c r="H6" i="8"/>
  <c r="G6" i="8"/>
  <c r="H5" i="8"/>
  <c r="G5" i="8"/>
  <c r="H17" i="8"/>
  <c r="G17" i="8"/>
  <c r="H4" i="8"/>
  <c r="G4" i="8"/>
  <c r="H16" i="8"/>
  <c r="G16" i="8"/>
  <c r="H15" i="8"/>
  <c r="H21" i="8" l="1"/>
  <c r="L302" i="1"/>
  <c r="C302" i="1" s="1"/>
  <c r="E302" i="1" s="1"/>
  <c r="L308" i="1"/>
  <c r="M308" i="1" s="1"/>
  <c r="N308" i="1" s="1"/>
  <c r="L306" i="1"/>
  <c r="C306" i="1" s="1"/>
  <c r="E306" i="1" s="1"/>
  <c r="O306" i="1" s="1"/>
  <c r="L305" i="1"/>
  <c r="M305" i="1" s="1"/>
  <c r="N305" i="1" s="1"/>
  <c r="L307" i="1"/>
  <c r="M307" i="1" s="1"/>
  <c r="N307" i="1" s="1"/>
  <c r="A38" i="1"/>
  <c r="A39" i="1" s="1"/>
  <c r="A40" i="1" s="1"/>
  <c r="A41" i="1" s="1"/>
  <c r="A42" i="1" s="1"/>
  <c r="A43" i="1" s="1"/>
  <c r="A44" i="1" s="1"/>
  <c r="A45" i="1" l="1"/>
  <c r="A46" i="1" s="1"/>
  <c r="A47" i="1" s="1"/>
  <c r="A48" i="1" s="1"/>
  <c r="A49" i="1" s="1"/>
  <c r="A50" i="1" s="1"/>
  <c r="A51" i="1" s="1"/>
  <c r="A52" i="1" s="1"/>
  <c r="M306" i="1"/>
  <c r="N306" i="1" s="1"/>
  <c r="M302" i="1"/>
  <c r="N302" i="1" s="1"/>
  <c r="C308" i="1"/>
  <c r="E308" i="1" s="1"/>
  <c r="R308" i="1" s="1"/>
  <c r="C305" i="1"/>
  <c r="D305" i="1" s="1"/>
  <c r="C307" i="1"/>
  <c r="E307" i="1" s="1"/>
  <c r="O307" i="1" s="1"/>
  <c r="D306" i="1"/>
  <c r="P306" i="1"/>
  <c r="Q306" i="1" s="1"/>
  <c r="P302" i="1"/>
  <c r="R302" i="1"/>
  <c r="O302" i="1"/>
  <c r="D302" i="1"/>
  <c r="A53" i="1" l="1"/>
  <c r="A54" i="1" s="1"/>
  <c r="A55" i="1" s="1"/>
  <c r="A56" i="1" s="1"/>
  <c r="A57" i="1" s="1"/>
  <c r="A58" i="1" s="1"/>
  <c r="U306" i="1"/>
  <c r="AB306" i="1" s="1"/>
  <c r="AF306" i="1" s="1"/>
  <c r="P308" i="1"/>
  <c r="O308" i="1"/>
  <c r="D308" i="1"/>
  <c r="E305" i="1"/>
  <c r="R305" i="1" s="1"/>
  <c r="P307" i="1"/>
  <c r="Q307" i="1" s="1"/>
  <c r="U307" i="1" s="1"/>
  <c r="AB307" i="1" s="1"/>
  <c r="AF307" i="1" s="1"/>
  <c r="Q302" i="1"/>
  <c r="U302" i="1" s="1"/>
  <c r="AB302" i="1" s="1"/>
  <c r="AF302" i="1" s="1"/>
  <c r="D307" i="1"/>
  <c r="A59" i="1" l="1"/>
  <c r="A60" i="1" s="1"/>
  <c r="A61" i="1" s="1"/>
  <c r="A62" i="1" s="1"/>
  <c r="A63" i="1" s="1"/>
  <c r="A64" i="1" s="1"/>
  <c r="Q308" i="1"/>
  <c r="U308" i="1" s="1"/>
  <c r="AB308" i="1" s="1"/>
  <c r="AF308" i="1" s="1"/>
  <c r="O305" i="1"/>
  <c r="P305" i="1"/>
  <c r="J228" i="1"/>
  <c r="J197" i="1"/>
  <c r="J124" i="1"/>
  <c r="J133" i="1"/>
  <c r="J191" i="1"/>
  <c r="J132" i="1"/>
  <c r="J101" i="1"/>
  <c r="J109" i="1"/>
  <c r="J98" i="1"/>
  <c r="J196" i="1"/>
  <c r="J327" i="1"/>
  <c r="J62" i="1"/>
  <c r="J88" i="1"/>
  <c r="J205" i="1"/>
  <c r="J34" i="1"/>
  <c r="AA195" i="1"/>
  <c r="AA196" i="1"/>
  <c r="AA197" i="1"/>
  <c r="AA198" i="1"/>
  <c r="AA178" i="1"/>
  <c r="AA177" i="1"/>
  <c r="AA137" i="1"/>
  <c r="AA138" i="1"/>
  <c r="AA140" i="1"/>
  <c r="AA81" i="1"/>
  <c r="AA82" i="1"/>
  <c r="AA83" i="1"/>
  <c r="AA84" i="1"/>
  <c r="AA85" i="1"/>
  <c r="AA86" i="1"/>
  <c r="AA87" i="1"/>
  <c r="AA88" i="1"/>
  <c r="AA89" i="1"/>
  <c r="AA36" i="1"/>
  <c r="AA90" i="1"/>
  <c r="AA91" i="1"/>
  <c r="AA92" i="1"/>
  <c r="AA93" i="1"/>
  <c r="AA94" i="1"/>
  <c r="AA95" i="1"/>
  <c r="AA96" i="1"/>
  <c r="AA97" i="1"/>
  <c r="AA98" i="1"/>
  <c r="AA99" i="1"/>
  <c r="AA24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66" i="1" l="1"/>
  <c r="A67" i="1" s="1"/>
  <c r="A68" i="1" s="1"/>
  <c r="A69" i="1" s="1"/>
  <c r="A70" i="1" s="1"/>
  <c r="A71" i="1" s="1"/>
  <c r="A72" i="1" s="1"/>
  <c r="A73" i="1" s="1"/>
  <c r="A74" i="1" s="1"/>
  <c r="A75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Q305" i="1"/>
  <c r="U305" i="1" s="1"/>
  <c r="AB305" i="1" s="1"/>
  <c r="AF305" i="1" s="1"/>
  <c r="A90" i="1" l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L105" i="1"/>
  <c r="M105" i="1" s="1"/>
  <c r="N105" i="1" s="1"/>
  <c r="L98" i="1"/>
  <c r="C98" i="1" s="1"/>
  <c r="E98" i="1" s="1"/>
  <c r="R98" i="1" s="1"/>
  <c r="L95" i="1"/>
  <c r="C95" i="1" s="1"/>
  <c r="E95" i="1" s="1"/>
  <c r="P95" i="1" s="1"/>
  <c r="L197" i="1"/>
  <c r="C197" i="1" s="1"/>
  <c r="E197" i="1" s="1"/>
  <c r="O197" i="1" s="1"/>
  <c r="L86" i="1"/>
  <c r="M86" i="1" s="1"/>
  <c r="N86" i="1" s="1"/>
  <c r="L195" i="1"/>
  <c r="C195" i="1" s="1"/>
  <c r="E195" i="1" s="1"/>
  <c r="O195" i="1" s="1"/>
  <c r="L137" i="1"/>
  <c r="C137" i="1" s="1"/>
  <c r="E137" i="1" s="1"/>
  <c r="R137" i="1" s="1"/>
  <c r="L91" i="1"/>
  <c r="M91" i="1" s="1"/>
  <c r="N91" i="1" s="1"/>
  <c r="L106" i="1"/>
  <c r="C106" i="1" s="1"/>
  <c r="E106" i="1" s="1"/>
  <c r="O106" i="1" s="1"/>
  <c r="L196" i="1"/>
  <c r="M196" i="1" s="1"/>
  <c r="L85" i="1"/>
  <c r="L100" i="1"/>
  <c r="M100" i="1" s="1"/>
  <c r="N100" i="1" s="1"/>
  <c r="L24" i="1"/>
  <c r="M24" i="1" s="1"/>
  <c r="N24" i="1" s="1"/>
  <c r="L94" i="1"/>
  <c r="M94" i="1" s="1"/>
  <c r="N94" i="1" s="1"/>
  <c r="L110" i="1"/>
  <c r="C110" i="1" s="1"/>
  <c r="L82" i="1"/>
  <c r="L88" i="1"/>
  <c r="C88" i="1" s="1"/>
  <c r="L93" i="1"/>
  <c r="C93" i="1" s="1"/>
  <c r="E93" i="1" s="1"/>
  <c r="L97" i="1"/>
  <c r="M97" i="1" s="1"/>
  <c r="N97" i="1" s="1"/>
  <c r="L83" i="1"/>
  <c r="C83" i="1" s="1"/>
  <c r="E83" i="1" s="1"/>
  <c r="R83" i="1" s="1"/>
  <c r="L111" i="1"/>
  <c r="C111" i="1" s="1"/>
  <c r="E111" i="1" s="1"/>
  <c r="L36" i="1"/>
  <c r="M36" i="1" s="1"/>
  <c r="N36" i="1" s="1"/>
  <c r="L89" i="1"/>
  <c r="C89" i="1" s="1"/>
  <c r="E89" i="1" s="1"/>
  <c r="P89" i="1" s="1"/>
  <c r="L84" i="1"/>
  <c r="C84" i="1" s="1"/>
  <c r="L96" i="1"/>
  <c r="C96" i="1" s="1"/>
  <c r="E96" i="1" s="1"/>
  <c r="L104" i="1"/>
  <c r="M104" i="1" s="1"/>
  <c r="N104" i="1" s="1"/>
  <c r="L103" i="1"/>
  <c r="M103" i="1" s="1"/>
  <c r="N103" i="1" s="1"/>
  <c r="L198" i="1"/>
  <c r="M198" i="1" s="1"/>
  <c r="N198" i="1" s="1"/>
  <c r="L99" i="1"/>
  <c r="M99" i="1" s="1"/>
  <c r="N99" i="1" s="1"/>
  <c r="L101" i="1"/>
  <c r="C101" i="1" s="1"/>
  <c r="E101" i="1" s="1"/>
  <c r="L109" i="1"/>
  <c r="M109" i="1" s="1"/>
  <c r="N109" i="1" s="1"/>
  <c r="L87" i="1"/>
  <c r="L107" i="1"/>
  <c r="L90" i="1"/>
  <c r="L108" i="1"/>
  <c r="L34" i="1"/>
  <c r="L92" i="1"/>
  <c r="L177" i="1"/>
  <c r="M177" i="1" s="1"/>
  <c r="L178" i="1"/>
  <c r="C178" i="1" s="1"/>
  <c r="E178" i="1" s="1"/>
  <c r="O178" i="1" s="1"/>
  <c r="L140" i="1"/>
  <c r="L102" i="1"/>
  <c r="C102" i="1" s="1"/>
  <c r="E102" i="1" s="1"/>
  <c r="P102" i="1" s="1"/>
  <c r="A112" i="1" l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6" i="1" s="1"/>
  <c r="A128" i="1" s="1"/>
  <c r="A129" i="1" s="1"/>
  <c r="A130" i="1" s="1"/>
  <c r="A131" i="1" s="1"/>
  <c r="A132" i="1" s="1"/>
  <c r="A133" i="1" s="1"/>
  <c r="A135" i="1" s="1"/>
  <c r="A136" i="1" s="1"/>
  <c r="A137" i="1" s="1"/>
  <c r="A138" i="1" s="1"/>
  <c r="P137" i="1"/>
  <c r="C196" i="1"/>
  <c r="E196" i="1" s="1"/>
  <c r="O196" i="1" s="1"/>
  <c r="D98" i="1"/>
  <c r="P98" i="1"/>
  <c r="C103" i="1"/>
  <c r="E103" i="1" s="1"/>
  <c r="O98" i="1"/>
  <c r="M137" i="1"/>
  <c r="N137" i="1" s="1"/>
  <c r="D137" i="1"/>
  <c r="C86" i="1"/>
  <c r="E86" i="1" s="1"/>
  <c r="R86" i="1" s="1"/>
  <c r="O137" i="1"/>
  <c r="M98" i="1"/>
  <c r="N98" i="1" s="1"/>
  <c r="C105" i="1"/>
  <c r="E105" i="1" s="1"/>
  <c r="R105" i="1" s="1"/>
  <c r="D195" i="1"/>
  <c r="M110" i="1"/>
  <c r="N110" i="1" s="1"/>
  <c r="D95" i="1"/>
  <c r="O95" i="1"/>
  <c r="Q95" i="1" s="1"/>
  <c r="N196" i="1"/>
  <c r="M95" i="1"/>
  <c r="N95" i="1" s="1"/>
  <c r="D197" i="1"/>
  <c r="C91" i="1"/>
  <c r="E91" i="1" s="1"/>
  <c r="P91" i="1" s="1"/>
  <c r="L138" i="1"/>
  <c r="M138" i="1" s="1"/>
  <c r="N138" i="1" s="1"/>
  <c r="M195" i="1"/>
  <c r="N195" i="1" s="1"/>
  <c r="P197" i="1"/>
  <c r="Q197" i="1" s="1"/>
  <c r="M197" i="1"/>
  <c r="N197" i="1" s="1"/>
  <c r="M106" i="1"/>
  <c r="N106" i="1" s="1"/>
  <c r="C104" i="1"/>
  <c r="E104" i="1" s="1"/>
  <c r="O104" i="1" s="1"/>
  <c r="M88" i="1"/>
  <c r="N88" i="1" s="1"/>
  <c r="C24" i="1"/>
  <c r="E24" i="1" s="1"/>
  <c r="P24" i="1" s="1"/>
  <c r="C100" i="1"/>
  <c r="E100" i="1" s="1"/>
  <c r="O83" i="1"/>
  <c r="C94" i="1"/>
  <c r="E94" i="1" s="1"/>
  <c r="P94" i="1" s="1"/>
  <c r="M83" i="1"/>
  <c r="N83" i="1" s="1"/>
  <c r="P83" i="1"/>
  <c r="M101" i="1"/>
  <c r="N101" i="1" s="1"/>
  <c r="D83" i="1"/>
  <c r="C198" i="1"/>
  <c r="E198" i="1" s="1"/>
  <c r="P198" i="1" s="1"/>
  <c r="M93" i="1"/>
  <c r="N93" i="1" s="1"/>
  <c r="E110" i="1"/>
  <c r="D110" i="1"/>
  <c r="M111" i="1"/>
  <c r="N111" i="1" s="1"/>
  <c r="C82" i="1"/>
  <c r="E82" i="1" s="1"/>
  <c r="R82" i="1" s="1"/>
  <c r="M82" i="1"/>
  <c r="N82" i="1" s="1"/>
  <c r="E88" i="1"/>
  <c r="D88" i="1"/>
  <c r="C36" i="1"/>
  <c r="E36" i="1" s="1"/>
  <c r="R36" i="1" s="1"/>
  <c r="D101" i="1"/>
  <c r="O89" i="1"/>
  <c r="Q89" i="1" s="1"/>
  <c r="C97" i="1"/>
  <c r="E97" i="1" s="1"/>
  <c r="O97" i="1" s="1"/>
  <c r="M89" i="1"/>
  <c r="N89" i="1" s="1"/>
  <c r="P195" i="1"/>
  <c r="Q195" i="1" s="1"/>
  <c r="P111" i="1"/>
  <c r="O111" i="1"/>
  <c r="D93" i="1"/>
  <c r="D89" i="1"/>
  <c r="M96" i="1"/>
  <c r="N96" i="1" s="1"/>
  <c r="M84" i="1"/>
  <c r="N84" i="1" s="1"/>
  <c r="C109" i="1"/>
  <c r="E109" i="1" s="1"/>
  <c r="P109" i="1" s="1"/>
  <c r="D111" i="1"/>
  <c r="R96" i="1"/>
  <c r="P96" i="1"/>
  <c r="O96" i="1"/>
  <c r="E84" i="1"/>
  <c r="D84" i="1"/>
  <c r="D178" i="1"/>
  <c r="D96" i="1"/>
  <c r="C177" i="1"/>
  <c r="D177" i="1" s="1"/>
  <c r="C99" i="1"/>
  <c r="E99" i="1" s="1"/>
  <c r="D106" i="1"/>
  <c r="C140" i="1"/>
  <c r="E140" i="1" s="1"/>
  <c r="M140" i="1"/>
  <c r="N140" i="1" s="1"/>
  <c r="D102" i="1"/>
  <c r="N177" i="1"/>
  <c r="M85" i="1"/>
  <c r="N85" i="1" s="1"/>
  <c r="C85" i="1"/>
  <c r="E85" i="1" s="1"/>
  <c r="M90" i="1"/>
  <c r="N90" i="1" s="1"/>
  <c r="C90" i="1"/>
  <c r="P178" i="1"/>
  <c r="Q178" i="1" s="1"/>
  <c r="M102" i="1"/>
  <c r="N102" i="1" s="1"/>
  <c r="R93" i="1"/>
  <c r="P93" i="1"/>
  <c r="O93" i="1"/>
  <c r="M92" i="1"/>
  <c r="N92" i="1" s="1"/>
  <c r="C92" i="1"/>
  <c r="E92" i="1" s="1"/>
  <c r="M178" i="1"/>
  <c r="N178" i="1" s="1"/>
  <c r="O102" i="1"/>
  <c r="Q102" i="1" s="1"/>
  <c r="M108" i="1"/>
  <c r="N108" i="1" s="1"/>
  <c r="C108" i="1"/>
  <c r="E108" i="1" s="1"/>
  <c r="M107" i="1"/>
  <c r="N107" i="1" s="1"/>
  <c r="C107" i="1"/>
  <c r="E107" i="1" s="1"/>
  <c r="M87" i="1"/>
  <c r="N87" i="1" s="1"/>
  <c r="C87" i="1"/>
  <c r="R106" i="1"/>
  <c r="P106" i="1"/>
  <c r="Q106" i="1" s="1"/>
  <c r="O101" i="1"/>
  <c r="P101" i="1"/>
  <c r="A139" i="1" l="1"/>
  <c r="A140" i="1" s="1"/>
  <c r="A141" i="1" s="1"/>
  <c r="A143" i="1" s="1"/>
  <c r="A144" i="1" s="1"/>
  <c r="D103" i="1"/>
  <c r="Q137" i="1"/>
  <c r="U137" i="1" s="1"/>
  <c r="AB137" i="1" s="1"/>
  <c r="AF137" i="1" s="1"/>
  <c r="Q98" i="1"/>
  <c r="U98" i="1" s="1"/>
  <c r="AB98" i="1" s="1"/>
  <c r="AF98" i="1" s="1"/>
  <c r="O86" i="1"/>
  <c r="D196" i="1"/>
  <c r="P196" i="1"/>
  <c r="Q196" i="1" s="1"/>
  <c r="U196" i="1" s="1"/>
  <c r="AB196" i="1" s="1"/>
  <c r="AF196" i="1" s="1"/>
  <c r="D100" i="1"/>
  <c r="O105" i="1"/>
  <c r="D105" i="1"/>
  <c r="P86" i="1"/>
  <c r="D36" i="1"/>
  <c r="D86" i="1"/>
  <c r="C138" i="1"/>
  <c r="E138" i="1" s="1"/>
  <c r="P138" i="1" s="1"/>
  <c r="P105" i="1"/>
  <c r="D91" i="1"/>
  <c r="O91" i="1"/>
  <c r="Q91" i="1" s="1"/>
  <c r="U91" i="1" s="1"/>
  <c r="AB91" i="1" s="1"/>
  <c r="AF91" i="1" s="1"/>
  <c r="U95" i="1"/>
  <c r="AB95" i="1" s="1"/>
  <c r="AF95" i="1" s="1"/>
  <c r="D104" i="1"/>
  <c r="O109" i="1"/>
  <c r="Q109" i="1" s="1"/>
  <c r="U109" i="1" s="1"/>
  <c r="AB109" i="1" s="1"/>
  <c r="AF109" i="1" s="1"/>
  <c r="U197" i="1"/>
  <c r="AB197" i="1" s="1"/>
  <c r="AF197" i="1" s="1"/>
  <c r="D94" i="1"/>
  <c r="U102" i="1"/>
  <c r="AB102" i="1" s="1"/>
  <c r="AF102" i="1" s="1"/>
  <c r="U195" i="1"/>
  <c r="AB195" i="1" s="1"/>
  <c r="AF195" i="1" s="1"/>
  <c r="D24" i="1"/>
  <c r="O24" i="1"/>
  <c r="Q24" i="1" s="1"/>
  <c r="U24" i="1" s="1"/>
  <c r="AB24" i="1" s="1"/>
  <c r="AF24" i="1" s="1"/>
  <c r="D198" i="1"/>
  <c r="D109" i="1"/>
  <c r="Q83" i="1"/>
  <c r="U83" i="1" s="1"/>
  <c r="AB83" i="1" s="1"/>
  <c r="AF83" i="1" s="1"/>
  <c r="O94" i="1"/>
  <c r="Q94" i="1" s="1"/>
  <c r="U94" i="1" s="1"/>
  <c r="AB94" i="1" s="1"/>
  <c r="AF94" i="1" s="1"/>
  <c r="P36" i="1"/>
  <c r="O36" i="1"/>
  <c r="R104" i="1"/>
  <c r="P104" i="1"/>
  <c r="Q104" i="1" s="1"/>
  <c r="P97" i="1"/>
  <c r="Q97" i="1" s="1"/>
  <c r="U97" i="1" s="1"/>
  <c r="AB97" i="1" s="1"/>
  <c r="AF97" i="1" s="1"/>
  <c r="D97" i="1"/>
  <c r="D85" i="1"/>
  <c r="O198" i="1"/>
  <c r="Q198" i="1" s="1"/>
  <c r="U198" i="1" s="1"/>
  <c r="AB198" i="1" s="1"/>
  <c r="AF198" i="1" s="1"/>
  <c r="P82" i="1"/>
  <c r="P110" i="1"/>
  <c r="O110" i="1"/>
  <c r="O82" i="1"/>
  <c r="U89" i="1"/>
  <c r="AB89" i="1" s="1"/>
  <c r="AF89" i="1" s="1"/>
  <c r="D82" i="1"/>
  <c r="Q111" i="1"/>
  <c r="U111" i="1" s="1"/>
  <c r="AB111" i="1" s="1"/>
  <c r="AF111" i="1" s="1"/>
  <c r="U106" i="1"/>
  <c r="AB106" i="1" s="1"/>
  <c r="AF106" i="1" s="1"/>
  <c r="D140" i="1"/>
  <c r="P88" i="1"/>
  <c r="O88" i="1"/>
  <c r="D99" i="1"/>
  <c r="U178" i="1"/>
  <c r="AB178" i="1" s="1"/>
  <c r="AF178" i="1" s="1"/>
  <c r="Q93" i="1"/>
  <c r="U93" i="1" s="1"/>
  <c r="AB93" i="1" s="1"/>
  <c r="AF93" i="1" s="1"/>
  <c r="P84" i="1"/>
  <c r="O84" i="1"/>
  <c r="P99" i="1"/>
  <c r="O99" i="1"/>
  <c r="Q96" i="1"/>
  <c r="U96" i="1" s="1"/>
  <c r="AB96" i="1" s="1"/>
  <c r="AF96" i="1" s="1"/>
  <c r="E177" i="1"/>
  <c r="O177" i="1" s="1"/>
  <c r="D108" i="1"/>
  <c r="P107" i="1"/>
  <c r="O107" i="1"/>
  <c r="P100" i="1"/>
  <c r="O100" i="1"/>
  <c r="R85" i="1"/>
  <c r="O85" i="1"/>
  <c r="P85" i="1"/>
  <c r="R140" i="1"/>
  <c r="P140" i="1"/>
  <c r="O140" i="1"/>
  <c r="R108" i="1"/>
  <c r="O108" i="1"/>
  <c r="P108" i="1"/>
  <c r="D92" i="1"/>
  <c r="E87" i="1"/>
  <c r="D87" i="1"/>
  <c r="D107" i="1"/>
  <c r="R92" i="1"/>
  <c r="P92" i="1"/>
  <c r="O92" i="1"/>
  <c r="E90" i="1"/>
  <c r="D90" i="1"/>
  <c r="P103" i="1"/>
  <c r="O103" i="1"/>
  <c r="Q101" i="1"/>
  <c r="U101" i="1" s="1"/>
  <c r="AB101" i="1" s="1"/>
  <c r="AF101" i="1" s="1"/>
  <c r="A145" i="1" l="1"/>
  <c r="A146" i="1" s="1"/>
  <c r="A147" i="1" s="1"/>
  <c r="D138" i="1"/>
  <c r="Q86" i="1"/>
  <c r="U86" i="1" s="1"/>
  <c r="AB86" i="1" s="1"/>
  <c r="AF86" i="1" s="1"/>
  <c r="Q105" i="1"/>
  <c r="U105" i="1" s="1"/>
  <c r="AB105" i="1" s="1"/>
  <c r="AF105" i="1" s="1"/>
  <c r="R138" i="1"/>
  <c r="O138" i="1"/>
  <c r="Q138" i="1" s="1"/>
  <c r="Q36" i="1"/>
  <c r="U36" i="1" s="1"/>
  <c r="AB36" i="1" s="1"/>
  <c r="AF36" i="1" s="1"/>
  <c r="U104" i="1"/>
  <c r="AB104" i="1" s="1"/>
  <c r="AF104" i="1" s="1"/>
  <c r="Q82" i="1"/>
  <c r="U82" i="1" s="1"/>
  <c r="AB82" i="1" s="1"/>
  <c r="AF82" i="1" s="1"/>
  <c r="Q110" i="1"/>
  <c r="U110" i="1" s="1"/>
  <c r="AB110" i="1" s="1"/>
  <c r="AF110" i="1" s="1"/>
  <c r="Q88" i="1"/>
  <c r="U88" i="1" s="1"/>
  <c r="AB88" i="1" s="1"/>
  <c r="AF88" i="1" s="1"/>
  <c r="P177" i="1"/>
  <c r="Q177" i="1" s="1"/>
  <c r="U177" i="1" s="1"/>
  <c r="AB177" i="1" s="1"/>
  <c r="AF177" i="1" s="1"/>
  <c r="Q108" i="1"/>
  <c r="U108" i="1" s="1"/>
  <c r="AB108" i="1" s="1"/>
  <c r="AF108" i="1" s="1"/>
  <c r="Q100" i="1"/>
  <c r="U100" i="1" s="1"/>
  <c r="AB100" i="1" s="1"/>
  <c r="AF100" i="1" s="1"/>
  <c r="Q99" i="1"/>
  <c r="U99" i="1" s="1"/>
  <c r="AB99" i="1" s="1"/>
  <c r="AF99" i="1" s="1"/>
  <c r="Q107" i="1"/>
  <c r="U107" i="1" s="1"/>
  <c r="AB107" i="1" s="1"/>
  <c r="AF107" i="1" s="1"/>
  <c r="Q84" i="1"/>
  <c r="U84" i="1" s="1"/>
  <c r="AB84" i="1" s="1"/>
  <c r="AF84" i="1" s="1"/>
  <c r="R90" i="1"/>
  <c r="P90" i="1"/>
  <c r="O90" i="1"/>
  <c r="Q92" i="1"/>
  <c r="U92" i="1" s="1"/>
  <c r="AB92" i="1" s="1"/>
  <c r="AF92" i="1" s="1"/>
  <c r="R87" i="1"/>
  <c r="O87" i="1"/>
  <c r="P87" i="1"/>
  <c r="Q103" i="1"/>
  <c r="U103" i="1" s="1"/>
  <c r="AB103" i="1" s="1"/>
  <c r="AF103" i="1" s="1"/>
  <c r="Q140" i="1"/>
  <c r="U140" i="1" s="1"/>
  <c r="AB140" i="1" s="1"/>
  <c r="AF140" i="1" s="1"/>
  <c r="Q85" i="1"/>
  <c r="U85" i="1" s="1"/>
  <c r="AB85" i="1" s="1"/>
  <c r="AF85" i="1" s="1"/>
  <c r="J210" i="1"/>
  <c r="J254" i="1" s="1"/>
  <c r="T14" i="9"/>
  <c r="H214" i="1" s="1"/>
  <c r="T15" i="9"/>
  <c r="H215" i="1" s="1"/>
  <c r="H219" i="1"/>
  <c r="T17" i="9"/>
  <c r="H217" i="1" s="1"/>
  <c r="T16" i="9"/>
  <c r="H216" i="1" s="1"/>
  <c r="T6" i="9"/>
  <c r="H206" i="1" s="1"/>
  <c r="T7" i="9"/>
  <c r="H207" i="1" s="1"/>
  <c r="T8" i="9"/>
  <c r="H208" i="1" s="1"/>
  <c r="T9" i="9"/>
  <c r="H209" i="1" s="1"/>
  <c r="T10" i="9"/>
  <c r="H210" i="1" s="1"/>
  <c r="T11" i="9"/>
  <c r="H211" i="1" s="1"/>
  <c r="T12" i="9"/>
  <c r="H212" i="1" s="1"/>
  <c r="T5" i="9"/>
  <c r="H205" i="1" s="1"/>
  <c r="A148" i="1" l="1"/>
  <c r="A149" i="1" s="1"/>
  <c r="A150" i="1" s="1"/>
  <c r="A151" i="1" s="1"/>
  <c r="U138" i="1"/>
  <c r="AB138" i="1" s="1"/>
  <c r="AF138" i="1" s="1"/>
  <c r="Q90" i="1"/>
  <c r="U90" i="1" s="1"/>
  <c r="AB90" i="1" s="1"/>
  <c r="AF90" i="1" s="1"/>
  <c r="Q87" i="1"/>
  <c r="U87" i="1" s="1"/>
  <c r="AB87" i="1" s="1"/>
  <c r="AF87" i="1" s="1"/>
  <c r="K15" i="9"/>
  <c r="F215" i="1" s="1"/>
  <c r="K8" i="9"/>
  <c r="F208" i="1" s="1"/>
  <c r="K9" i="9"/>
  <c r="F209" i="1" s="1"/>
  <c r="K5" i="9"/>
  <c r="F205" i="1" s="1"/>
  <c r="W321" i="1"/>
  <c r="W317" i="1"/>
  <c r="W331" i="1"/>
  <c r="W319" i="1"/>
  <c r="W322" i="1"/>
  <c r="W326" i="1"/>
  <c r="W316" i="1"/>
  <c r="W315" i="1"/>
  <c r="AA315" i="1" s="1"/>
  <c r="W333" i="1"/>
  <c r="AA333" i="1" s="1"/>
  <c r="W314" i="1"/>
  <c r="AA314" i="1" s="1"/>
  <c r="W313" i="1"/>
  <c r="AA312" i="1"/>
  <c r="BN25" i="10"/>
  <c r="W337" i="1" l="1"/>
  <c r="A152" i="1"/>
  <c r="A153" i="1" s="1"/>
  <c r="A154" i="1" s="1"/>
  <c r="A155" i="1" s="1"/>
  <c r="A156" i="1" s="1"/>
  <c r="A157" i="1" s="1"/>
  <c r="AA313" i="1"/>
  <c r="AH25" i="10"/>
  <c r="AI18" i="10"/>
  <c r="F332" i="1" s="1"/>
  <c r="AI19" i="10"/>
  <c r="F325" i="1" s="1"/>
  <c r="BK21" i="10"/>
  <c r="BO21" i="10" s="1"/>
  <c r="H327" i="1" s="1"/>
  <c r="AE21" i="10"/>
  <c r="AI21" i="10" s="1"/>
  <c r="F327" i="1" s="1"/>
  <c r="AD21" i="10"/>
  <c r="BK20" i="10"/>
  <c r="BO20" i="10" s="1"/>
  <c r="H326" i="1" s="1"/>
  <c r="BJ20" i="10"/>
  <c r="AE20" i="10"/>
  <c r="AI20" i="10" s="1"/>
  <c r="F326" i="1" s="1"/>
  <c r="AD20" i="10"/>
  <c r="BK19" i="10"/>
  <c r="BO19" i="10" s="1"/>
  <c r="H325" i="1" s="1"/>
  <c r="BJ19" i="10"/>
  <c r="BK18" i="10"/>
  <c r="BO18" i="10" s="1"/>
  <c r="H332" i="1" s="1"/>
  <c r="BJ18" i="10"/>
  <c r="BK23" i="10"/>
  <c r="BO23" i="10" s="1"/>
  <c r="H330" i="1" s="1"/>
  <c r="BJ23" i="10"/>
  <c r="AE23" i="10"/>
  <c r="AI23" i="10" s="1"/>
  <c r="F330" i="1" s="1"/>
  <c r="AD23" i="10"/>
  <c r="BK22" i="10"/>
  <c r="BO22" i="10" s="1"/>
  <c r="H329" i="1" s="1"/>
  <c r="BJ22" i="10"/>
  <c r="AE22" i="10"/>
  <c r="AI22" i="10" s="1"/>
  <c r="F329" i="1" s="1"/>
  <c r="AD22" i="10"/>
  <c r="BK17" i="10"/>
  <c r="BO17" i="10" s="1"/>
  <c r="H324" i="1" s="1"/>
  <c r="BJ17" i="10"/>
  <c r="AE17" i="10"/>
  <c r="AI17" i="10" s="1"/>
  <c r="F324" i="1" s="1"/>
  <c r="AD17" i="10"/>
  <c r="BK16" i="10"/>
  <c r="BO16" i="10" s="1"/>
  <c r="H323" i="1" s="1"/>
  <c r="BJ16" i="10"/>
  <c r="AE16" i="10"/>
  <c r="AI16" i="10" s="1"/>
  <c r="F323" i="1" s="1"/>
  <c r="AD16" i="10"/>
  <c r="BK15" i="10"/>
  <c r="BO15" i="10" s="1"/>
  <c r="H322" i="1" s="1"/>
  <c r="BJ15" i="10"/>
  <c r="AE15" i="10"/>
  <c r="AI15" i="10" s="1"/>
  <c r="F322" i="1" s="1"/>
  <c r="AD15" i="10"/>
  <c r="BK14" i="10"/>
  <c r="BO14" i="10" s="1"/>
  <c r="H321" i="1" s="1"/>
  <c r="BJ14" i="10"/>
  <c r="AE14" i="10"/>
  <c r="AI14" i="10" s="1"/>
  <c r="F321" i="1" s="1"/>
  <c r="AD14" i="10"/>
  <c r="BK13" i="10"/>
  <c r="BO13" i="10" s="1"/>
  <c r="H320" i="1" s="1"/>
  <c r="BJ13" i="10"/>
  <c r="AE13" i="10"/>
  <c r="AI13" i="10" s="1"/>
  <c r="F320" i="1" s="1"/>
  <c r="AD13" i="10"/>
  <c r="BK12" i="10"/>
  <c r="BO12" i="10" s="1"/>
  <c r="H319" i="1" s="1"/>
  <c r="BJ12" i="10"/>
  <c r="AE12" i="10"/>
  <c r="AI12" i="10" s="1"/>
  <c r="F319" i="1" s="1"/>
  <c r="AD12" i="10"/>
  <c r="BK11" i="10"/>
  <c r="BO11" i="10" s="1"/>
  <c r="H331" i="1" s="1"/>
  <c r="BJ11" i="10"/>
  <c r="AE11" i="10"/>
  <c r="AI11" i="10" s="1"/>
  <c r="F331" i="1" s="1"/>
  <c r="AD11" i="10"/>
  <c r="BK10" i="10"/>
  <c r="BO10" i="10" s="1"/>
  <c r="H318" i="1" s="1"/>
  <c r="AE10" i="10"/>
  <c r="AI10" i="10" s="1"/>
  <c r="F318" i="1" s="1"/>
  <c r="AD10" i="10"/>
  <c r="BK9" i="10"/>
  <c r="BO9" i="10" s="1"/>
  <c r="H317" i="1" s="1"/>
  <c r="BJ9" i="10"/>
  <c r="AE9" i="10"/>
  <c r="AI9" i="10" s="1"/>
  <c r="F317" i="1" s="1"/>
  <c r="AD9" i="10"/>
  <c r="BK8" i="10"/>
  <c r="BO8" i="10" s="1"/>
  <c r="H316" i="1" s="1"/>
  <c r="BJ8" i="10"/>
  <c r="AE8" i="10"/>
  <c r="AI8" i="10" s="1"/>
  <c r="F316" i="1" s="1"/>
  <c r="AD8" i="10"/>
  <c r="BK7" i="10"/>
  <c r="BO7" i="10" s="1"/>
  <c r="H315" i="1" s="1"/>
  <c r="BJ7" i="10"/>
  <c r="AE7" i="10"/>
  <c r="AI7" i="10" s="1"/>
  <c r="F315" i="1" s="1"/>
  <c r="AD7" i="10"/>
  <c r="BK6" i="10"/>
  <c r="BO6" i="10" s="1"/>
  <c r="H314" i="1" s="1"/>
  <c r="BJ6" i="10"/>
  <c r="AE6" i="10"/>
  <c r="AI6" i="10" s="1"/>
  <c r="F314" i="1" s="1"/>
  <c r="AD6" i="10"/>
  <c r="BK5" i="10"/>
  <c r="BO5" i="10" s="1"/>
  <c r="H333" i="1" s="1"/>
  <c r="BJ5" i="10"/>
  <c r="AE5" i="10"/>
  <c r="AI5" i="10" s="1"/>
  <c r="F333" i="1" s="1"/>
  <c r="AD5" i="10"/>
  <c r="BK4" i="10"/>
  <c r="BO4" i="10" s="1"/>
  <c r="H313" i="1" s="1"/>
  <c r="BJ4" i="10"/>
  <c r="AE4" i="10"/>
  <c r="AI4" i="10" s="1"/>
  <c r="AD4" i="10"/>
  <c r="BK3" i="10"/>
  <c r="BO3" i="10" s="1"/>
  <c r="BJ3" i="10"/>
  <c r="AE3" i="10"/>
  <c r="AI3" i="10" s="1"/>
  <c r="F312" i="1" s="1"/>
  <c r="AD3" i="10"/>
  <c r="J265" i="1"/>
  <c r="J267" i="1"/>
  <c r="J283" i="1"/>
  <c r="H288" i="1"/>
  <c r="F271" i="1"/>
  <c r="F345" i="1"/>
  <c r="F344" i="1"/>
  <c r="F343" i="1"/>
  <c r="J337" i="1" l="1"/>
  <c r="A158" i="1"/>
  <c r="A159" i="1" s="1"/>
  <c r="BO25" i="10"/>
  <c r="H312" i="1"/>
  <c r="L312" i="1" s="1"/>
  <c r="L333" i="1"/>
  <c r="M333" i="1" s="1"/>
  <c r="N333" i="1" s="1"/>
  <c r="L314" i="1"/>
  <c r="M314" i="1" s="1"/>
  <c r="N314" i="1" s="1"/>
  <c r="L315" i="1"/>
  <c r="M315" i="1" s="1"/>
  <c r="N315" i="1" s="1"/>
  <c r="F313" i="1"/>
  <c r="L313" i="1" s="1"/>
  <c r="AI25" i="10"/>
  <c r="A161" i="1" l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C314" i="1"/>
  <c r="E314" i="1" s="1"/>
  <c r="P314" i="1" s="1"/>
  <c r="M312" i="1"/>
  <c r="N312" i="1" s="1"/>
  <c r="C312" i="1"/>
  <c r="C333" i="1"/>
  <c r="D333" i="1" s="1"/>
  <c r="M313" i="1"/>
  <c r="N313" i="1" s="1"/>
  <c r="C313" i="1"/>
  <c r="E313" i="1" s="1"/>
  <c r="A177" i="1" l="1"/>
  <c r="A178" i="1" s="1"/>
  <c r="A179" i="1" s="1"/>
  <c r="A180" i="1" s="1"/>
  <c r="A181" i="1" s="1"/>
  <c r="A182" i="1" s="1"/>
  <c r="A183" i="1" s="1"/>
  <c r="A185" i="1" s="1"/>
  <c r="A186" i="1" s="1"/>
  <c r="A187" i="1" s="1"/>
  <c r="A188" i="1" s="1"/>
  <c r="A189" i="1" s="1"/>
  <c r="A190" i="1" s="1"/>
  <c r="A191" i="1" s="1"/>
  <c r="A195" i="1" s="1"/>
  <c r="O314" i="1"/>
  <c r="Q314" i="1" s="1"/>
  <c r="U314" i="1" s="1"/>
  <c r="AB314" i="1" s="1"/>
  <c r="AF314" i="1" s="1"/>
  <c r="D314" i="1"/>
  <c r="E333" i="1"/>
  <c r="O333" i="1" s="1"/>
  <c r="D312" i="1"/>
  <c r="E312" i="1"/>
  <c r="P313" i="1"/>
  <c r="O313" i="1"/>
  <c r="D313" i="1"/>
  <c r="P333" i="1" l="1"/>
  <c r="Q333" i="1" s="1"/>
  <c r="U333" i="1" s="1"/>
  <c r="AB333" i="1" s="1"/>
  <c r="AF333" i="1" s="1"/>
  <c r="O312" i="1"/>
  <c r="P312" i="1"/>
  <c r="Q313" i="1"/>
  <c r="U313" i="1" s="1"/>
  <c r="AB313" i="1" s="1"/>
  <c r="AF313" i="1" s="1"/>
  <c r="Q312" i="1" l="1"/>
  <c r="U312" i="1" s="1"/>
  <c r="AB312" i="1" s="1"/>
  <c r="AF312" i="1" s="1"/>
  <c r="AA224" i="1"/>
  <c r="AA225" i="1"/>
  <c r="AA226" i="1"/>
  <c r="AA227" i="1"/>
  <c r="AA228" i="1"/>
  <c r="AA251" i="1"/>
  <c r="AA229" i="1"/>
  <c r="AA230" i="1"/>
  <c r="AM1048335" i="11"/>
  <c r="BK56" i="11"/>
  <c r="AW56" i="11"/>
  <c r="BI55" i="11"/>
  <c r="AC55" i="11"/>
  <c r="P55" i="11"/>
  <c r="AB62" i="11" s="1"/>
  <c r="BI54" i="11"/>
  <c r="AU54" i="11"/>
  <c r="AK54" i="11"/>
  <c r="BI53" i="11"/>
  <c r="U53" i="11"/>
  <c r="BI52" i="11"/>
  <c r="BI51" i="11"/>
  <c r="AK51" i="11"/>
  <c r="AN45" i="11"/>
  <c r="BQ44" i="11"/>
  <c r="BE44" i="11"/>
  <c r="BD44" i="11"/>
  <c r="AU55" i="11" s="1"/>
  <c r="AP44" i="11"/>
  <c r="AK55" i="11" s="1"/>
  <c r="Z44" i="11"/>
  <c r="L44" i="11"/>
  <c r="H44" i="11"/>
  <c r="U52" i="11" s="1"/>
  <c r="BW33" i="11"/>
  <c r="BT33" i="11"/>
  <c r="BI33" i="11"/>
  <c r="BG33" i="11"/>
  <c r="BA33" i="11"/>
  <c r="AY33" i="11"/>
  <c r="BW31" i="11"/>
  <c r="BH31" i="11"/>
  <c r="BG31" i="11"/>
  <c r="BA31" i="11"/>
  <c r="AY31" i="11"/>
  <c r="BW30" i="11"/>
  <c r="BI30" i="11"/>
  <c r="BF30" i="11"/>
  <c r="BG30" i="11" s="1"/>
  <c r="BA30" i="11"/>
  <c r="AY30" i="11"/>
  <c r="BH29" i="11"/>
  <c r="BI29" i="11" s="1"/>
  <c r="BG29" i="11"/>
  <c r="BA29" i="11"/>
  <c r="AY29" i="11"/>
  <c r="AW29" i="11"/>
  <c r="AT29" i="11"/>
  <c r="AU29" i="11" s="1"/>
  <c r="AS29" i="11"/>
  <c r="AO29" i="11"/>
  <c r="AM29" i="11"/>
  <c r="AJ29" i="11"/>
  <c r="AI29" i="11"/>
  <c r="AG29" i="11"/>
  <c r="AE29" i="11"/>
  <c r="AC29" i="11"/>
  <c r="BT32" i="11"/>
  <c r="BO32" i="11"/>
  <c r="BM32" i="11"/>
  <c r="BK32" i="11"/>
  <c r="BI32" i="11"/>
  <c r="BG32" i="11"/>
  <c r="BC32" i="11"/>
  <c r="BA32" i="11"/>
  <c r="AY32" i="11"/>
  <c r="AW32" i="11"/>
  <c r="AU32" i="11"/>
  <c r="AS32" i="11"/>
  <c r="AO32" i="11"/>
  <c r="AM32" i="11"/>
  <c r="AJ32" i="11"/>
  <c r="AI32" i="11"/>
  <c r="AG32" i="11"/>
  <c r="AE32" i="11"/>
  <c r="AC32" i="11"/>
  <c r="Y32" i="11"/>
  <c r="W32" i="11"/>
  <c r="U32" i="11"/>
  <c r="S32" i="11"/>
  <c r="Q32" i="11"/>
  <c r="O32" i="11"/>
  <c r="K32" i="11"/>
  <c r="I32" i="11"/>
  <c r="G32" i="11"/>
  <c r="E32" i="11"/>
  <c r="BH43" i="11"/>
  <c r="BI43" i="11" s="1"/>
  <c r="BG43" i="11"/>
  <c r="BA43" i="11"/>
  <c r="AY43" i="11"/>
  <c r="AW43" i="11"/>
  <c r="AT43" i="11"/>
  <c r="AS43" i="11"/>
  <c r="AO43" i="11"/>
  <c r="AM43" i="11"/>
  <c r="AH43" i="11"/>
  <c r="AI43" i="11" s="1"/>
  <c r="AG43" i="11"/>
  <c r="AE43" i="11"/>
  <c r="AC43" i="11"/>
  <c r="V43" i="11"/>
  <c r="V44" i="11" s="1"/>
  <c r="AC54" i="11" s="1"/>
  <c r="U43" i="11"/>
  <c r="R43" i="11"/>
  <c r="S43" i="11" s="1"/>
  <c r="Q43" i="11"/>
  <c r="O43" i="11"/>
  <c r="K43" i="11"/>
  <c r="I43" i="11"/>
  <c r="F43" i="11"/>
  <c r="G43" i="11" s="1"/>
  <c r="D43" i="11"/>
  <c r="E43" i="11" s="1"/>
  <c r="BI28" i="11"/>
  <c r="BG28" i="11"/>
  <c r="BA28" i="11"/>
  <c r="AX28" i="11"/>
  <c r="AY28" i="11" s="1"/>
  <c r="AW28" i="11"/>
  <c r="AT28" i="11"/>
  <c r="AS28" i="11"/>
  <c r="AO28" i="11"/>
  <c r="AM28" i="11"/>
  <c r="AH28" i="11"/>
  <c r="AI28" i="11" s="1"/>
  <c r="AG28" i="11"/>
  <c r="AE28" i="11"/>
  <c r="AC28" i="11"/>
  <c r="V28" i="11"/>
  <c r="W28" i="11" s="1"/>
  <c r="U28" i="11"/>
  <c r="R28" i="11"/>
  <c r="S28" i="11" s="1"/>
  <c r="Q28" i="11"/>
  <c r="N28" i="11"/>
  <c r="O28" i="11" s="1"/>
  <c r="K28" i="11"/>
  <c r="I28" i="11"/>
  <c r="F28" i="11"/>
  <c r="G28" i="11" s="1"/>
  <c r="D28" i="11"/>
  <c r="E28" i="11" s="1"/>
  <c r="BK27" i="11"/>
  <c r="BH27" i="11"/>
  <c r="BF27" i="11"/>
  <c r="BG27" i="11" s="1"/>
  <c r="AZ27" i="11"/>
  <c r="AY27" i="11"/>
  <c r="AV27" i="11"/>
  <c r="AV44" i="11" s="1"/>
  <c r="AU51" i="11" s="1"/>
  <c r="AU27" i="11"/>
  <c r="AR27" i="11"/>
  <c r="AR44" i="11" s="1"/>
  <c r="AU49" i="11" s="1"/>
  <c r="AO27" i="11"/>
  <c r="AL27" i="11"/>
  <c r="AH27" i="11"/>
  <c r="AH44" i="11" s="1"/>
  <c r="AK52" i="11" s="1"/>
  <c r="AG27" i="11"/>
  <c r="AD27" i="11"/>
  <c r="AB27" i="11"/>
  <c r="AB44" i="11" s="1"/>
  <c r="AK49" i="11" s="1"/>
  <c r="V27" i="11"/>
  <c r="W27" i="11" s="1"/>
  <c r="T27" i="11"/>
  <c r="T44" i="11" s="1"/>
  <c r="AC53" i="11" s="1"/>
  <c r="R27" i="11"/>
  <c r="S27" i="11" s="1"/>
  <c r="P27" i="11"/>
  <c r="P44" i="11" s="1"/>
  <c r="AC51" i="11" s="1"/>
  <c r="N27" i="11"/>
  <c r="O27" i="11" s="1"/>
  <c r="K27" i="11"/>
  <c r="I27" i="11"/>
  <c r="F27" i="11"/>
  <c r="G27" i="11" s="1"/>
  <c r="D27" i="11"/>
  <c r="D44" i="11" s="1"/>
  <c r="BO42" i="11"/>
  <c r="BM42" i="11"/>
  <c r="BK42" i="11"/>
  <c r="BI42" i="11"/>
  <c r="BG42" i="11"/>
  <c r="BC42" i="11"/>
  <c r="BA42" i="11"/>
  <c r="AY42" i="11"/>
  <c r="AW42" i="11"/>
  <c r="AU42" i="11"/>
  <c r="AS42" i="11"/>
  <c r="AO42" i="11"/>
  <c r="AL42" i="11"/>
  <c r="BT42" i="11" s="1"/>
  <c r="AH42" i="11"/>
  <c r="AI42" i="11" s="1"/>
  <c r="AG42" i="11"/>
  <c r="AE42" i="11"/>
  <c r="AB42" i="11"/>
  <c r="AC42" i="11" s="1"/>
  <c r="V42" i="11"/>
  <c r="W42" i="11" s="1"/>
  <c r="U42" i="11"/>
  <c r="S42" i="11"/>
  <c r="Q42" i="11"/>
  <c r="O42" i="11"/>
  <c r="K42" i="11"/>
  <c r="I42" i="11"/>
  <c r="F42" i="11"/>
  <c r="G42" i="11" s="1"/>
  <c r="D42" i="11"/>
  <c r="BI26" i="11"/>
  <c r="BG26" i="11"/>
  <c r="BA26" i="11"/>
  <c r="AX26" i="11"/>
  <c r="AY26" i="11" s="1"/>
  <c r="AW26" i="11"/>
  <c r="AT26" i="11"/>
  <c r="AU26" i="11" s="1"/>
  <c r="AS26" i="11"/>
  <c r="AO26" i="11"/>
  <c r="AM26" i="11"/>
  <c r="AH26" i="11"/>
  <c r="AI26" i="11" s="1"/>
  <c r="AG26" i="11"/>
  <c r="AE26" i="11"/>
  <c r="AC26" i="11"/>
  <c r="V26" i="11"/>
  <c r="W26" i="11" s="1"/>
  <c r="T26" i="11"/>
  <c r="U26" i="11" s="1"/>
  <c r="R26" i="11"/>
  <c r="S26" i="11" s="1"/>
  <c r="Q26" i="11"/>
  <c r="N26" i="11"/>
  <c r="O26" i="11" s="1"/>
  <c r="K26" i="11"/>
  <c r="I26" i="11"/>
  <c r="G26" i="11"/>
  <c r="E26" i="11"/>
  <c r="BI25" i="11"/>
  <c r="BF25" i="11"/>
  <c r="BA25" i="11"/>
  <c r="AY25" i="11"/>
  <c r="AW25" i="11"/>
  <c r="AU25" i="11"/>
  <c r="AS25" i="11"/>
  <c r="AO25" i="11"/>
  <c r="AM25" i="11"/>
  <c r="AH25" i="11"/>
  <c r="AI25" i="11" s="1"/>
  <c r="AG25" i="11"/>
  <c r="AD25" i="11"/>
  <c r="AE25" i="11" s="1"/>
  <c r="AB25" i="11"/>
  <c r="AC25" i="11" s="1"/>
  <c r="V25" i="11"/>
  <c r="W25" i="11" s="1"/>
  <c r="T25" i="11"/>
  <c r="U25" i="11" s="1"/>
  <c r="S25" i="11"/>
  <c r="P25" i="11"/>
  <c r="Q25" i="11" s="1"/>
  <c r="N25" i="11"/>
  <c r="K25" i="11"/>
  <c r="I25" i="11"/>
  <c r="G25" i="11"/>
  <c r="E25" i="11"/>
  <c r="BK24" i="11"/>
  <c r="BH24" i="11"/>
  <c r="BI24" i="11" s="1"/>
  <c r="BF24" i="11"/>
  <c r="AZ24" i="11"/>
  <c r="BA24" i="11" s="1"/>
  <c r="AX24" i="11"/>
  <c r="AW24" i="11"/>
  <c r="AT24" i="11"/>
  <c r="AT44" i="11" s="1"/>
  <c r="AU50" i="11" s="1"/>
  <c r="AS24" i="11"/>
  <c r="AO24" i="11"/>
  <c r="AL24" i="11"/>
  <c r="AL44" i="11" s="1"/>
  <c r="AK53" i="11" s="1"/>
  <c r="AH24" i="11"/>
  <c r="AI24" i="11" s="1"/>
  <c r="AG24" i="11"/>
  <c r="AD24" i="11"/>
  <c r="AE24" i="11" s="1"/>
  <c r="AB24" i="11"/>
  <c r="AC24" i="11" s="1"/>
  <c r="V24" i="11"/>
  <c r="W24" i="11" s="1"/>
  <c r="T24" i="11"/>
  <c r="U24" i="11" s="1"/>
  <c r="R24" i="11"/>
  <c r="R44" i="11" s="1"/>
  <c r="AC52" i="11" s="1"/>
  <c r="P24" i="11"/>
  <c r="Q24" i="11" s="1"/>
  <c r="N24" i="11"/>
  <c r="N44" i="11" s="1"/>
  <c r="AC50" i="11" s="1"/>
  <c r="K24" i="11"/>
  <c r="I24" i="11"/>
  <c r="F24" i="11"/>
  <c r="F44" i="11" s="1"/>
  <c r="U51" i="11" s="1"/>
  <c r="E24" i="11"/>
  <c r="BT23" i="11"/>
  <c r="BM23" i="11"/>
  <c r="BK23" i="11"/>
  <c r="BI23" i="11"/>
  <c r="BG23" i="11"/>
  <c r="BC23" i="11"/>
  <c r="BA23" i="11"/>
  <c r="AY23" i="11"/>
  <c r="AW23" i="11"/>
  <c r="AU23" i="11"/>
  <c r="AS23" i="11"/>
  <c r="AO23" i="11"/>
  <c r="AM23" i="11"/>
  <c r="AJ23" i="11"/>
  <c r="AI23" i="11"/>
  <c r="AG23" i="11"/>
  <c r="AE23" i="11"/>
  <c r="AC23" i="11"/>
  <c r="W23" i="11"/>
  <c r="U23" i="11"/>
  <c r="S23" i="11"/>
  <c r="Q23" i="11"/>
  <c r="O23" i="11"/>
  <c r="K23" i="11"/>
  <c r="I23" i="11"/>
  <c r="G23" i="11"/>
  <c r="E23" i="11"/>
  <c r="BT41" i="11"/>
  <c r="BI41" i="11"/>
  <c r="BG41" i="11"/>
  <c r="BA41" i="11"/>
  <c r="AY41" i="11"/>
  <c r="AW41" i="11"/>
  <c r="AU41" i="11"/>
  <c r="AS41" i="11"/>
  <c r="AO41" i="11"/>
  <c r="AM41" i="11"/>
  <c r="AI41" i="11"/>
  <c r="AG41" i="11"/>
  <c r="AE41" i="11"/>
  <c r="AC41" i="11"/>
  <c r="W41" i="11"/>
  <c r="U41" i="11"/>
  <c r="S41" i="11"/>
  <c r="P41" i="11"/>
  <c r="Q41" i="11" s="1"/>
  <c r="O41" i="11"/>
  <c r="K41" i="11"/>
  <c r="I41" i="11"/>
  <c r="F41" i="11"/>
  <c r="G41" i="11" s="1"/>
  <c r="D41" i="11"/>
  <c r="BH22" i="11"/>
  <c r="BI22" i="11" s="1"/>
  <c r="BF22" i="11"/>
  <c r="BG22" i="11" s="1"/>
  <c r="BC22" i="11"/>
  <c r="BA22" i="11"/>
  <c r="AX22" i="11"/>
  <c r="AY22" i="11" s="1"/>
  <c r="AW22" i="11"/>
  <c r="AU22" i="11"/>
  <c r="AR22" i="11"/>
  <c r="AS22" i="11" s="1"/>
  <c r="AO22" i="11"/>
  <c r="AL22" i="11"/>
  <c r="AM22" i="11" s="1"/>
  <c r="AI22" i="11"/>
  <c r="AG22" i="11"/>
  <c r="AD22" i="11"/>
  <c r="AE22" i="11" s="1"/>
  <c r="AC22" i="11"/>
  <c r="W22" i="11"/>
  <c r="U22" i="11"/>
  <c r="S22" i="11"/>
  <c r="P22" i="11"/>
  <c r="Q22" i="11" s="1"/>
  <c r="N22" i="11"/>
  <c r="O22" i="11" s="1"/>
  <c r="K22" i="11"/>
  <c r="I22" i="11"/>
  <c r="F22" i="11"/>
  <c r="G22" i="11" s="1"/>
  <c r="D22" i="11"/>
  <c r="E22" i="11" s="1"/>
  <c r="BH21" i="11"/>
  <c r="BI21" i="11" s="1"/>
  <c r="BF21" i="11"/>
  <c r="BG21" i="11" s="1"/>
  <c r="BA21" i="11"/>
  <c r="AX21" i="11"/>
  <c r="AY21" i="11" s="1"/>
  <c r="AW21" i="11"/>
  <c r="AT21" i="11"/>
  <c r="AU21" i="11" s="1"/>
  <c r="AR21" i="11"/>
  <c r="AO21" i="11"/>
  <c r="AL21" i="11"/>
  <c r="AM21" i="11" s="1"/>
  <c r="AH21" i="11"/>
  <c r="AI21" i="11" s="1"/>
  <c r="AG21" i="11"/>
  <c r="AE21" i="11"/>
  <c r="AB21" i="11"/>
  <c r="AC21" i="11" s="1"/>
  <c r="V21" i="11"/>
  <c r="W21" i="11" s="1"/>
  <c r="T21" i="11"/>
  <c r="U21" i="11" s="1"/>
  <c r="S21" i="11"/>
  <c r="P21" i="11"/>
  <c r="Q21" i="11" s="1"/>
  <c r="N21" i="11"/>
  <c r="O21" i="11" s="1"/>
  <c r="K21" i="11"/>
  <c r="I21" i="11"/>
  <c r="G21" i="11"/>
  <c r="E21" i="11"/>
  <c r="BT20" i="11"/>
  <c r="BI20" i="11"/>
  <c r="BG20" i="11"/>
  <c r="BA20" i="11"/>
  <c r="AY20" i="11"/>
  <c r="AW20" i="11"/>
  <c r="AU20" i="11"/>
  <c r="AS20" i="11"/>
  <c r="AO20" i="11"/>
  <c r="AM20" i="11"/>
  <c r="AJ20" i="11"/>
  <c r="AI20" i="11"/>
  <c r="AG20" i="11"/>
  <c r="AE20" i="11"/>
  <c r="AC20" i="11"/>
  <c r="W20" i="11"/>
  <c r="U20" i="11"/>
  <c r="S20" i="11"/>
  <c r="Q20" i="11"/>
  <c r="O20" i="11"/>
  <c r="I20" i="11"/>
  <c r="G20" i="11"/>
  <c r="E20" i="11"/>
  <c r="BH19" i="11"/>
  <c r="BI19" i="11" s="1"/>
  <c r="BF19" i="11"/>
  <c r="BG19" i="11" s="1"/>
  <c r="BA19" i="11"/>
  <c r="AX19" i="11"/>
  <c r="AY19" i="11" s="1"/>
  <c r="AV19" i="11"/>
  <c r="AU19" i="11"/>
  <c r="AS19" i="11"/>
  <c r="AO19" i="11"/>
  <c r="AM19" i="11"/>
  <c r="AH19" i="11"/>
  <c r="AI19" i="11" s="1"/>
  <c r="AG19" i="11"/>
  <c r="AD19" i="11"/>
  <c r="AE19" i="11" s="1"/>
  <c r="AB19" i="11"/>
  <c r="AC19" i="11" s="1"/>
  <c r="V19" i="11"/>
  <c r="W19" i="11" s="1"/>
  <c r="U19" i="11"/>
  <c r="R19" i="11"/>
  <c r="S19" i="11" s="1"/>
  <c r="P19" i="11"/>
  <c r="Q19" i="11" s="1"/>
  <c r="O19" i="11"/>
  <c r="K19" i="11"/>
  <c r="I19" i="11"/>
  <c r="G19" i="11"/>
  <c r="E19" i="11"/>
  <c r="BH18" i="11"/>
  <c r="BI18" i="11" s="1"/>
  <c r="BF18" i="11"/>
  <c r="BG18" i="11" s="1"/>
  <c r="BA18" i="11"/>
  <c r="AX18" i="11"/>
  <c r="AY18" i="11" s="1"/>
  <c r="AV18" i="11"/>
  <c r="AW18" i="11" s="1"/>
  <c r="AU18" i="11"/>
  <c r="AS18" i="11"/>
  <c r="AO18" i="11"/>
  <c r="AL18" i="11"/>
  <c r="AM18" i="11" s="1"/>
  <c r="AI18" i="11"/>
  <c r="AG18" i="11"/>
  <c r="AD18" i="11"/>
  <c r="AE18" i="11" s="1"/>
  <c r="AC18" i="11"/>
  <c r="V18" i="11"/>
  <c r="W18" i="11" s="1"/>
  <c r="T18" i="11"/>
  <c r="U18" i="11" s="1"/>
  <c r="R18" i="11"/>
  <c r="S18" i="11" s="1"/>
  <c r="P18" i="11"/>
  <c r="Q18" i="11" s="1"/>
  <c r="O18" i="11"/>
  <c r="K18" i="11"/>
  <c r="I18" i="11"/>
  <c r="F18" i="11"/>
  <c r="G18" i="11" s="1"/>
  <c r="D18" i="11"/>
  <c r="BT17" i="11"/>
  <c r="BM17" i="11"/>
  <c r="BK17" i="11"/>
  <c r="BI17" i="11"/>
  <c r="BG17" i="11"/>
  <c r="BC17" i="11"/>
  <c r="BA17" i="11"/>
  <c r="AY17" i="11"/>
  <c r="AW17" i="11"/>
  <c r="AU17" i="11"/>
  <c r="AS17" i="11"/>
  <c r="AO17" i="11"/>
  <c r="AM17" i="11"/>
  <c r="AJ17" i="11"/>
  <c r="AI17" i="11"/>
  <c r="AG17" i="11"/>
  <c r="AE17" i="11"/>
  <c r="AC17" i="11"/>
  <c r="W17" i="11"/>
  <c r="U17" i="11"/>
  <c r="S17" i="11"/>
  <c r="Q17" i="11"/>
  <c r="O17" i="11"/>
  <c r="K17" i="11"/>
  <c r="I17" i="11"/>
  <c r="G17" i="11"/>
  <c r="E17" i="11"/>
  <c r="BT16" i="11"/>
  <c r="BM16" i="11"/>
  <c r="BK16" i="11"/>
  <c r="BI16" i="11"/>
  <c r="BG16" i="11"/>
  <c r="BC16" i="11"/>
  <c r="BA16" i="11"/>
  <c r="AY16" i="11"/>
  <c r="AW16" i="11"/>
  <c r="AU16" i="11"/>
  <c r="AS16" i="11"/>
  <c r="AO16" i="11"/>
  <c r="AM16" i="11"/>
  <c r="AJ16" i="11"/>
  <c r="AI16" i="11"/>
  <c r="AG16" i="11"/>
  <c r="AE16" i="11"/>
  <c r="AC16" i="11"/>
  <c r="W16" i="11"/>
  <c r="U16" i="11"/>
  <c r="S16" i="11"/>
  <c r="Q16" i="11"/>
  <c r="O16" i="11"/>
  <c r="K16" i="11"/>
  <c r="I16" i="11"/>
  <c r="G16" i="11"/>
  <c r="E16" i="11"/>
  <c r="BT40" i="11"/>
  <c r="BO40" i="11"/>
  <c r="BM40" i="11"/>
  <c r="BK40" i="11"/>
  <c r="BI40" i="11"/>
  <c r="BG40" i="11"/>
  <c r="BC40" i="11"/>
  <c r="BA40" i="11"/>
  <c r="AY40" i="11"/>
  <c r="AW40" i="11"/>
  <c r="AU40" i="11"/>
  <c r="AS40" i="11"/>
  <c r="AO40" i="11"/>
  <c r="AM40" i="11"/>
  <c r="AI40" i="11"/>
  <c r="AG40" i="11"/>
  <c r="AE40" i="11"/>
  <c r="AC40" i="11"/>
  <c r="W40" i="11"/>
  <c r="U40" i="11"/>
  <c r="R40" i="11"/>
  <c r="S40" i="11" s="1"/>
  <c r="Q40" i="11"/>
  <c r="O40" i="11"/>
  <c r="K40" i="11"/>
  <c r="I40" i="11"/>
  <c r="G40" i="11"/>
  <c r="E40" i="11"/>
  <c r="BO15" i="11"/>
  <c r="BM15" i="11"/>
  <c r="BK15" i="11"/>
  <c r="BI15" i="11"/>
  <c r="BG15" i="11"/>
  <c r="BC15" i="11"/>
  <c r="BA15" i="11"/>
  <c r="AY15" i="11"/>
  <c r="AV15" i="11"/>
  <c r="BT15" i="11" s="1"/>
  <c r="AU15" i="11"/>
  <c r="AS15" i="11"/>
  <c r="AO15" i="11"/>
  <c r="AM15" i="11"/>
  <c r="AJ15" i="11"/>
  <c r="AI15" i="11"/>
  <c r="AG15" i="11"/>
  <c r="AE15" i="11"/>
  <c r="AC15" i="11"/>
  <c r="W15" i="11"/>
  <c r="U15" i="11"/>
  <c r="S15" i="11"/>
  <c r="Q15" i="11"/>
  <c r="O15" i="11"/>
  <c r="K15" i="11"/>
  <c r="I15" i="11"/>
  <c r="G15" i="11"/>
  <c r="E15" i="11"/>
  <c r="BT14" i="11"/>
  <c r="BI14" i="11"/>
  <c r="BG14" i="11"/>
  <c r="BA14" i="11"/>
  <c r="AY14" i="11"/>
  <c r="AW14" i="11"/>
  <c r="AU14" i="11"/>
  <c r="AS14" i="11"/>
  <c r="AO14" i="11"/>
  <c r="AM14" i="11"/>
  <c r="AJ14" i="11"/>
  <c r="AI14" i="11"/>
  <c r="AG14" i="11"/>
  <c r="AE14" i="11"/>
  <c r="AC14" i="11"/>
  <c r="W14" i="11"/>
  <c r="U14" i="11"/>
  <c r="S14" i="11"/>
  <c r="Q14" i="11"/>
  <c r="O14" i="11"/>
  <c r="I14" i="11"/>
  <c r="G14" i="11"/>
  <c r="E14" i="11"/>
  <c r="BK13" i="11"/>
  <c r="BH13" i="11"/>
  <c r="BI13" i="11" s="1"/>
  <c r="BG13" i="11"/>
  <c r="BA13" i="11"/>
  <c r="AX13" i="11"/>
  <c r="AY13" i="11" s="1"/>
  <c r="AV13" i="11"/>
  <c r="AW13" i="11" s="1"/>
  <c r="AU13" i="11"/>
  <c r="AR13" i="11"/>
  <c r="AS13" i="11" s="1"/>
  <c r="AO13" i="11"/>
  <c r="AL13" i="11"/>
  <c r="AM13" i="11" s="1"/>
  <c r="AI13" i="11"/>
  <c r="AG13" i="11"/>
  <c r="AD13" i="11"/>
  <c r="AE13" i="11" s="1"/>
  <c r="AC13" i="11"/>
  <c r="V13" i="11"/>
  <c r="W13" i="11" s="1"/>
  <c r="T13" i="11"/>
  <c r="U13" i="11" s="1"/>
  <c r="R13" i="11"/>
  <c r="S13" i="11" s="1"/>
  <c r="P13" i="11"/>
  <c r="Q13" i="11" s="1"/>
  <c r="O13" i="11"/>
  <c r="K13" i="11"/>
  <c r="I13" i="11"/>
  <c r="F13" i="11"/>
  <c r="G13" i="11" s="1"/>
  <c r="D13" i="11"/>
  <c r="E13" i="11" s="1"/>
  <c r="BH39" i="11"/>
  <c r="BI39" i="11" s="1"/>
  <c r="BF39" i="11"/>
  <c r="BG39" i="11" s="1"/>
  <c r="AZ39" i="11"/>
  <c r="BA39" i="11" s="1"/>
  <c r="AY39" i="11"/>
  <c r="AV39" i="11"/>
  <c r="AW39" i="11" s="1"/>
  <c r="AU39" i="11"/>
  <c r="AR39" i="11"/>
  <c r="AS39" i="11" s="1"/>
  <c r="AO39" i="11"/>
  <c r="AL39" i="11"/>
  <c r="AM39" i="11" s="1"/>
  <c r="AH39" i="11"/>
  <c r="AI39" i="11" s="1"/>
  <c r="AG39" i="11"/>
  <c r="AE39" i="11"/>
  <c r="AB39" i="11"/>
  <c r="AC39" i="11" s="1"/>
  <c r="V39" i="11"/>
  <c r="W39" i="11" s="1"/>
  <c r="T39" i="11"/>
  <c r="U39" i="11" s="1"/>
  <c r="S39" i="11"/>
  <c r="P39" i="11"/>
  <c r="Q39" i="11" s="1"/>
  <c r="N39" i="11"/>
  <c r="O39" i="11" s="1"/>
  <c r="K39" i="11"/>
  <c r="I39" i="11"/>
  <c r="F39" i="11"/>
  <c r="G39" i="11" s="1"/>
  <c r="D39" i="11"/>
  <c r="BT12" i="11"/>
  <c r="BM12" i="11"/>
  <c r="BI12" i="11"/>
  <c r="BG12" i="11"/>
  <c r="BC12" i="11"/>
  <c r="BA12" i="11"/>
  <c r="AY12" i="11"/>
  <c r="AW12" i="11"/>
  <c r="AU12" i="11"/>
  <c r="AS12" i="11"/>
  <c r="AO12" i="11"/>
  <c r="AM12" i="11"/>
  <c r="AJ12" i="11"/>
  <c r="AI12" i="11"/>
  <c r="AG12" i="11"/>
  <c r="AE12" i="11"/>
  <c r="AC12" i="11"/>
  <c r="W12" i="11"/>
  <c r="U12" i="11"/>
  <c r="S12" i="11"/>
  <c r="Q12" i="11"/>
  <c r="O12" i="11"/>
  <c r="I12" i="11"/>
  <c r="G12" i="11"/>
  <c r="E12" i="11"/>
  <c r="BI38" i="11"/>
  <c r="BF38" i="11"/>
  <c r="BG38" i="11" s="1"/>
  <c r="AZ38" i="11"/>
  <c r="BA38" i="11" s="1"/>
  <c r="AY38" i="11"/>
  <c r="AW38" i="11"/>
  <c r="AT38" i="11"/>
  <c r="AU38" i="11" s="1"/>
  <c r="AS38" i="11"/>
  <c r="AO38" i="11"/>
  <c r="AL38" i="11"/>
  <c r="AH38" i="11"/>
  <c r="AI38" i="11" s="1"/>
  <c r="AG38" i="11"/>
  <c r="AD38" i="11"/>
  <c r="AE38" i="11" s="1"/>
  <c r="AB38" i="11"/>
  <c r="AC38" i="11" s="1"/>
  <c r="V38" i="11"/>
  <c r="W38" i="11" s="1"/>
  <c r="T38" i="11"/>
  <c r="U38" i="11" s="1"/>
  <c r="R38" i="11"/>
  <c r="Q38" i="11"/>
  <c r="O38" i="11"/>
  <c r="I38" i="11"/>
  <c r="G38" i="11"/>
  <c r="E38" i="11"/>
  <c r="BT11" i="11"/>
  <c r="BI11" i="11"/>
  <c r="BG11" i="11"/>
  <c r="BA11" i="11"/>
  <c r="AY11" i="11"/>
  <c r="AW11" i="11"/>
  <c r="AU11" i="11"/>
  <c r="AS11" i="11"/>
  <c r="AQ11" i="11"/>
  <c r="AO11" i="11"/>
  <c r="AM11" i="11"/>
  <c r="AJ11" i="11"/>
  <c r="AI11" i="11"/>
  <c r="AG11" i="11"/>
  <c r="AE11" i="11"/>
  <c r="AC11" i="11"/>
  <c r="AA11" i="11"/>
  <c r="AA44" i="11" s="1"/>
  <c r="W11" i="11"/>
  <c r="U11" i="11"/>
  <c r="S11" i="11"/>
  <c r="Q11" i="11"/>
  <c r="O11" i="11"/>
  <c r="M11" i="11"/>
  <c r="M44" i="11" s="1"/>
  <c r="K11" i="11"/>
  <c r="I11" i="11"/>
  <c r="G11" i="11"/>
  <c r="E11" i="11"/>
  <c r="BO37" i="11"/>
  <c r="BM37" i="11"/>
  <c r="BK37" i="11"/>
  <c r="BI37" i="11"/>
  <c r="BG37" i="11"/>
  <c r="BC37" i="11"/>
  <c r="BA37" i="11"/>
  <c r="AY37" i="11"/>
  <c r="AW37" i="11"/>
  <c r="AU37" i="11"/>
  <c r="AS37" i="11"/>
  <c r="AO37" i="11"/>
  <c r="AL37" i="11"/>
  <c r="AI37" i="11"/>
  <c r="AG37" i="11"/>
  <c r="AD37" i="11"/>
  <c r="AE37" i="11" s="1"/>
  <c r="AC37" i="11"/>
  <c r="V37" i="11"/>
  <c r="W37" i="11" s="1"/>
  <c r="T37" i="11"/>
  <c r="U37" i="11" s="1"/>
  <c r="R37" i="11"/>
  <c r="S37" i="11" s="1"/>
  <c r="Q37" i="11"/>
  <c r="N37" i="11"/>
  <c r="O37" i="11" s="1"/>
  <c r="K37" i="11"/>
  <c r="I37" i="11"/>
  <c r="F37" i="11"/>
  <c r="G37" i="11" s="1"/>
  <c r="D37" i="11"/>
  <c r="E37" i="11" s="1"/>
  <c r="BH36" i="11"/>
  <c r="BI36" i="11" s="1"/>
  <c r="BF36" i="11"/>
  <c r="BG36" i="11" s="1"/>
  <c r="AZ36" i="11"/>
  <c r="BA36" i="11" s="1"/>
  <c r="AY36" i="11"/>
  <c r="AV36" i="11"/>
  <c r="AW36" i="11" s="1"/>
  <c r="AU36" i="11"/>
  <c r="AR36" i="11"/>
  <c r="AS36" i="11" s="1"/>
  <c r="AO36" i="11"/>
  <c r="AL36" i="11"/>
  <c r="AM36" i="11" s="1"/>
  <c r="AI36" i="11"/>
  <c r="AG36" i="11"/>
  <c r="AD36" i="11"/>
  <c r="AE36" i="11" s="1"/>
  <c r="AB36" i="11"/>
  <c r="AC36" i="11" s="1"/>
  <c r="V36" i="11"/>
  <c r="W36" i="11" s="1"/>
  <c r="T36" i="11"/>
  <c r="U36" i="11" s="1"/>
  <c r="S36" i="11"/>
  <c r="P36" i="11"/>
  <c r="Q36" i="11" s="1"/>
  <c r="N36" i="11"/>
  <c r="O36" i="11" s="1"/>
  <c r="K36" i="11"/>
  <c r="I36" i="11"/>
  <c r="G36" i="11"/>
  <c r="E36" i="11"/>
  <c r="BT10" i="11"/>
  <c r="BI10" i="11"/>
  <c r="BG10" i="11"/>
  <c r="BA10" i="11"/>
  <c r="AY10" i="11"/>
  <c r="AW10" i="11"/>
  <c r="AU10" i="11"/>
  <c r="AS10" i="11"/>
  <c r="AO10" i="11"/>
  <c r="AM10" i="11"/>
  <c r="AJ10" i="11"/>
  <c r="AI10" i="11"/>
  <c r="AG10" i="11"/>
  <c r="AE10" i="11"/>
  <c r="AC10" i="11"/>
  <c r="W10" i="11"/>
  <c r="U10" i="11"/>
  <c r="S10" i="11"/>
  <c r="Q10" i="11"/>
  <c r="O10" i="11"/>
  <c r="K10" i="11"/>
  <c r="I10" i="11"/>
  <c r="G10" i="11"/>
  <c r="E10" i="11"/>
  <c r="BO35" i="11"/>
  <c r="BM35" i="11"/>
  <c r="BK35" i="11"/>
  <c r="BI35" i="11"/>
  <c r="BG35" i="11"/>
  <c r="BC35" i="11"/>
  <c r="BA35" i="11"/>
  <c r="AY35" i="11"/>
  <c r="AW35" i="11"/>
  <c r="AU35" i="11"/>
  <c r="AS35" i="11"/>
  <c r="AO35" i="11"/>
  <c r="AL35" i="11"/>
  <c r="BT35" i="11" s="1"/>
  <c r="AH35" i="11"/>
  <c r="AI35" i="11" s="1"/>
  <c r="AG35" i="11"/>
  <c r="AE35" i="11"/>
  <c r="AB35" i="11"/>
  <c r="AC35" i="11" s="1"/>
  <c r="V35" i="11"/>
  <c r="W35" i="11" s="1"/>
  <c r="U35" i="11"/>
  <c r="S35" i="11"/>
  <c r="Q35" i="11"/>
  <c r="N35" i="11"/>
  <c r="K35" i="11"/>
  <c r="I35" i="11"/>
  <c r="G35" i="11"/>
  <c r="E35" i="11"/>
  <c r="BK9" i="11"/>
  <c r="BH9" i="11"/>
  <c r="BI9" i="11" s="1"/>
  <c r="BF9" i="11"/>
  <c r="BG9" i="11" s="1"/>
  <c r="AZ9" i="11"/>
  <c r="BA9" i="11" s="1"/>
  <c r="AY9" i="11"/>
  <c r="AV9" i="11"/>
  <c r="AW9" i="11" s="1"/>
  <c r="AT9" i="11"/>
  <c r="AU9" i="11" s="1"/>
  <c r="AS9" i="11"/>
  <c r="AO9" i="11"/>
  <c r="AL9" i="11"/>
  <c r="AM9" i="11" s="1"/>
  <c r="AH9" i="11"/>
  <c r="AI9" i="11" s="1"/>
  <c r="AG9" i="11"/>
  <c r="AD9" i="11"/>
  <c r="AE9" i="11" s="1"/>
  <c r="AC9" i="11"/>
  <c r="W9" i="11"/>
  <c r="T9" i="11"/>
  <c r="U9" i="11" s="1"/>
  <c r="R9" i="11"/>
  <c r="S9" i="11" s="1"/>
  <c r="Q9" i="11"/>
  <c r="O9" i="11"/>
  <c r="K9" i="11"/>
  <c r="I9" i="11"/>
  <c r="G9" i="11"/>
  <c r="E9" i="11"/>
  <c r="BT34" i="11"/>
  <c r="BO34" i="11"/>
  <c r="BM34" i="11"/>
  <c r="BK34" i="11"/>
  <c r="BI34" i="11"/>
  <c r="BG34" i="11"/>
  <c r="BC34" i="11"/>
  <c r="BA34" i="11"/>
  <c r="AY34" i="11"/>
  <c r="AW34" i="11"/>
  <c r="AU34" i="11"/>
  <c r="AS34" i="11"/>
  <c r="AO34" i="11"/>
  <c r="AM34" i="11"/>
  <c r="AI34" i="11"/>
  <c r="AG34" i="11"/>
  <c r="AE34" i="11"/>
  <c r="AC34" i="11"/>
  <c r="Y34" i="11"/>
  <c r="Y44" i="11" s="1"/>
  <c r="W34" i="11"/>
  <c r="U34" i="11"/>
  <c r="S34" i="11"/>
  <c r="Q34" i="11"/>
  <c r="O34" i="11"/>
  <c r="K34" i="11"/>
  <c r="I34" i="11"/>
  <c r="F34" i="11"/>
  <c r="G34" i="11" s="1"/>
  <c r="D34" i="11"/>
  <c r="E34" i="11" s="1"/>
  <c r="K44" i="11" l="1"/>
  <c r="BT28" i="11"/>
  <c r="BT19" i="11"/>
  <c r="AS27" i="11"/>
  <c r="BC62" i="11"/>
  <c r="BV62" i="11" s="1"/>
  <c r="AM24" i="11"/>
  <c r="AU24" i="11"/>
  <c r="AJ42" i="11"/>
  <c r="AM35" i="11"/>
  <c r="BU35" i="11" s="1"/>
  <c r="H242" i="1" s="1"/>
  <c r="G24" i="11"/>
  <c r="O24" i="11"/>
  <c r="AM42" i="11"/>
  <c r="U27" i="11"/>
  <c r="U44" i="11" s="1"/>
  <c r="AJ38" i="11"/>
  <c r="AJ9" i="11"/>
  <c r="S38" i="11"/>
  <c r="BW38" i="11" s="1"/>
  <c r="AW15" i="11"/>
  <c r="BU15" i="11" s="1"/>
  <c r="H228" i="1" s="1"/>
  <c r="AJ19" i="11"/>
  <c r="AW19" i="11"/>
  <c r="AJ21" i="11"/>
  <c r="S24" i="11"/>
  <c r="AK24" i="11" s="1"/>
  <c r="F235" i="1" s="1"/>
  <c r="AJ25" i="11"/>
  <c r="E42" i="11"/>
  <c r="BW42" i="11" s="1"/>
  <c r="E27" i="11"/>
  <c r="AC27" i="11"/>
  <c r="AC44" i="11" s="1"/>
  <c r="AI27" i="11"/>
  <c r="AW27" i="11"/>
  <c r="W43" i="11"/>
  <c r="W44" i="11" s="1"/>
  <c r="BT27" i="11"/>
  <c r="BT43" i="11"/>
  <c r="AJ36" i="11"/>
  <c r="Q27" i="11"/>
  <c r="Q44" i="11" s="1"/>
  <c r="AM27" i="11"/>
  <c r="AU28" i="11"/>
  <c r="AU43" i="11"/>
  <c r="BU43" i="11" s="1"/>
  <c r="H250" i="1" s="1"/>
  <c r="BW21" i="11"/>
  <c r="AK15" i="11"/>
  <c r="F228" i="1" s="1"/>
  <c r="BY40" i="11"/>
  <c r="AG44" i="11"/>
  <c r="BW11" i="11"/>
  <c r="BY11" i="11"/>
  <c r="BU22" i="11"/>
  <c r="H252" i="1" s="1"/>
  <c r="BW29" i="11"/>
  <c r="BU29" i="11"/>
  <c r="H342" i="1" s="1"/>
  <c r="AK21" i="11"/>
  <c r="F233" i="1" s="1"/>
  <c r="G44" i="11"/>
  <c r="BC44" i="11"/>
  <c r="BM44" i="11"/>
  <c r="AK12" i="11"/>
  <c r="F225" i="1" s="1"/>
  <c r="BY26" i="11"/>
  <c r="BU33" i="11"/>
  <c r="BU12" i="11"/>
  <c r="H225" i="1" s="1"/>
  <c r="BW14" i="11"/>
  <c r="BU17" i="11"/>
  <c r="H229" i="1" s="1"/>
  <c r="BW26" i="11"/>
  <c r="AK28" i="11"/>
  <c r="F238" i="1" s="1"/>
  <c r="BW32" i="11"/>
  <c r="BY29" i="11"/>
  <c r="BW36" i="11"/>
  <c r="AK13" i="11"/>
  <c r="F226" i="1" s="1"/>
  <c r="BO44" i="11"/>
  <c r="BW10" i="11"/>
  <c r="BU10" i="11"/>
  <c r="H223" i="1" s="1"/>
  <c r="AK10" i="11"/>
  <c r="F223" i="1" s="1"/>
  <c r="AK37" i="11"/>
  <c r="F244" i="1" s="1"/>
  <c r="BY12" i="11"/>
  <c r="BU40" i="11"/>
  <c r="H247" i="1" s="1"/>
  <c r="AK16" i="11"/>
  <c r="F251" i="1" s="1"/>
  <c r="BU16" i="11"/>
  <c r="H251" i="1" s="1"/>
  <c r="BY42" i="11"/>
  <c r="BW28" i="11"/>
  <c r="BW9" i="11"/>
  <c r="AK9" i="11"/>
  <c r="F222" i="1" s="1"/>
  <c r="AJ35" i="11"/>
  <c r="O35" i="11"/>
  <c r="BW35" i="11" s="1"/>
  <c r="BY10" i="11"/>
  <c r="AK36" i="11"/>
  <c r="F243" i="1" s="1"/>
  <c r="AQ44" i="11"/>
  <c r="BU11" i="11"/>
  <c r="H224" i="1" s="1"/>
  <c r="AK38" i="11"/>
  <c r="F245" i="1" s="1"/>
  <c r="BU39" i="11"/>
  <c r="H246" i="1" s="1"/>
  <c r="BY39" i="11"/>
  <c r="BW13" i="11"/>
  <c r="BW40" i="11"/>
  <c r="BW16" i="11"/>
  <c r="BU18" i="11"/>
  <c r="H230" i="1" s="1"/>
  <c r="BW19" i="11"/>
  <c r="BU19" i="11"/>
  <c r="H231" i="1" s="1"/>
  <c r="BW22" i="11"/>
  <c r="BU34" i="11"/>
  <c r="H241" i="1" s="1"/>
  <c r="BY34" i="11"/>
  <c r="AK34" i="11"/>
  <c r="F241" i="1" s="1"/>
  <c r="BW34" i="11"/>
  <c r="AJ13" i="11"/>
  <c r="E18" i="11"/>
  <c r="AK18" i="11" s="1"/>
  <c r="F230" i="1" s="1"/>
  <c r="AJ18" i="11"/>
  <c r="BY41" i="11"/>
  <c r="BU41" i="11"/>
  <c r="H248" i="1" s="1"/>
  <c r="BY23" i="11"/>
  <c r="BU23" i="11"/>
  <c r="H234" i="1" s="1"/>
  <c r="AY24" i="11"/>
  <c r="AY44" i="11" s="1"/>
  <c r="AX44" i="11"/>
  <c r="AU52" i="11" s="1"/>
  <c r="BU9" i="11"/>
  <c r="BU13" i="11"/>
  <c r="H226" i="1" s="1"/>
  <c r="BY13" i="11"/>
  <c r="AK14" i="11"/>
  <c r="F227" i="1" s="1"/>
  <c r="BW17" i="11"/>
  <c r="AK17" i="11"/>
  <c r="F229" i="1" s="1"/>
  <c r="BT18" i="11"/>
  <c r="BG25" i="11"/>
  <c r="BU25" i="11" s="1"/>
  <c r="H236" i="1" s="1"/>
  <c r="BT25" i="11"/>
  <c r="BU36" i="11"/>
  <c r="H243" i="1" s="1"/>
  <c r="BY36" i="11"/>
  <c r="AJ37" i="11"/>
  <c r="AJ39" i="11"/>
  <c r="E39" i="11"/>
  <c r="AK39" i="11" s="1"/>
  <c r="F246" i="1" s="1"/>
  <c r="BU14" i="11"/>
  <c r="H227" i="1" s="1"/>
  <c r="BW15" i="11"/>
  <c r="BY18" i="11"/>
  <c r="BY20" i="11"/>
  <c r="BU20" i="11"/>
  <c r="H232" i="1" s="1"/>
  <c r="AS21" i="11"/>
  <c r="BY21" i="11" s="1"/>
  <c r="BT21" i="11"/>
  <c r="AC57" i="11"/>
  <c r="AI44" i="11"/>
  <c r="AK11" i="11"/>
  <c r="F224" i="1" s="1"/>
  <c r="BW12" i="11"/>
  <c r="BT13" i="11"/>
  <c r="AJ40" i="11"/>
  <c r="BY16" i="11"/>
  <c r="BW20" i="11"/>
  <c r="AJ22" i="11"/>
  <c r="AJ41" i="11"/>
  <c r="BW23" i="11"/>
  <c r="AD44" i="11"/>
  <c r="AK50" i="11" s="1"/>
  <c r="AK56" i="11" s="1"/>
  <c r="AE27" i="11"/>
  <c r="BH44" i="11"/>
  <c r="BI27" i="11"/>
  <c r="AK32" i="11"/>
  <c r="F240" i="1" s="1"/>
  <c r="BT30" i="11"/>
  <c r="BY33" i="11"/>
  <c r="BZ33" i="11" s="1"/>
  <c r="BU26" i="11"/>
  <c r="H253" i="1" s="1"/>
  <c r="BT31" i="11"/>
  <c r="BI31" i="11"/>
  <c r="BU31" i="11" s="1"/>
  <c r="AO44" i="11"/>
  <c r="BT36" i="11"/>
  <c r="I44" i="11"/>
  <c r="AJ34" i="11"/>
  <c r="BK44" i="11"/>
  <c r="BT9" i="11"/>
  <c r="BY9" i="11"/>
  <c r="AM37" i="11"/>
  <c r="BU37" i="11" s="1"/>
  <c r="H244" i="1" s="1"/>
  <c r="BW37" i="11"/>
  <c r="BT39" i="11"/>
  <c r="BY14" i="11"/>
  <c r="AK40" i="11"/>
  <c r="F247" i="1" s="1"/>
  <c r="BY17" i="11"/>
  <c r="AK19" i="11"/>
  <c r="F231" i="1" s="1"/>
  <c r="AK20" i="11"/>
  <c r="F232" i="1" s="1"/>
  <c r="BY22" i="11"/>
  <c r="BT22" i="11"/>
  <c r="E41" i="11"/>
  <c r="AK41" i="11" s="1"/>
  <c r="F248" i="1" s="1"/>
  <c r="O25" i="11"/>
  <c r="AK25" i="11" s="1"/>
  <c r="F236" i="1" s="1"/>
  <c r="AJ26" i="11"/>
  <c r="BT26" i="11"/>
  <c r="AK42" i="11"/>
  <c r="F249" i="1" s="1"/>
  <c r="AZ44" i="11"/>
  <c r="AU53" i="11" s="1"/>
  <c r="BA27" i="11"/>
  <c r="AJ28" i="11"/>
  <c r="BU32" i="11"/>
  <c r="H240" i="1" s="1"/>
  <c r="BY32" i="11"/>
  <c r="BT29" i="11"/>
  <c r="BY30" i="11"/>
  <c r="BZ30" i="11" s="1"/>
  <c r="BU30" i="11"/>
  <c r="BT37" i="11"/>
  <c r="AM38" i="11"/>
  <c r="BU38" i="11" s="1"/>
  <c r="H245" i="1" s="1"/>
  <c r="BT38" i="11"/>
  <c r="AK22" i="11"/>
  <c r="F252" i="1" s="1"/>
  <c r="AK23" i="11"/>
  <c r="F234" i="1" s="1"/>
  <c r="AJ24" i="11"/>
  <c r="BG24" i="11"/>
  <c r="BF44" i="11"/>
  <c r="BI49" i="11" s="1"/>
  <c r="AK26" i="11"/>
  <c r="F253" i="1" s="1"/>
  <c r="BU42" i="11"/>
  <c r="H249" i="1" s="1"/>
  <c r="U50" i="11"/>
  <c r="BU28" i="11"/>
  <c r="H238" i="1" s="1"/>
  <c r="AJ43" i="11"/>
  <c r="AK29" i="11"/>
  <c r="F342" i="1" s="1"/>
  <c r="F346" i="1" s="1"/>
  <c r="U54" i="11"/>
  <c r="BT24" i="11"/>
  <c r="AJ27" i="11"/>
  <c r="BY28" i="11"/>
  <c r="T13" i="7"/>
  <c r="H271" i="1" s="1"/>
  <c r="T33" i="7"/>
  <c r="H291" i="1" s="1"/>
  <c r="T12" i="7"/>
  <c r="H269" i="1" s="1"/>
  <c r="T11" i="7"/>
  <c r="H268" i="1" s="1"/>
  <c r="T29" i="7"/>
  <c r="H287" i="1" s="1"/>
  <c r="T10" i="7"/>
  <c r="H267" i="1" s="1"/>
  <c r="T28" i="7"/>
  <c r="H286" i="1" s="1"/>
  <c r="T27" i="7"/>
  <c r="H285" i="1" s="1"/>
  <c r="T26" i="7"/>
  <c r="H284" i="1" s="1"/>
  <c r="T25" i="7"/>
  <c r="H283" i="1" s="1"/>
  <c r="T24" i="7"/>
  <c r="H282" i="1" s="1"/>
  <c r="T9" i="7"/>
  <c r="H266" i="1" s="1"/>
  <c r="T8" i="7"/>
  <c r="H265" i="1" s="1"/>
  <c r="T23" i="7"/>
  <c r="H281" i="1" s="1"/>
  <c r="T22" i="7"/>
  <c r="H280" i="1" s="1"/>
  <c r="T7" i="7"/>
  <c r="H264" i="1" s="1"/>
  <c r="T21" i="7"/>
  <c r="H279" i="1" s="1"/>
  <c r="T20" i="7"/>
  <c r="H278" i="1" s="1"/>
  <c r="T19" i="7"/>
  <c r="H277" i="1" s="1"/>
  <c r="T6" i="7"/>
  <c r="H263" i="1" s="1"/>
  <c r="T18" i="7"/>
  <c r="H276" i="1" s="1"/>
  <c r="H289" i="1"/>
  <c r="T5" i="7"/>
  <c r="H262" i="1" s="1"/>
  <c r="T17" i="7"/>
  <c r="H275" i="1" s="1"/>
  <c r="T16" i="7"/>
  <c r="H274" i="1" s="1"/>
  <c r="T4" i="7"/>
  <c r="H261" i="1" s="1"/>
  <c r="T15" i="7"/>
  <c r="H273" i="1" s="1"/>
  <c r="T14" i="7"/>
  <c r="H272" i="1" s="1"/>
  <c r="T3" i="7"/>
  <c r="H260" i="1" s="1"/>
  <c r="T32" i="7"/>
  <c r="H290" i="1" s="1"/>
  <c r="T2" i="7"/>
  <c r="T34" i="7" l="1"/>
  <c r="BV31" i="11"/>
  <c r="H344" i="1"/>
  <c r="H259" i="1"/>
  <c r="BV33" i="11"/>
  <c r="H345" i="1"/>
  <c r="BV30" i="11"/>
  <c r="H343" i="1"/>
  <c r="L228" i="1"/>
  <c r="M228" i="1" s="1"/>
  <c r="N228" i="1" s="1"/>
  <c r="L229" i="1"/>
  <c r="C229" i="1" s="1"/>
  <c r="E229" i="1" s="1"/>
  <c r="P229" i="1" s="1"/>
  <c r="L251" i="1"/>
  <c r="M251" i="1" s="1"/>
  <c r="N251" i="1" s="1"/>
  <c r="L230" i="1"/>
  <c r="C230" i="1" s="1"/>
  <c r="E230" i="1" s="1"/>
  <c r="R230" i="1" s="1"/>
  <c r="L227" i="1"/>
  <c r="C227" i="1" s="1"/>
  <c r="L224" i="1"/>
  <c r="H222" i="1"/>
  <c r="BZ36" i="11"/>
  <c r="L225" i="1"/>
  <c r="L226" i="1"/>
  <c r="AJ44" i="11"/>
  <c r="BY15" i="11"/>
  <c r="AK35" i="11"/>
  <c r="F242" i="1" s="1"/>
  <c r="BZ29" i="11"/>
  <c r="BY35" i="11"/>
  <c r="AW44" i="11"/>
  <c r="BW24" i="11"/>
  <c r="BY19" i="11"/>
  <c r="BZ19" i="11" s="1"/>
  <c r="AU44" i="11"/>
  <c r="BY43" i="11"/>
  <c r="BZ20" i="11"/>
  <c r="AK27" i="11"/>
  <c r="F237" i="1" s="1"/>
  <c r="BZ23" i="11"/>
  <c r="BZ21" i="11"/>
  <c r="BZ11" i="11"/>
  <c r="AK43" i="11"/>
  <c r="S44" i="11"/>
  <c r="BW27" i="11"/>
  <c r="BW43" i="11"/>
  <c r="BV22" i="11"/>
  <c r="BZ35" i="11"/>
  <c r="AE44" i="11"/>
  <c r="BV12" i="11"/>
  <c r="BV10" i="11"/>
  <c r="BZ40" i="11"/>
  <c r="BZ10" i="11"/>
  <c r="BZ12" i="11"/>
  <c r="BV15" i="11"/>
  <c r="BV26" i="11"/>
  <c r="BV29" i="11"/>
  <c r="BU21" i="11"/>
  <c r="BV40" i="11"/>
  <c r="AS44" i="11"/>
  <c r="BY31" i="11"/>
  <c r="BZ31" i="11" s="1"/>
  <c r="BI44" i="11"/>
  <c r="BZ32" i="11"/>
  <c r="BV39" i="11"/>
  <c r="BV17" i="11"/>
  <c r="BU24" i="11"/>
  <c r="H235" i="1" s="1"/>
  <c r="BV41" i="11"/>
  <c r="BV13" i="11"/>
  <c r="BZ34" i="11"/>
  <c r="BZ42" i="11"/>
  <c r="AU56" i="11"/>
  <c r="BV37" i="11"/>
  <c r="BV19" i="11"/>
  <c r="BZ26" i="11"/>
  <c r="BZ28" i="11"/>
  <c r="BV20" i="11"/>
  <c r="BZ14" i="11"/>
  <c r="BV11" i="11"/>
  <c r="BV18" i="11"/>
  <c r="AJ45" i="11"/>
  <c r="BY24" i="11"/>
  <c r="BZ24" i="11" s="1"/>
  <c r="BV28" i="11"/>
  <c r="BV23" i="11"/>
  <c r="BU27" i="11"/>
  <c r="H237" i="1" s="1"/>
  <c r="BZ15" i="11"/>
  <c r="BW39" i="11"/>
  <c r="BZ39" i="11" s="1"/>
  <c r="BV16" i="11"/>
  <c r="BV32" i="11"/>
  <c r="BI50" i="11"/>
  <c r="BI56" i="11" s="1"/>
  <c r="BT44" i="11"/>
  <c r="BY25" i="11"/>
  <c r="O44" i="11"/>
  <c r="AM44" i="11"/>
  <c r="BV36" i="11"/>
  <c r="BZ9" i="11"/>
  <c r="BV14" i="11"/>
  <c r="BV34" i="11"/>
  <c r="BV35" i="11"/>
  <c r="BV38" i="11"/>
  <c r="U55" i="11"/>
  <c r="AB60" i="11" s="1"/>
  <c r="BV25" i="11"/>
  <c r="BY27" i="11"/>
  <c r="BW41" i="11"/>
  <c r="BZ41" i="11" s="1"/>
  <c r="BG44" i="11"/>
  <c r="BY38" i="11"/>
  <c r="BZ38" i="11" s="1"/>
  <c r="E44" i="11"/>
  <c r="BZ13" i="11"/>
  <c r="BV42" i="11"/>
  <c r="BA44" i="11"/>
  <c r="BW25" i="11"/>
  <c r="BZ17" i="11"/>
  <c r="BW18" i="11"/>
  <c r="BZ18" i="11" s="1"/>
  <c r="BZ22" i="11"/>
  <c r="BZ16" i="11"/>
  <c r="BY37" i="11"/>
  <c r="BZ37" i="11" s="1"/>
  <c r="BV9" i="11"/>
  <c r="BZ27" i="11" l="1"/>
  <c r="BZ43" i="11"/>
  <c r="M229" i="1"/>
  <c r="N229" i="1" s="1"/>
  <c r="D229" i="1"/>
  <c r="O229" i="1"/>
  <c r="Q229" i="1" s="1"/>
  <c r="C228" i="1"/>
  <c r="E228" i="1" s="1"/>
  <c r="P228" i="1" s="1"/>
  <c r="M230" i="1"/>
  <c r="N230" i="1" s="1"/>
  <c r="C251" i="1"/>
  <c r="E251" i="1" s="1"/>
  <c r="R251" i="1" s="1"/>
  <c r="M227" i="1"/>
  <c r="N227" i="1" s="1"/>
  <c r="E227" i="1"/>
  <c r="D227" i="1"/>
  <c r="D230" i="1"/>
  <c r="P230" i="1"/>
  <c r="O230" i="1"/>
  <c r="BV21" i="11"/>
  <c r="H233" i="1"/>
  <c r="BU45" i="11"/>
  <c r="M225" i="1"/>
  <c r="N225" i="1" s="1"/>
  <c r="C225" i="1"/>
  <c r="E225" i="1" s="1"/>
  <c r="M224" i="1"/>
  <c r="N224" i="1" s="1"/>
  <c r="C224" i="1"/>
  <c r="BV43" i="11"/>
  <c r="F250" i="1"/>
  <c r="C226" i="1"/>
  <c r="E226" i="1" s="1"/>
  <c r="M226" i="1"/>
  <c r="N226" i="1" s="1"/>
  <c r="AK45" i="11"/>
  <c r="AK44" i="11"/>
  <c r="BV27" i="11"/>
  <c r="BC60" i="11"/>
  <c r="BC65" i="11" s="1"/>
  <c r="BT45" i="11"/>
  <c r="BV24" i="11"/>
  <c r="BZ25" i="11"/>
  <c r="BU44" i="11"/>
  <c r="AB65" i="11"/>
  <c r="U229" i="1" l="1"/>
  <c r="AB229" i="1" s="1"/>
  <c r="AF229" i="1" s="1"/>
  <c r="D228" i="1"/>
  <c r="D251" i="1"/>
  <c r="P251" i="1"/>
  <c r="O251" i="1"/>
  <c r="BV44" i="11"/>
  <c r="O228" i="1"/>
  <c r="Q228" i="1" s="1"/>
  <c r="U228" i="1" s="1"/>
  <c r="AB228" i="1" s="1"/>
  <c r="AF228" i="1" s="1"/>
  <c r="Q230" i="1"/>
  <c r="U230" i="1" s="1"/>
  <c r="AB230" i="1" s="1"/>
  <c r="AF230" i="1" s="1"/>
  <c r="O227" i="1"/>
  <c r="P227" i="1"/>
  <c r="D225" i="1"/>
  <c r="R225" i="1"/>
  <c r="O225" i="1"/>
  <c r="P225" i="1"/>
  <c r="BV45" i="11"/>
  <c r="E224" i="1"/>
  <c r="D224" i="1"/>
  <c r="O226" i="1"/>
  <c r="P226" i="1"/>
  <c r="D226" i="1"/>
  <c r="BV60" i="11"/>
  <c r="BV65" i="11" s="1"/>
  <c r="BY60" i="11"/>
  <c r="L222" i="1"/>
  <c r="C222" i="1" s="1"/>
  <c r="Q251" i="1" l="1"/>
  <c r="U251" i="1" s="1"/>
  <c r="AB251" i="1" s="1"/>
  <c r="Q227" i="1"/>
  <c r="U227" i="1" s="1"/>
  <c r="AB227" i="1" s="1"/>
  <c r="AF227" i="1" s="1"/>
  <c r="Q225" i="1"/>
  <c r="U225" i="1" s="1"/>
  <c r="AB225" i="1" s="1"/>
  <c r="AF225" i="1" s="1"/>
  <c r="Q226" i="1"/>
  <c r="U226" i="1" s="1"/>
  <c r="AB226" i="1" s="1"/>
  <c r="AF226" i="1" s="1"/>
  <c r="R224" i="1"/>
  <c r="P224" i="1"/>
  <c r="O224" i="1"/>
  <c r="AA330" i="1"/>
  <c r="L330" i="1"/>
  <c r="AF251" i="1" l="1"/>
  <c r="Q224" i="1"/>
  <c r="U224" i="1" s="1"/>
  <c r="AB224" i="1" s="1"/>
  <c r="AF224" i="1" s="1"/>
  <c r="C330" i="1"/>
  <c r="E330" i="1" s="1"/>
  <c r="M330" i="1"/>
  <c r="N330" i="1" s="1"/>
  <c r="D330" i="1" l="1"/>
  <c r="K33" i="7"/>
  <c r="F291" i="1" s="1"/>
  <c r="K12" i="7"/>
  <c r="F269" i="1" s="1"/>
  <c r="K11" i="7"/>
  <c r="F268" i="1" s="1"/>
  <c r="K29" i="7"/>
  <c r="F287" i="1" s="1"/>
  <c r="K10" i="7"/>
  <c r="F267" i="1" s="1"/>
  <c r="K28" i="7"/>
  <c r="F286" i="1" s="1"/>
  <c r="K27" i="7"/>
  <c r="F285" i="1" s="1"/>
  <c r="K26" i="7"/>
  <c r="F284" i="1" s="1"/>
  <c r="K25" i="7"/>
  <c r="F283" i="1" s="1"/>
  <c r="K24" i="7"/>
  <c r="F282" i="1" s="1"/>
  <c r="K9" i="7"/>
  <c r="F266" i="1" s="1"/>
  <c r="K8" i="7"/>
  <c r="F265" i="1" s="1"/>
  <c r="K23" i="7"/>
  <c r="F281" i="1" s="1"/>
  <c r="K22" i="7"/>
  <c r="F280" i="1" s="1"/>
  <c r="K7" i="7"/>
  <c r="F264" i="1" s="1"/>
  <c r="K21" i="7"/>
  <c r="F279" i="1" s="1"/>
  <c r="K20" i="7"/>
  <c r="F278" i="1" s="1"/>
  <c r="K19" i="7"/>
  <c r="F277" i="1" s="1"/>
  <c r="K6" i="7"/>
  <c r="F263" i="1" s="1"/>
  <c r="K18" i="7"/>
  <c r="F276" i="1" s="1"/>
  <c r="F289" i="1"/>
  <c r="K5" i="7"/>
  <c r="F262" i="1" s="1"/>
  <c r="K17" i="7"/>
  <c r="F275" i="1" s="1"/>
  <c r="K16" i="7"/>
  <c r="F274" i="1" s="1"/>
  <c r="K4" i="7"/>
  <c r="F261" i="1" s="1"/>
  <c r="K15" i="7"/>
  <c r="F273" i="1" s="1"/>
  <c r="K30" i="7"/>
  <c r="F288" i="1" s="1"/>
  <c r="K14" i="7"/>
  <c r="F272" i="1" s="1"/>
  <c r="K3" i="7"/>
  <c r="F260" i="1" s="1"/>
  <c r="K32" i="7"/>
  <c r="F290" i="1" s="1"/>
  <c r="K2" i="7"/>
  <c r="K34" i="7" s="1"/>
  <c r="F259" i="1" l="1"/>
  <c r="Q330" i="1"/>
  <c r="U330" i="1" s="1"/>
  <c r="AB330" i="1" s="1"/>
  <c r="AF330" i="1" s="1"/>
  <c r="Q19" i="9" l="1"/>
  <c r="P19" i="9"/>
  <c r="F19" i="9"/>
  <c r="K18" i="9"/>
  <c r="F219" i="1" s="1"/>
  <c r="K17" i="9"/>
  <c r="F217" i="1" s="1"/>
  <c r="K16" i="9"/>
  <c r="F216" i="1" s="1"/>
  <c r="K14" i="9"/>
  <c r="F214" i="1" s="1"/>
  <c r="T13" i="9"/>
  <c r="K13" i="9"/>
  <c r="F213" i="1" s="1"/>
  <c r="C12" i="9"/>
  <c r="K12" i="9" s="1"/>
  <c r="F212" i="1" s="1"/>
  <c r="C11" i="9"/>
  <c r="K11" i="9" s="1"/>
  <c r="F211" i="1" s="1"/>
  <c r="C10" i="9"/>
  <c r="K10" i="9" s="1"/>
  <c r="F210" i="1" s="1"/>
  <c r="C7" i="9"/>
  <c r="K7" i="9" s="1"/>
  <c r="F207" i="1" s="1"/>
  <c r="C6" i="9"/>
  <c r="K6" i="9" s="1"/>
  <c r="F206" i="1" s="1"/>
  <c r="H213" i="1" l="1"/>
  <c r="H254" i="1" s="1"/>
  <c r="H337" i="1" s="1"/>
  <c r="T19" i="9"/>
  <c r="K19" i="9"/>
  <c r="M357" i="1" l="1"/>
  <c r="M358" i="1"/>
  <c r="M359" i="1"/>
  <c r="M360" i="1"/>
  <c r="M365" i="1"/>
  <c r="M366" i="1"/>
  <c r="M367" i="1"/>
  <c r="M356" i="1"/>
  <c r="M368" i="1" l="1"/>
  <c r="H358" i="1"/>
  <c r="H359" i="1"/>
  <c r="H360" i="1"/>
  <c r="H366" i="1"/>
  <c r="L366" i="1" s="1"/>
  <c r="H357" i="1"/>
  <c r="H356" i="1"/>
  <c r="H367" i="1"/>
  <c r="I367" i="1" s="1"/>
  <c r="H368" i="1" l="1"/>
  <c r="L367" i="1"/>
  <c r="N367" i="1" s="1"/>
  <c r="AA32" i="1" l="1"/>
  <c r="AA26" i="1" l="1"/>
  <c r="G6" i="1"/>
  <c r="I6" i="1"/>
  <c r="AA6" i="1"/>
  <c r="AA213" i="1" l="1"/>
  <c r="AA212" i="1" l="1"/>
  <c r="AA214" i="1"/>
  <c r="AA215" i="1"/>
  <c r="AA216" i="1"/>
  <c r="AA217" i="1"/>
  <c r="AA219" i="1"/>
  <c r="AA68" i="1"/>
  <c r="AA69" i="1"/>
  <c r="AA70" i="1"/>
  <c r="L244" i="1" l="1"/>
  <c r="L241" i="1"/>
  <c r="L219" i="1" l="1"/>
  <c r="L217" i="1"/>
  <c r="C219" i="1" l="1"/>
  <c r="E219" i="1" s="1"/>
  <c r="O219" i="1" s="1"/>
  <c r="M219" i="1"/>
  <c r="C217" i="1"/>
  <c r="E217" i="1" s="1"/>
  <c r="M217" i="1"/>
  <c r="N217" i="1" s="1"/>
  <c r="N219" i="1" l="1"/>
  <c r="D219" i="1"/>
  <c r="P219" i="1"/>
  <c r="L216" i="1"/>
  <c r="C216" i="1" s="1"/>
  <c r="L215" i="1"/>
  <c r="M215" i="1" s="1"/>
  <c r="N215" i="1" s="1"/>
  <c r="D217" i="1"/>
  <c r="P217" i="1"/>
  <c r="O217" i="1"/>
  <c r="Q219" i="1" l="1"/>
  <c r="L214" i="1"/>
  <c r="C214" i="1" s="1"/>
  <c r="E214" i="1" s="1"/>
  <c r="P214" i="1" s="1"/>
  <c r="M216" i="1"/>
  <c r="N216" i="1" s="1"/>
  <c r="C215" i="1"/>
  <c r="E215" i="1" s="1"/>
  <c r="E216" i="1"/>
  <c r="D216" i="1"/>
  <c r="Q217" i="1"/>
  <c r="U217" i="1" s="1"/>
  <c r="AB217" i="1" s="1"/>
  <c r="AF217" i="1" s="1"/>
  <c r="U219" i="1" l="1"/>
  <c r="O214" i="1"/>
  <c r="Q214" i="1" s="1"/>
  <c r="D214" i="1"/>
  <c r="M214" i="1"/>
  <c r="N214" i="1" s="1"/>
  <c r="D215" i="1"/>
  <c r="O215" i="1"/>
  <c r="P215" i="1"/>
  <c r="O216" i="1"/>
  <c r="P216" i="1"/>
  <c r="AA205" i="1"/>
  <c r="AA206" i="1"/>
  <c r="AA207" i="1"/>
  <c r="AA208" i="1"/>
  <c r="AA209" i="1"/>
  <c r="AA210" i="1"/>
  <c r="AA211" i="1"/>
  <c r="AB219" i="1" l="1"/>
  <c r="U214" i="1"/>
  <c r="AB214" i="1" s="1"/>
  <c r="Q216" i="1"/>
  <c r="U216" i="1" s="1"/>
  <c r="AB216" i="1" s="1"/>
  <c r="AF216" i="1" s="1"/>
  <c r="Q215" i="1"/>
  <c r="U215" i="1" s="1"/>
  <c r="AB215" i="1" s="1"/>
  <c r="AF215" i="1" s="1"/>
  <c r="AF219" i="1" l="1"/>
  <c r="AF214" i="1"/>
  <c r="L212" i="1"/>
  <c r="L206" i="1" l="1"/>
  <c r="M206" i="1" s="1"/>
  <c r="N206" i="1" s="1"/>
  <c r="L6" i="1"/>
  <c r="C6" i="1" s="1"/>
  <c r="L207" i="1"/>
  <c r="C207" i="1" s="1"/>
  <c r="E207" i="1" s="1"/>
  <c r="R207" i="1" s="1"/>
  <c r="L213" i="1"/>
  <c r="L69" i="1"/>
  <c r="L205" i="1"/>
  <c r="M205" i="1" s="1"/>
  <c r="N205" i="1" s="1"/>
  <c r="L26" i="1"/>
  <c r="L40" i="1"/>
  <c r="L38" i="1"/>
  <c r="L39" i="1"/>
  <c r="C212" i="1"/>
  <c r="E212" i="1" s="1"/>
  <c r="R212" i="1" s="1"/>
  <c r="M212" i="1"/>
  <c r="N212" i="1" s="1"/>
  <c r="L37" i="1"/>
  <c r="L209" i="1"/>
  <c r="L210" i="1"/>
  <c r="L211" i="1"/>
  <c r="L208" i="1"/>
  <c r="E6" i="1" l="1"/>
  <c r="L70" i="1"/>
  <c r="C70" i="1" s="1"/>
  <c r="E70" i="1" s="1"/>
  <c r="M6" i="1"/>
  <c r="N6" i="1" s="1"/>
  <c r="C26" i="1"/>
  <c r="E26" i="1" s="1"/>
  <c r="M26" i="1"/>
  <c r="N26" i="1" s="1"/>
  <c r="D6" i="1"/>
  <c r="R6" i="1"/>
  <c r="P6" i="1"/>
  <c r="O6" i="1"/>
  <c r="L68" i="1"/>
  <c r="C68" i="1" s="1"/>
  <c r="M207" i="1"/>
  <c r="N207" i="1" s="1"/>
  <c r="C205" i="1"/>
  <c r="D205" i="1" s="1"/>
  <c r="C213" i="1"/>
  <c r="E213" i="1" s="1"/>
  <c r="M213" i="1"/>
  <c r="N213" i="1" s="1"/>
  <c r="C206" i="1"/>
  <c r="E206" i="1" s="1"/>
  <c r="D212" i="1"/>
  <c r="D207" i="1"/>
  <c r="M210" i="1"/>
  <c r="N210" i="1" s="1"/>
  <c r="C210" i="1"/>
  <c r="E210" i="1" s="1"/>
  <c r="R210" i="1" s="1"/>
  <c r="P207" i="1"/>
  <c r="O207" i="1"/>
  <c r="M208" i="1"/>
  <c r="N208" i="1" s="1"/>
  <c r="C208" i="1"/>
  <c r="E208" i="1" s="1"/>
  <c r="R208" i="1" s="1"/>
  <c r="C69" i="1"/>
  <c r="E69" i="1" s="1"/>
  <c r="R69" i="1" s="1"/>
  <c r="M69" i="1"/>
  <c r="N69" i="1" s="1"/>
  <c r="C209" i="1"/>
  <c r="E209" i="1" s="1"/>
  <c r="R209" i="1" s="1"/>
  <c r="M209" i="1"/>
  <c r="N209" i="1" s="1"/>
  <c r="L67" i="1"/>
  <c r="M211" i="1"/>
  <c r="N211" i="1" s="1"/>
  <c r="C211" i="1"/>
  <c r="E211" i="1" s="1"/>
  <c r="R211" i="1" s="1"/>
  <c r="O212" i="1"/>
  <c r="P212" i="1"/>
  <c r="M70" i="1" l="1"/>
  <c r="N70" i="1" s="1"/>
  <c r="M68" i="1"/>
  <c r="N68" i="1" s="1"/>
  <c r="Q6" i="1"/>
  <c r="U6" i="1" s="1"/>
  <c r="AB6" i="1" s="1"/>
  <c r="AF6" i="1" s="1"/>
  <c r="D26" i="1"/>
  <c r="R26" i="1"/>
  <c r="O26" i="1"/>
  <c r="P26" i="1"/>
  <c r="O206" i="1"/>
  <c r="R206" i="1"/>
  <c r="D213" i="1"/>
  <c r="E205" i="1"/>
  <c r="R205" i="1" s="1"/>
  <c r="P213" i="1"/>
  <c r="O213" i="1"/>
  <c r="D206" i="1"/>
  <c r="P206" i="1"/>
  <c r="D210" i="1"/>
  <c r="D70" i="1"/>
  <c r="O211" i="1"/>
  <c r="P211" i="1"/>
  <c r="Q212" i="1"/>
  <c r="U212" i="1" s="1"/>
  <c r="AB212" i="1" s="1"/>
  <c r="AF212" i="1" s="1"/>
  <c r="D209" i="1"/>
  <c r="D208" i="1"/>
  <c r="P209" i="1"/>
  <c r="O209" i="1"/>
  <c r="O69" i="1"/>
  <c r="P69" i="1"/>
  <c r="O208" i="1"/>
  <c r="P208" i="1"/>
  <c r="D69" i="1"/>
  <c r="P210" i="1"/>
  <c r="O210" i="1"/>
  <c r="D211" i="1"/>
  <c r="C67" i="1"/>
  <c r="M67" i="1"/>
  <c r="N67" i="1" s="1"/>
  <c r="Q207" i="1"/>
  <c r="U207" i="1" s="1"/>
  <c r="AB207" i="1" s="1"/>
  <c r="AF207" i="1" s="1"/>
  <c r="O70" i="1"/>
  <c r="P70" i="1"/>
  <c r="D68" i="1"/>
  <c r="E68" i="1"/>
  <c r="Q26" i="1" l="1"/>
  <c r="U26" i="1" s="1"/>
  <c r="AB26" i="1" s="1"/>
  <c r="AF26" i="1" s="1"/>
  <c r="P205" i="1"/>
  <c r="O205" i="1"/>
  <c r="Q206" i="1"/>
  <c r="U206" i="1" s="1"/>
  <c r="AB206" i="1" s="1"/>
  <c r="AF206" i="1" s="1"/>
  <c r="Q213" i="1"/>
  <c r="U213" i="1" s="1"/>
  <c r="AB213" i="1" s="1"/>
  <c r="AF213" i="1" s="1"/>
  <c r="Q210" i="1"/>
  <c r="U210" i="1" s="1"/>
  <c r="AB210" i="1" s="1"/>
  <c r="AF210" i="1" s="1"/>
  <c r="Q70" i="1"/>
  <c r="U70" i="1" s="1"/>
  <c r="AB70" i="1" s="1"/>
  <c r="AF70" i="1" s="1"/>
  <c r="Q208" i="1"/>
  <c r="U208" i="1" s="1"/>
  <c r="AB208" i="1" s="1"/>
  <c r="AF208" i="1" s="1"/>
  <c r="Q209" i="1"/>
  <c r="U209" i="1" s="1"/>
  <c r="AB209" i="1" s="1"/>
  <c r="AF209" i="1" s="1"/>
  <c r="O68" i="1"/>
  <c r="P68" i="1"/>
  <c r="D67" i="1"/>
  <c r="E67" i="1"/>
  <c r="Q69" i="1"/>
  <c r="U69" i="1" s="1"/>
  <c r="AB69" i="1" s="1"/>
  <c r="AF69" i="1" s="1"/>
  <c r="Q211" i="1"/>
  <c r="U211" i="1" s="1"/>
  <c r="AB211" i="1" s="1"/>
  <c r="AF211" i="1" s="1"/>
  <c r="AA290" i="1"/>
  <c r="AA260" i="1"/>
  <c r="AA261" i="1"/>
  <c r="AA262" i="1"/>
  <c r="AA289" i="1"/>
  <c r="AA263" i="1"/>
  <c r="AA264" i="1"/>
  <c r="AA265" i="1"/>
  <c r="AA266" i="1"/>
  <c r="AA267" i="1"/>
  <c r="AA268" i="1"/>
  <c r="AA269" i="1"/>
  <c r="AA291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93" i="1"/>
  <c r="AA294" i="1"/>
  <c r="AA295" i="1"/>
  <c r="AA296" i="1"/>
  <c r="AA309" i="1"/>
  <c r="AA297" i="1"/>
  <c r="AA310" i="1"/>
  <c r="AA298" i="1"/>
  <c r="AA299" i="1"/>
  <c r="AA300" i="1"/>
  <c r="AA301" i="1"/>
  <c r="AA303" i="1"/>
  <c r="AA316" i="1"/>
  <c r="AA317" i="1"/>
  <c r="AA318" i="1"/>
  <c r="AA331" i="1"/>
  <c r="AA319" i="1"/>
  <c r="AA320" i="1"/>
  <c r="AA321" i="1"/>
  <c r="AA322" i="1"/>
  <c r="AA323" i="1"/>
  <c r="AA324" i="1"/>
  <c r="AA332" i="1"/>
  <c r="AA325" i="1"/>
  <c r="AA326" i="1"/>
  <c r="AA327" i="1"/>
  <c r="AA329" i="1"/>
  <c r="AA7" i="1"/>
  <c r="AA8" i="1"/>
  <c r="AA9" i="1"/>
  <c r="AA10" i="1"/>
  <c r="AA11" i="1"/>
  <c r="AA20" i="1"/>
  <c r="AA17" i="1"/>
  <c r="AA12" i="1"/>
  <c r="AA22" i="1"/>
  <c r="AA19" i="1"/>
  <c r="AA13" i="1"/>
  <c r="AA15" i="1"/>
  <c r="AA16" i="1"/>
  <c r="AA21" i="1"/>
  <c r="AA18" i="1"/>
  <c r="AA113" i="1"/>
  <c r="AA25" i="1"/>
  <c r="AA27" i="1"/>
  <c r="AA28" i="1"/>
  <c r="AA29" i="1"/>
  <c r="AA121" i="1"/>
  <c r="AA30" i="1"/>
  <c r="AA114" i="1"/>
  <c r="AA124" i="1"/>
  <c r="AA31" i="1"/>
  <c r="AA119" i="1"/>
  <c r="AA33" i="1"/>
  <c r="AA116" i="1"/>
  <c r="AA34" i="1"/>
  <c r="AA35" i="1"/>
  <c r="AA37" i="1"/>
  <c r="AA38" i="1"/>
  <c r="AA39" i="1"/>
  <c r="AA40" i="1"/>
  <c r="AA41" i="1"/>
  <c r="AA42" i="1"/>
  <c r="AA43" i="1"/>
  <c r="AA44" i="1"/>
  <c r="AA118" i="1"/>
  <c r="AA112" i="1"/>
  <c r="AA45" i="1"/>
  <c r="AA123" i="1"/>
  <c r="AA46" i="1"/>
  <c r="AA48" i="1"/>
  <c r="AA49" i="1"/>
  <c r="AA50" i="1"/>
  <c r="AA51" i="1"/>
  <c r="AA52" i="1"/>
  <c r="AA115" i="1"/>
  <c r="AA53" i="1"/>
  <c r="AA54" i="1"/>
  <c r="AA55" i="1"/>
  <c r="AA56" i="1"/>
  <c r="AA57" i="1"/>
  <c r="AA58" i="1"/>
  <c r="AA117" i="1"/>
  <c r="AA120" i="1"/>
  <c r="AA122" i="1"/>
  <c r="AA47" i="1"/>
  <c r="AA59" i="1"/>
  <c r="AA60" i="1"/>
  <c r="AA61" i="1"/>
  <c r="AA62" i="1"/>
  <c r="AA63" i="1"/>
  <c r="AA64" i="1"/>
  <c r="AA71" i="1"/>
  <c r="AA72" i="1"/>
  <c r="AA73" i="1"/>
  <c r="AA74" i="1"/>
  <c r="AA75" i="1"/>
  <c r="AA126" i="1"/>
  <c r="AA141" i="1"/>
  <c r="AA128" i="1"/>
  <c r="AA139" i="1"/>
  <c r="AA129" i="1"/>
  <c r="AA130" i="1"/>
  <c r="AA131" i="1"/>
  <c r="AA132" i="1"/>
  <c r="AA133" i="1"/>
  <c r="AA134" i="1"/>
  <c r="AA135" i="1"/>
  <c r="AA136" i="1"/>
  <c r="AA143" i="1"/>
  <c r="AA144" i="1"/>
  <c r="AA181" i="1"/>
  <c r="AA145" i="1"/>
  <c r="AA146" i="1"/>
  <c r="AA147" i="1"/>
  <c r="AA179" i="1"/>
  <c r="AA148" i="1"/>
  <c r="AA149" i="1"/>
  <c r="AA150" i="1"/>
  <c r="AA151" i="1"/>
  <c r="AA166" i="1"/>
  <c r="AA180" i="1"/>
  <c r="AA152" i="1"/>
  <c r="AA153" i="1"/>
  <c r="AA154" i="1"/>
  <c r="AA155" i="1"/>
  <c r="AA156" i="1"/>
  <c r="AA157" i="1"/>
  <c r="AA183" i="1"/>
  <c r="AA158" i="1"/>
  <c r="AA159" i="1"/>
  <c r="AA161" i="1"/>
  <c r="AA162" i="1"/>
  <c r="AA163" i="1"/>
  <c r="AA164" i="1"/>
  <c r="AA165" i="1"/>
  <c r="AA182" i="1"/>
  <c r="AA167" i="1"/>
  <c r="AA168" i="1"/>
  <c r="AA169" i="1"/>
  <c r="AA170" i="1"/>
  <c r="AA171" i="1"/>
  <c r="AA172" i="1"/>
  <c r="AA173" i="1"/>
  <c r="AA174" i="1"/>
  <c r="AA175" i="1"/>
  <c r="AA176" i="1"/>
  <c r="AA185" i="1"/>
  <c r="AA186" i="1"/>
  <c r="AA187" i="1"/>
  <c r="AA188" i="1"/>
  <c r="AA189" i="1"/>
  <c r="AA190" i="1"/>
  <c r="AA200" i="1"/>
  <c r="AA191" i="1"/>
  <c r="AA202" i="1"/>
  <c r="AA203" i="1"/>
  <c r="AA201" i="1"/>
  <c r="AA192" i="1"/>
  <c r="AA193" i="1"/>
  <c r="AA199" i="1"/>
  <c r="AA222" i="1"/>
  <c r="AA223" i="1"/>
  <c r="AA231" i="1"/>
  <c r="AA232" i="1"/>
  <c r="AA233" i="1"/>
  <c r="AA252" i="1"/>
  <c r="AA234" i="1"/>
  <c r="AA235" i="1"/>
  <c r="AA236" i="1"/>
  <c r="AA253" i="1"/>
  <c r="AA237" i="1"/>
  <c r="AA238" i="1"/>
  <c r="AA240" i="1"/>
  <c r="AA241" i="1"/>
  <c r="AA242" i="1"/>
  <c r="AA243" i="1"/>
  <c r="AA244" i="1"/>
  <c r="AA245" i="1"/>
  <c r="AA246" i="1"/>
  <c r="AA247" i="1"/>
  <c r="AA248" i="1"/>
  <c r="AA249" i="1"/>
  <c r="AA250" i="1"/>
  <c r="AA254" i="1" l="1"/>
  <c r="Q205" i="1"/>
  <c r="U205" i="1" s="1"/>
  <c r="AB205" i="1" s="1"/>
  <c r="AF205" i="1" s="1"/>
  <c r="O67" i="1"/>
  <c r="P67" i="1"/>
  <c r="Q68" i="1"/>
  <c r="U68" i="1" s="1"/>
  <c r="AB68" i="1" s="1"/>
  <c r="AF68" i="1" s="1"/>
  <c r="Q433" i="1"/>
  <c r="I366" i="1"/>
  <c r="L360" i="1"/>
  <c r="L359" i="1"/>
  <c r="I358" i="1"/>
  <c r="L357" i="1"/>
  <c r="L356" i="1"/>
  <c r="AC337" i="1"/>
  <c r="AA345" i="1"/>
  <c r="L345" i="1"/>
  <c r="C345" i="1" s="1"/>
  <c r="E345" i="1" s="1"/>
  <c r="AA344" i="1"/>
  <c r="L344" i="1"/>
  <c r="AA343" i="1"/>
  <c r="L343" i="1"/>
  <c r="AA342" i="1"/>
  <c r="L342" i="1"/>
  <c r="L329" i="1"/>
  <c r="L327" i="1"/>
  <c r="L326" i="1"/>
  <c r="M326" i="1" s="1"/>
  <c r="N326" i="1" s="1"/>
  <c r="L325" i="1"/>
  <c r="C325" i="1" s="1"/>
  <c r="E325" i="1" s="1"/>
  <c r="L332" i="1"/>
  <c r="L324" i="1"/>
  <c r="L323" i="1"/>
  <c r="M323" i="1" s="1"/>
  <c r="N323" i="1" s="1"/>
  <c r="L322" i="1"/>
  <c r="C322" i="1" s="1"/>
  <c r="E322" i="1" s="1"/>
  <c r="L321" i="1"/>
  <c r="M321" i="1" s="1"/>
  <c r="N321" i="1" s="1"/>
  <c r="L320" i="1"/>
  <c r="L319" i="1"/>
  <c r="L331" i="1"/>
  <c r="L318" i="1"/>
  <c r="C318" i="1" s="1"/>
  <c r="E318" i="1" s="1"/>
  <c r="L317" i="1"/>
  <c r="M317" i="1" s="1"/>
  <c r="N317" i="1" s="1"/>
  <c r="L316" i="1"/>
  <c r="L303" i="1"/>
  <c r="L301" i="1"/>
  <c r="L300" i="1"/>
  <c r="L299" i="1"/>
  <c r="L298" i="1"/>
  <c r="C298" i="1" s="1"/>
  <c r="E298" i="1" s="1"/>
  <c r="L310" i="1"/>
  <c r="C310" i="1" s="1"/>
  <c r="E310" i="1" s="1"/>
  <c r="R310" i="1" s="1"/>
  <c r="L297" i="1"/>
  <c r="C297" i="1" s="1"/>
  <c r="E297" i="1" s="1"/>
  <c r="R297" i="1" s="1"/>
  <c r="L309" i="1"/>
  <c r="L296" i="1"/>
  <c r="L295" i="1"/>
  <c r="L294" i="1"/>
  <c r="L293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91" i="1"/>
  <c r="L269" i="1"/>
  <c r="L268" i="1"/>
  <c r="L267" i="1"/>
  <c r="C267" i="1" s="1"/>
  <c r="L266" i="1"/>
  <c r="L265" i="1"/>
  <c r="L264" i="1"/>
  <c r="L263" i="1"/>
  <c r="L289" i="1"/>
  <c r="L262" i="1"/>
  <c r="L261" i="1"/>
  <c r="C261" i="1" s="1"/>
  <c r="L260" i="1"/>
  <c r="L290" i="1"/>
  <c r="AA259" i="1"/>
  <c r="L259" i="1"/>
  <c r="S257" i="1"/>
  <c r="L250" i="1"/>
  <c r="L249" i="1"/>
  <c r="L248" i="1"/>
  <c r="L247" i="1"/>
  <c r="L246" i="1"/>
  <c r="L245" i="1"/>
  <c r="L243" i="1"/>
  <c r="L242" i="1"/>
  <c r="L240" i="1"/>
  <c r="C240" i="1" s="1"/>
  <c r="E240" i="1" s="1"/>
  <c r="L238" i="1"/>
  <c r="L237" i="1"/>
  <c r="L253" i="1"/>
  <c r="C253" i="1" s="1"/>
  <c r="E253" i="1" s="1"/>
  <c r="L236" i="1"/>
  <c r="C236" i="1" s="1"/>
  <c r="E236" i="1" s="1"/>
  <c r="R236" i="1" s="1"/>
  <c r="L235" i="1"/>
  <c r="L234" i="1"/>
  <c r="L252" i="1"/>
  <c r="L233" i="1"/>
  <c r="C233" i="1" s="1"/>
  <c r="L232" i="1"/>
  <c r="L231" i="1"/>
  <c r="L223" i="1"/>
  <c r="L199" i="1"/>
  <c r="L193" i="1"/>
  <c r="C193" i="1" s="1"/>
  <c r="L192" i="1"/>
  <c r="C192" i="1" s="1"/>
  <c r="L201" i="1"/>
  <c r="C201" i="1" s="1"/>
  <c r="L203" i="1"/>
  <c r="L202" i="1"/>
  <c r="L191" i="1"/>
  <c r="C191" i="1" s="1"/>
  <c r="L200" i="1"/>
  <c r="C200" i="1" s="1"/>
  <c r="L190" i="1"/>
  <c r="C190" i="1" s="1"/>
  <c r="L189" i="1"/>
  <c r="L188" i="1"/>
  <c r="L187" i="1"/>
  <c r="C187" i="1" s="1"/>
  <c r="L186" i="1"/>
  <c r="C186" i="1" s="1"/>
  <c r="L185" i="1"/>
  <c r="L176" i="1"/>
  <c r="L175" i="1"/>
  <c r="L174" i="1"/>
  <c r="L173" i="1"/>
  <c r="L172" i="1"/>
  <c r="L171" i="1"/>
  <c r="L170" i="1"/>
  <c r="L169" i="1"/>
  <c r="L168" i="1"/>
  <c r="L167" i="1"/>
  <c r="M167" i="1" s="1"/>
  <c r="L182" i="1"/>
  <c r="M182" i="1" s="1"/>
  <c r="L165" i="1"/>
  <c r="L164" i="1"/>
  <c r="L163" i="1"/>
  <c r="L162" i="1"/>
  <c r="L161" i="1"/>
  <c r="L159" i="1"/>
  <c r="M159" i="1" s="1"/>
  <c r="L158" i="1"/>
  <c r="L183" i="1"/>
  <c r="L157" i="1"/>
  <c r="L156" i="1"/>
  <c r="L155" i="1"/>
  <c r="L154" i="1"/>
  <c r="L153" i="1"/>
  <c r="L152" i="1"/>
  <c r="L180" i="1"/>
  <c r="L166" i="1"/>
  <c r="L151" i="1"/>
  <c r="L150" i="1"/>
  <c r="C150" i="1" s="1"/>
  <c r="L149" i="1"/>
  <c r="C149" i="1" s="1"/>
  <c r="L148" i="1"/>
  <c r="C148" i="1" s="1"/>
  <c r="L179" i="1"/>
  <c r="C179" i="1" s="1"/>
  <c r="L147" i="1"/>
  <c r="L146" i="1"/>
  <c r="L145" i="1"/>
  <c r="L181" i="1"/>
  <c r="L144" i="1"/>
  <c r="C144" i="1" s="1"/>
  <c r="L143" i="1"/>
  <c r="L136" i="1"/>
  <c r="C136" i="1" s="1"/>
  <c r="L135" i="1"/>
  <c r="C135" i="1" s="1"/>
  <c r="L133" i="1"/>
  <c r="L132" i="1"/>
  <c r="L131" i="1"/>
  <c r="C131" i="1" s="1"/>
  <c r="L130" i="1"/>
  <c r="L129" i="1"/>
  <c r="L139" i="1"/>
  <c r="L128" i="1"/>
  <c r="L141" i="1"/>
  <c r="M141" i="1" s="1"/>
  <c r="L126" i="1"/>
  <c r="C126" i="1" s="1"/>
  <c r="E126" i="1" s="1"/>
  <c r="R126" i="1" s="1"/>
  <c r="L75" i="1"/>
  <c r="M75" i="1" s="1"/>
  <c r="L74" i="1"/>
  <c r="L73" i="1"/>
  <c r="L72" i="1"/>
  <c r="L71" i="1"/>
  <c r="L66" i="1"/>
  <c r="L64" i="1"/>
  <c r="C64" i="1" s="1"/>
  <c r="L63" i="1"/>
  <c r="L62" i="1"/>
  <c r="L61" i="1"/>
  <c r="L60" i="1"/>
  <c r="C60" i="1" s="1"/>
  <c r="L59" i="1"/>
  <c r="C59" i="1" s="1"/>
  <c r="L47" i="1"/>
  <c r="L122" i="1"/>
  <c r="L120" i="1"/>
  <c r="L117" i="1"/>
  <c r="L58" i="1"/>
  <c r="L57" i="1"/>
  <c r="L56" i="1"/>
  <c r="C56" i="1" s="1"/>
  <c r="L55" i="1"/>
  <c r="C55" i="1" s="1"/>
  <c r="L54" i="1"/>
  <c r="L53" i="1"/>
  <c r="L115" i="1"/>
  <c r="L52" i="1"/>
  <c r="L51" i="1"/>
  <c r="C51" i="1" s="1"/>
  <c r="L50" i="1"/>
  <c r="C50" i="1" s="1"/>
  <c r="L49" i="1"/>
  <c r="L48" i="1"/>
  <c r="L46" i="1"/>
  <c r="L123" i="1"/>
  <c r="L45" i="1"/>
  <c r="L112" i="1"/>
  <c r="L118" i="1"/>
  <c r="L44" i="1"/>
  <c r="L43" i="1"/>
  <c r="M43" i="1" s="1"/>
  <c r="L42" i="1"/>
  <c r="L41" i="1"/>
  <c r="M40" i="1"/>
  <c r="L35" i="1"/>
  <c r="M35" i="1" s="1"/>
  <c r="L116" i="1"/>
  <c r="L33" i="1"/>
  <c r="L119" i="1"/>
  <c r="L32" i="1"/>
  <c r="M32" i="1" s="1"/>
  <c r="L31" i="1"/>
  <c r="L124" i="1"/>
  <c r="L30" i="1"/>
  <c r="L121" i="1"/>
  <c r="L29" i="1"/>
  <c r="L28" i="1"/>
  <c r="M28" i="1" s="1"/>
  <c r="L27" i="1"/>
  <c r="M27" i="1" s="1"/>
  <c r="L25" i="1"/>
  <c r="L113" i="1"/>
  <c r="G18" i="1"/>
  <c r="G21" i="1"/>
  <c r="I16" i="1"/>
  <c r="G16" i="1"/>
  <c r="I15" i="1"/>
  <c r="G15" i="1"/>
  <c r="I13" i="1"/>
  <c r="G13" i="1"/>
  <c r="G19" i="1"/>
  <c r="G22" i="1"/>
  <c r="I12" i="1"/>
  <c r="G12" i="1"/>
  <c r="I17" i="1"/>
  <c r="G17" i="1"/>
  <c r="G20" i="1"/>
  <c r="I11" i="1"/>
  <c r="G11" i="1"/>
  <c r="I10" i="1"/>
  <c r="G10" i="1"/>
  <c r="I9" i="1"/>
  <c r="G9" i="1"/>
  <c r="I8" i="1"/>
  <c r="G8" i="1"/>
  <c r="I7" i="1"/>
  <c r="G7" i="1"/>
  <c r="G254" i="1" l="1"/>
  <c r="G337" i="1" s="1"/>
  <c r="I254" i="1"/>
  <c r="I337" i="1" s="1"/>
  <c r="AA346" i="1"/>
  <c r="AA337" i="1" s="1"/>
  <c r="N342" i="1"/>
  <c r="P318" i="1"/>
  <c r="O318" i="1"/>
  <c r="O325" i="1"/>
  <c r="P325" i="1"/>
  <c r="O322" i="1"/>
  <c r="P322" i="1"/>
  <c r="C315" i="1"/>
  <c r="E315" i="1" s="1"/>
  <c r="R315" i="1" s="1"/>
  <c r="C316" i="1"/>
  <c r="E316" i="1" s="1"/>
  <c r="R316" i="1" s="1"/>
  <c r="C259" i="1"/>
  <c r="R325" i="1"/>
  <c r="Q67" i="1"/>
  <c r="U67" i="1" s="1"/>
  <c r="AB67" i="1" s="1"/>
  <c r="AF67" i="1" s="1"/>
  <c r="N345" i="1"/>
  <c r="L358" i="1"/>
  <c r="N358" i="1" s="1"/>
  <c r="L11" i="1"/>
  <c r="M11" i="1" s="1"/>
  <c r="N11" i="1" s="1"/>
  <c r="L20" i="1"/>
  <c r="M20" i="1" s="1"/>
  <c r="N20" i="1" s="1"/>
  <c r="L12" i="1"/>
  <c r="C12" i="1" s="1"/>
  <c r="E12" i="1" s="1"/>
  <c r="R12" i="1" s="1"/>
  <c r="L21" i="1"/>
  <c r="M21" i="1" s="1"/>
  <c r="N21" i="1" s="1"/>
  <c r="L8" i="1"/>
  <c r="M8" i="1" s="1"/>
  <c r="N8" i="1" s="1"/>
  <c r="L10" i="1"/>
  <c r="M10" i="1" s="1"/>
  <c r="N10" i="1" s="1"/>
  <c r="M253" i="1"/>
  <c r="N253" i="1" s="1"/>
  <c r="N366" i="1"/>
  <c r="M201" i="1"/>
  <c r="N201" i="1" s="1"/>
  <c r="I359" i="1"/>
  <c r="N359" i="1" s="1"/>
  <c r="L19" i="1"/>
  <c r="M19" i="1" s="1"/>
  <c r="N19" i="1" s="1"/>
  <c r="L17" i="1"/>
  <c r="C17" i="1" s="1"/>
  <c r="E17" i="1" s="1"/>
  <c r="R17" i="1" s="1"/>
  <c r="L13" i="1"/>
  <c r="M13" i="1" s="1"/>
  <c r="N13" i="1" s="1"/>
  <c r="L18" i="1"/>
  <c r="M18" i="1" s="1"/>
  <c r="N18" i="1" s="1"/>
  <c r="C323" i="1"/>
  <c r="E323" i="1" s="1"/>
  <c r="L22" i="1"/>
  <c r="C22" i="1" s="1"/>
  <c r="E22" i="1" s="1"/>
  <c r="R22" i="1" s="1"/>
  <c r="L16" i="1"/>
  <c r="C16" i="1" s="1"/>
  <c r="E16" i="1" s="1"/>
  <c r="L7" i="1"/>
  <c r="M7" i="1" s="1"/>
  <c r="N7" i="1" s="1"/>
  <c r="L9" i="1"/>
  <c r="C9" i="1" s="1"/>
  <c r="E9" i="1" s="1"/>
  <c r="R9" i="1" s="1"/>
  <c r="L15" i="1"/>
  <c r="M15" i="1" s="1"/>
  <c r="N15" i="1" s="1"/>
  <c r="C343" i="1"/>
  <c r="E343" i="1" s="1"/>
  <c r="N343" i="1"/>
  <c r="U343" i="1" s="1"/>
  <c r="AB343" i="1" s="1"/>
  <c r="AF343" i="1" s="1"/>
  <c r="C344" i="1"/>
  <c r="D344" i="1" s="1"/>
  <c r="N344" i="1"/>
  <c r="U344" i="1" s="1"/>
  <c r="AB344" i="1" s="1"/>
  <c r="AF344" i="1" s="1"/>
  <c r="D345" i="1"/>
  <c r="I356" i="1"/>
  <c r="I360" i="1"/>
  <c r="N360" i="1" s="1"/>
  <c r="C342" i="1"/>
  <c r="I357" i="1"/>
  <c r="N357" i="1" s="1"/>
  <c r="N365" i="1"/>
  <c r="C317" i="1"/>
  <c r="E317" i="1" s="1"/>
  <c r="T337" i="1"/>
  <c r="C321" i="1"/>
  <c r="E321" i="1" s="1"/>
  <c r="M192" i="1"/>
  <c r="N192" i="1" s="1"/>
  <c r="M261" i="1"/>
  <c r="N261" i="1" s="1"/>
  <c r="M309" i="1"/>
  <c r="N309" i="1" s="1"/>
  <c r="M310" i="1"/>
  <c r="N310" i="1" s="1"/>
  <c r="C309" i="1"/>
  <c r="M148" i="1"/>
  <c r="N148" i="1" s="1"/>
  <c r="M149" i="1"/>
  <c r="N149" i="1" s="1"/>
  <c r="M150" i="1"/>
  <c r="N150" i="1" s="1"/>
  <c r="M186" i="1"/>
  <c r="N186" i="1" s="1"/>
  <c r="M55" i="1"/>
  <c r="N55" i="1" s="1"/>
  <c r="M190" i="1"/>
  <c r="N190" i="1" s="1"/>
  <c r="M200" i="1"/>
  <c r="N200" i="1" s="1"/>
  <c r="N27" i="1"/>
  <c r="N75" i="1"/>
  <c r="M39" i="1"/>
  <c r="N39" i="1" s="1"/>
  <c r="M31" i="1"/>
  <c r="N31" i="1" s="1"/>
  <c r="M34" i="1"/>
  <c r="N34" i="1" s="1"/>
  <c r="M135" i="1"/>
  <c r="N135" i="1" s="1"/>
  <c r="M136" i="1"/>
  <c r="N136" i="1" s="1"/>
  <c r="C182" i="1"/>
  <c r="E182" i="1" s="1"/>
  <c r="M236" i="1"/>
  <c r="N236" i="1" s="1"/>
  <c r="C25" i="1"/>
  <c r="E25" i="1" s="1"/>
  <c r="M25" i="1"/>
  <c r="N25" i="1" s="1"/>
  <c r="C121" i="1"/>
  <c r="M121" i="1"/>
  <c r="N121" i="1" s="1"/>
  <c r="C33" i="1"/>
  <c r="E33" i="1" s="1"/>
  <c r="R33" i="1" s="1"/>
  <c r="M33" i="1"/>
  <c r="N33" i="1" s="1"/>
  <c r="M54" i="1"/>
  <c r="N54" i="1" s="1"/>
  <c r="C54" i="1"/>
  <c r="E54" i="1" s="1"/>
  <c r="R54" i="1" s="1"/>
  <c r="M57" i="1"/>
  <c r="N57" i="1" s="1"/>
  <c r="C57" i="1"/>
  <c r="E57" i="1" s="1"/>
  <c r="R57" i="1" s="1"/>
  <c r="M58" i="1"/>
  <c r="N58" i="1" s="1"/>
  <c r="C58" i="1"/>
  <c r="E58" i="1" s="1"/>
  <c r="R58" i="1" s="1"/>
  <c r="M122" i="1"/>
  <c r="N122" i="1" s="1"/>
  <c r="C122" i="1"/>
  <c r="C66" i="1"/>
  <c r="E66" i="1" s="1"/>
  <c r="M66" i="1"/>
  <c r="N66" i="1" s="1"/>
  <c r="C74" i="1"/>
  <c r="E74" i="1" s="1"/>
  <c r="R74" i="1" s="1"/>
  <c r="M74" i="1"/>
  <c r="N74" i="1" s="1"/>
  <c r="C29" i="1"/>
  <c r="E29" i="1" s="1"/>
  <c r="M29" i="1"/>
  <c r="N29" i="1" s="1"/>
  <c r="C124" i="1"/>
  <c r="E124" i="1" s="1"/>
  <c r="R124" i="1" s="1"/>
  <c r="M124" i="1"/>
  <c r="N124" i="1" s="1"/>
  <c r="C119" i="1"/>
  <c r="M119" i="1"/>
  <c r="N119" i="1" s="1"/>
  <c r="C118" i="1"/>
  <c r="E118" i="1" s="1"/>
  <c r="R118" i="1" s="1"/>
  <c r="M118" i="1"/>
  <c r="N118" i="1" s="1"/>
  <c r="M112" i="1"/>
  <c r="N112" i="1" s="1"/>
  <c r="C112" i="1"/>
  <c r="E112" i="1" s="1"/>
  <c r="C49" i="1"/>
  <c r="E49" i="1" s="1"/>
  <c r="R49" i="1" s="1"/>
  <c r="M49" i="1"/>
  <c r="N49" i="1" s="1"/>
  <c r="E50" i="1"/>
  <c r="R50" i="1" s="1"/>
  <c r="D50" i="1"/>
  <c r="E51" i="1"/>
  <c r="R51" i="1" s="1"/>
  <c r="D51" i="1"/>
  <c r="M53" i="1"/>
  <c r="N53" i="1" s="1"/>
  <c r="C53" i="1"/>
  <c r="E53" i="1" s="1"/>
  <c r="R53" i="1" s="1"/>
  <c r="D55" i="1"/>
  <c r="E55" i="1"/>
  <c r="R55" i="1" s="1"/>
  <c r="M120" i="1"/>
  <c r="N120" i="1" s="1"/>
  <c r="C120" i="1"/>
  <c r="E120" i="1" s="1"/>
  <c r="R120" i="1" s="1"/>
  <c r="E59" i="1"/>
  <c r="D59" i="1"/>
  <c r="E60" i="1"/>
  <c r="R60" i="1" s="1"/>
  <c r="D60" i="1"/>
  <c r="C73" i="1"/>
  <c r="E73" i="1" s="1"/>
  <c r="R73" i="1" s="1"/>
  <c r="M73" i="1"/>
  <c r="N73" i="1" s="1"/>
  <c r="C113" i="1"/>
  <c r="M113" i="1"/>
  <c r="N113" i="1" s="1"/>
  <c r="C38" i="1"/>
  <c r="E38" i="1" s="1"/>
  <c r="R38" i="1" s="1"/>
  <c r="M38" i="1"/>
  <c r="N38" i="1" s="1"/>
  <c r="C42" i="1"/>
  <c r="E42" i="1" s="1"/>
  <c r="R42" i="1" s="1"/>
  <c r="M42" i="1"/>
  <c r="N42" i="1" s="1"/>
  <c r="C44" i="1"/>
  <c r="E44" i="1" s="1"/>
  <c r="R44" i="1" s="1"/>
  <c r="M44" i="1"/>
  <c r="N44" i="1" s="1"/>
  <c r="C123" i="1"/>
  <c r="E123" i="1" s="1"/>
  <c r="R123" i="1" s="1"/>
  <c r="M123" i="1"/>
  <c r="N123" i="1" s="1"/>
  <c r="C46" i="1"/>
  <c r="E46" i="1" s="1"/>
  <c r="R46" i="1" s="1"/>
  <c r="M46" i="1"/>
  <c r="N46" i="1" s="1"/>
  <c r="C48" i="1"/>
  <c r="E48" i="1" s="1"/>
  <c r="R48" i="1" s="1"/>
  <c r="M48" i="1"/>
  <c r="N48" i="1" s="1"/>
  <c r="M115" i="1"/>
  <c r="N115" i="1" s="1"/>
  <c r="C115" i="1"/>
  <c r="E115" i="1" s="1"/>
  <c r="R115" i="1" s="1"/>
  <c r="E56" i="1"/>
  <c r="R56" i="1" s="1"/>
  <c r="D56" i="1"/>
  <c r="M62" i="1"/>
  <c r="N62" i="1" s="1"/>
  <c r="C62" i="1"/>
  <c r="E62" i="1" s="1"/>
  <c r="C63" i="1"/>
  <c r="E63" i="1" s="1"/>
  <c r="R63" i="1" s="1"/>
  <c r="M63" i="1"/>
  <c r="N63" i="1" s="1"/>
  <c r="E64" i="1"/>
  <c r="D64" i="1"/>
  <c r="C72" i="1"/>
  <c r="E72" i="1" s="1"/>
  <c r="R72" i="1" s="1"/>
  <c r="M72" i="1"/>
  <c r="N72" i="1" s="1"/>
  <c r="C30" i="1"/>
  <c r="E30" i="1" s="1"/>
  <c r="M30" i="1"/>
  <c r="N30" i="1" s="1"/>
  <c r="C116" i="1"/>
  <c r="M116" i="1"/>
  <c r="N116" i="1" s="1"/>
  <c r="C37" i="1"/>
  <c r="E37" i="1" s="1"/>
  <c r="R37" i="1" s="1"/>
  <c r="M37" i="1"/>
  <c r="N37" i="1" s="1"/>
  <c r="C41" i="1"/>
  <c r="E41" i="1" s="1"/>
  <c r="M41" i="1"/>
  <c r="N41" i="1" s="1"/>
  <c r="M45" i="1"/>
  <c r="N45" i="1" s="1"/>
  <c r="C45" i="1"/>
  <c r="M52" i="1"/>
  <c r="N52" i="1" s="1"/>
  <c r="C52" i="1"/>
  <c r="M117" i="1"/>
  <c r="N117" i="1" s="1"/>
  <c r="C117" i="1"/>
  <c r="E117" i="1" s="1"/>
  <c r="R117" i="1" s="1"/>
  <c r="C47" i="1"/>
  <c r="E47" i="1" s="1"/>
  <c r="M47" i="1"/>
  <c r="N47" i="1" s="1"/>
  <c r="M61" i="1"/>
  <c r="N61" i="1" s="1"/>
  <c r="C61" i="1"/>
  <c r="E61" i="1" s="1"/>
  <c r="C71" i="1"/>
  <c r="M71" i="1"/>
  <c r="N71" i="1" s="1"/>
  <c r="C27" i="1"/>
  <c r="N28" i="1"/>
  <c r="C31" i="1"/>
  <c r="N32" i="1"/>
  <c r="C34" i="1"/>
  <c r="N35" i="1"/>
  <c r="C39" i="1"/>
  <c r="N40" i="1"/>
  <c r="N43" i="1"/>
  <c r="C75" i="1"/>
  <c r="C28" i="1"/>
  <c r="C32" i="1"/>
  <c r="C35" i="1"/>
  <c r="C40" i="1"/>
  <c r="C43" i="1"/>
  <c r="M50" i="1"/>
  <c r="N50" i="1" s="1"/>
  <c r="M51" i="1"/>
  <c r="N51" i="1" s="1"/>
  <c r="M56" i="1"/>
  <c r="N56" i="1" s="1"/>
  <c r="M59" i="1"/>
  <c r="N59" i="1" s="1"/>
  <c r="M60" i="1"/>
  <c r="N60" i="1" s="1"/>
  <c r="M64" i="1"/>
  <c r="N64" i="1" s="1"/>
  <c r="C128" i="1"/>
  <c r="E128" i="1" s="1"/>
  <c r="R128" i="1" s="1"/>
  <c r="M128" i="1"/>
  <c r="N128" i="1" s="1"/>
  <c r="D144" i="1"/>
  <c r="E144" i="1"/>
  <c r="R144" i="1" s="1"/>
  <c r="M146" i="1"/>
  <c r="N146" i="1" s="1"/>
  <c r="C146" i="1"/>
  <c r="E146" i="1" s="1"/>
  <c r="R146" i="1" s="1"/>
  <c r="E179" i="1"/>
  <c r="R179" i="1" s="1"/>
  <c r="D179" i="1"/>
  <c r="E148" i="1"/>
  <c r="R148" i="1" s="1"/>
  <c r="D148" i="1"/>
  <c r="M180" i="1"/>
  <c r="N180" i="1" s="1"/>
  <c r="C180" i="1"/>
  <c r="E180" i="1" s="1"/>
  <c r="R180" i="1" s="1"/>
  <c r="M155" i="1"/>
  <c r="N155" i="1" s="1"/>
  <c r="C155" i="1"/>
  <c r="C163" i="1"/>
  <c r="E163" i="1" s="1"/>
  <c r="R163" i="1" s="1"/>
  <c r="M163" i="1"/>
  <c r="N163" i="1" s="1"/>
  <c r="C170" i="1"/>
  <c r="E170" i="1" s="1"/>
  <c r="R170" i="1" s="1"/>
  <c r="M170" i="1"/>
  <c r="N170" i="1" s="1"/>
  <c r="C175" i="1"/>
  <c r="M175" i="1"/>
  <c r="N175" i="1" s="1"/>
  <c r="C176" i="1"/>
  <c r="E176" i="1" s="1"/>
  <c r="M176" i="1"/>
  <c r="N176" i="1" s="1"/>
  <c r="M126" i="1"/>
  <c r="N126" i="1" s="1"/>
  <c r="D126" i="1"/>
  <c r="M133" i="1"/>
  <c r="N133" i="1" s="1"/>
  <c r="C133" i="1"/>
  <c r="E135" i="1"/>
  <c r="R135" i="1" s="1"/>
  <c r="D135" i="1"/>
  <c r="M145" i="1"/>
  <c r="N145" i="1" s="1"/>
  <c r="C145" i="1"/>
  <c r="E145" i="1" s="1"/>
  <c r="R145" i="1" s="1"/>
  <c r="E149" i="1"/>
  <c r="R149" i="1" s="1"/>
  <c r="D149" i="1"/>
  <c r="M166" i="1"/>
  <c r="N166" i="1" s="1"/>
  <c r="C166" i="1"/>
  <c r="M154" i="1"/>
  <c r="N154" i="1" s="1"/>
  <c r="C154" i="1"/>
  <c r="E154" i="1" s="1"/>
  <c r="M183" i="1"/>
  <c r="N183" i="1" s="1"/>
  <c r="C183" i="1"/>
  <c r="E183" i="1" s="1"/>
  <c r="R183" i="1" s="1"/>
  <c r="M158" i="1"/>
  <c r="C158" i="1"/>
  <c r="C162" i="1"/>
  <c r="E162" i="1" s="1"/>
  <c r="R162" i="1" s="1"/>
  <c r="M162" i="1"/>
  <c r="N162" i="1" s="1"/>
  <c r="C168" i="1"/>
  <c r="E168" i="1" s="1"/>
  <c r="R168" i="1" s="1"/>
  <c r="M168" i="1"/>
  <c r="N168" i="1" s="1"/>
  <c r="C169" i="1"/>
  <c r="M169" i="1"/>
  <c r="N169" i="1" s="1"/>
  <c r="M174" i="1"/>
  <c r="N174" i="1" s="1"/>
  <c r="C174" i="1"/>
  <c r="E174" i="1" s="1"/>
  <c r="R174" i="1" s="1"/>
  <c r="C130" i="1"/>
  <c r="E130" i="1" s="1"/>
  <c r="R130" i="1" s="1"/>
  <c r="M130" i="1"/>
  <c r="N130" i="1" s="1"/>
  <c r="M132" i="1"/>
  <c r="N132" i="1" s="1"/>
  <c r="C132" i="1"/>
  <c r="E132" i="1" s="1"/>
  <c r="E136" i="1"/>
  <c r="D136" i="1"/>
  <c r="E150" i="1"/>
  <c r="R150" i="1" s="1"/>
  <c r="D150" i="1"/>
  <c r="M153" i="1"/>
  <c r="N153" i="1" s="1"/>
  <c r="C153" i="1"/>
  <c r="M157" i="1"/>
  <c r="N157" i="1" s="1"/>
  <c r="C157" i="1"/>
  <c r="E157" i="1" s="1"/>
  <c r="R157" i="1" s="1"/>
  <c r="C161" i="1"/>
  <c r="E161" i="1" s="1"/>
  <c r="R161" i="1" s="1"/>
  <c r="M161" i="1"/>
  <c r="N161" i="1" s="1"/>
  <c r="C165" i="1"/>
  <c r="E165" i="1" s="1"/>
  <c r="R165" i="1" s="1"/>
  <c r="M165" i="1"/>
  <c r="N165" i="1" s="1"/>
  <c r="C172" i="1"/>
  <c r="E172" i="1" s="1"/>
  <c r="M172" i="1"/>
  <c r="N172" i="1" s="1"/>
  <c r="M129" i="1"/>
  <c r="N129" i="1" s="1"/>
  <c r="C129" i="1"/>
  <c r="E129" i="1" s="1"/>
  <c r="R129" i="1" s="1"/>
  <c r="E131" i="1"/>
  <c r="R131" i="1" s="1"/>
  <c r="D131" i="1"/>
  <c r="M143" i="1"/>
  <c r="N143" i="1" s="1"/>
  <c r="C143" i="1"/>
  <c r="E143" i="1" s="1"/>
  <c r="R143" i="1" s="1"/>
  <c r="C181" i="1"/>
  <c r="E181" i="1" s="1"/>
  <c r="R181" i="1" s="1"/>
  <c r="M181" i="1"/>
  <c r="N181" i="1" s="1"/>
  <c r="C147" i="1"/>
  <c r="M147" i="1"/>
  <c r="N147" i="1" s="1"/>
  <c r="M152" i="1"/>
  <c r="N152" i="1" s="1"/>
  <c r="C152" i="1"/>
  <c r="E152" i="1" s="1"/>
  <c r="R152" i="1" s="1"/>
  <c r="M156" i="1"/>
  <c r="N156" i="1" s="1"/>
  <c r="C156" i="1"/>
  <c r="E156" i="1" s="1"/>
  <c r="R156" i="1" s="1"/>
  <c r="C164" i="1"/>
  <c r="E164" i="1" s="1"/>
  <c r="R164" i="1" s="1"/>
  <c r="M164" i="1"/>
  <c r="N164" i="1" s="1"/>
  <c r="C171" i="1"/>
  <c r="E171" i="1" s="1"/>
  <c r="R171" i="1" s="1"/>
  <c r="M171" i="1"/>
  <c r="N171" i="1" s="1"/>
  <c r="N141" i="1"/>
  <c r="C139" i="1"/>
  <c r="M144" i="1"/>
  <c r="N144" i="1" s="1"/>
  <c r="C151" i="1"/>
  <c r="N159" i="1"/>
  <c r="N182" i="1"/>
  <c r="N167" i="1"/>
  <c r="C173" i="1"/>
  <c r="M185" i="1"/>
  <c r="N185" i="1" s="1"/>
  <c r="C185" i="1"/>
  <c r="E185" i="1" s="1"/>
  <c r="R185" i="1" s="1"/>
  <c r="M188" i="1"/>
  <c r="N188" i="1" s="1"/>
  <c r="C188" i="1"/>
  <c r="E188" i="1" s="1"/>
  <c r="D190" i="1"/>
  <c r="E190" i="1"/>
  <c r="R190" i="1" s="1"/>
  <c r="M202" i="1"/>
  <c r="N202" i="1" s="1"/>
  <c r="C202" i="1"/>
  <c r="E202" i="1" s="1"/>
  <c r="R202" i="1" s="1"/>
  <c r="D201" i="1"/>
  <c r="E201" i="1"/>
  <c r="R201" i="1" s="1"/>
  <c r="C223" i="1"/>
  <c r="E223" i="1" s="1"/>
  <c r="R223" i="1" s="1"/>
  <c r="M223" i="1"/>
  <c r="M232" i="1"/>
  <c r="N232" i="1" s="1"/>
  <c r="C232" i="1"/>
  <c r="E232" i="1" s="1"/>
  <c r="R232" i="1" s="1"/>
  <c r="C252" i="1"/>
  <c r="E252" i="1" s="1"/>
  <c r="R252" i="1" s="1"/>
  <c r="M252" i="1"/>
  <c r="N252" i="1" s="1"/>
  <c r="P240" i="1"/>
  <c r="O240" i="1"/>
  <c r="C141" i="1"/>
  <c r="M131" i="1"/>
  <c r="N131" i="1" s="1"/>
  <c r="M179" i="1"/>
  <c r="N179" i="1" s="1"/>
  <c r="C159" i="1"/>
  <c r="C167" i="1"/>
  <c r="D186" i="1"/>
  <c r="E186" i="1"/>
  <c r="R186" i="1" s="1"/>
  <c r="D200" i="1"/>
  <c r="E200" i="1"/>
  <c r="D192" i="1"/>
  <c r="E192" i="1"/>
  <c r="R192" i="1" s="1"/>
  <c r="M231" i="1"/>
  <c r="N231" i="1" s="1"/>
  <c r="C231" i="1"/>
  <c r="E231" i="1" s="1"/>
  <c r="R231" i="1" s="1"/>
  <c r="D233" i="1"/>
  <c r="E233" i="1"/>
  <c r="R233" i="1" s="1"/>
  <c r="P236" i="1"/>
  <c r="O236" i="1"/>
  <c r="M139" i="1"/>
  <c r="N139" i="1" s="1"/>
  <c r="M151" i="1"/>
  <c r="N151" i="1" s="1"/>
  <c r="M173" i="1"/>
  <c r="N173" i="1" s="1"/>
  <c r="E187" i="1"/>
  <c r="R187" i="1" s="1"/>
  <c r="D187" i="1"/>
  <c r="E191" i="1"/>
  <c r="R191" i="1" s="1"/>
  <c r="D191" i="1"/>
  <c r="E193" i="1"/>
  <c r="R193" i="1" s="1"/>
  <c r="D193" i="1"/>
  <c r="M235" i="1"/>
  <c r="N235" i="1" s="1"/>
  <c r="C235" i="1"/>
  <c r="E235" i="1" s="1"/>
  <c r="P253" i="1"/>
  <c r="O253" i="1"/>
  <c r="M189" i="1"/>
  <c r="N189" i="1" s="1"/>
  <c r="C189" i="1"/>
  <c r="E189" i="1" s="1"/>
  <c r="M203" i="1"/>
  <c r="N203" i="1" s="1"/>
  <c r="C203" i="1"/>
  <c r="E203" i="1" s="1"/>
  <c r="R203" i="1" s="1"/>
  <c r="M199" i="1"/>
  <c r="N199" i="1" s="1"/>
  <c r="C199" i="1"/>
  <c r="E199" i="1" s="1"/>
  <c r="M234" i="1"/>
  <c r="N234" i="1" s="1"/>
  <c r="C234" i="1"/>
  <c r="E234" i="1" s="1"/>
  <c r="R234" i="1" s="1"/>
  <c r="C237" i="1"/>
  <c r="E237" i="1" s="1"/>
  <c r="M237" i="1"/>
  <c r="N237" i="1" s="1"/>
  <c r="M233" i="1"/>
  <c r="N233" i="1" s="1"/>
  <c r="M242" i="1"/>
  <c r="N242" i="1" s="1"/>
  <c r="C242" i="1"/>
  <c r="E242" i="1" s="1"/>
  <c r="R242" i="1" s="1"/>
  <c r="M187" i="1"/>
  <c r="N187" i="1" s="1"/>
  <c r="M191" i="1"/>
  <c r="N191" i="1" s="1"/>
  <c r="M193" i="1"/>
  <c r="N193" i="1" s="1"/>
  <c r="M238" i="1"/>
  <c r="N238" i="1" s="1"/>
  <c r="M241" i="1"/>
  <c r="N241" i="1" s="1"/>
  <c r="C241" i="1"/>
  <c r="E241" i="1" s="1"/>
  <c r="R241" i="1" s="1"/>
  <c r="D236" i="1"/>
  <c r="D253" i="1"/>
  <c r="M240" i="1"/>
  <c r="N240" i="1" s="1"/>
  <c r="D240" i="1"/>
  <c r="C238" i="1"/>
  <c r="M243" i="1"/>
  <c r="N243" i="1" s="1"/>
  <c r="C243" i="1"/>
  <c r="E243" i="1" s="1"/>
  <c r="M244" i="1"/>
  <c r="N244" i="1" s="1"/>
  <c r="C244" i="1"/>
  <c r="E244" i="1" s="1"/>
  <c r="R244" i="1" s="1"/>
  <c r="C245" i="1"/>
  <c r="C246" i="1"/>
  <c r="C247" i="1"/>
  <c r="C248" i="1"/>
  <c r="C249" i="1"/>
  <c r="C250" i="1"/>
  <c r="C289" i="1"/>
  <c r="E289" i="1" s="1"/>
  <c r="R289" i="1" s="1"/>
  <c r="M289" i="1"/>
  <c r="N289" i="1" s="1"/>
  <c r="M271" i="1"/>
  <c r="N271" i="1" s="1"/>
  <c r="C271" i="1"/>
  <c r="E271" i="1" s="1"/>
  <c r="R271" i="1" s="1"/>
  <c r="M275" i="1"/>
  <c r="N275" i="1" s="1"/>
  <c r="C275" i="1"/>
  <c r="E275" i="1" s="1"/>
  <c r="M279" i="1"/>
  <c r="N279" i="1" s="1"/>
  <c r="C279" i="1"/>
  <c r="E279" i="1" s="1"/>
  <c r="R279" i="1" s="1"/>
  <c r="M283" i="1"/>
  <c r="N283" i="1" s="1"/>
  <c r="C283" i="1"/>
  <c r="E283" i="1" s="1"/>
  <c r="M287" i="1"/>
  <c r="N287" i="1" s="1"/>
  <c r="C287" i="1"/>
  <c r="E287" i="1" s="1"/>
  <c r="E261" i="1"/>
  <c r="D261" i="1"/>
  <c r="C262" i="1"/>
  <c r="E262" i="1" s="1"/>
  <c r="R262" i="1" s="1"/>
  <c r="M262" i="1"/>
  <c r="N262" i="1" s="1"/>
  <c r="C265" i="1"/>
  <c r="E265" i="1" s="1"/>
  <c r="M265" i="1"/>
  <c r="N265" i="1" s="1"/>
  <c r="M266" i="1"/>
  <c r="N266" i="1" s="1"/>
  <c r="C266" i="1"/>
  <c r="E266" i="1" s="1"/>
  <c r="D267" i="1"/>
  <c r="E267" i="1"/>
  <c r="R267" i="1" s="1"/>
  <c r="M291" i="1"/>
  <c r="N291" i="1" s="1"/>
  <c r="C291" i="1"/>
  <c r="E291" i="1" s="1"/>
  <c r="M274" i="1"/>
  <c r="N274" i="1" s="1"/>
  <c r="C274" i="1"/>
  <c r="E274" i="1" s="1"/>
  <c r="R274" i="1" s="1"/>
  <c r="M278" i="1"/>
  <c r="N278" i="1" s="1"/>
  <c r="C278" i="1"/>
  <c r="E278" i="1" s="1"/>
  <c r="R278" i="1" s="1"/>
  <c r="M282" i="1"/>
  <c r="N282" i="1" s="1"/>
  <c r="C282" i="1"/>
  <c r="E282" i="1" s="1"/>
  <c r="M286" i="1"/>
  <c r="N286" i="1" s="1"/>
  <c r="C286" i="1"/>
  <c r="E286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C264" i="1"/>
  <c r="E264" i="1" s="1"/>
  <c r="M264" i="1"/>
  <c r="N264" i="1" s="1"/>
  <c r="M269" i="1"/>
  <c r="N269" i="1" s="1"/>
  <c r="C269" i="1"/>
  <c r="E269" i="1" s="1"/>
  <c r="M273" i="1"/>
  <c r="N273" i="1" s="1"/>
  <c r="C273" i="1"/>
  <c r="E273" i="1" s="1"/>
  <c r="R273" i="1" s="1"/>
  <c r="M277" i="1"/>
  <c r="N277" i="1" s="1"/>
  <c r="C277" i="1"/>
  <c r="E277" i="1" s="1"/>
  <c r="M281" i="1"/>
  <c r="N281" i="1" s="1"/>
  <c r="C281" i="1"/>
  <c r="E281" i="1" s="1"/>
  <c r="M285" i="1"/>
  <c r="N285" i="1" s="1"/>
  <c r="C285" i="1"/>
  <c r="E285" i="1" s="1"/>
  <c r="R285" i="1" s="1"/>
  <c r="C290" i="1"/>
  <c r="E290" i="1" s="1"/>
  <c r="R290" i="1" s="1"/>
  <c r="M290" i="1"/>
  <c r="N290" i="1" s="1"/>
  <c r="M260" i="1"/>
  <c r="N260" i="1" s="1"/>
  <c r="C260" i="1"/>
  <c r="E260" i="1" s="1"/>
  <c r="R260" i="1" s="1"/>
  <c r="C263" i="1"/>
  <c r="E263" i="1" s="1"/>
  <c r="R263" i="1" s="1"/>
  <c r="M263" i="1"/>
  <c r="N263" i="1" s="1"/>
  <c r="M268" i="1"/>
  <c r="N268" i="1" s="1"/>
  <c r="C268" i="1"/>
  <c r="E268" i="1" s="1"/>
  <c r="M272" i="1"/>
  <c r="N272" i="1" s="1"/>
  <c r="C272" i="1"/>
  <c r="E272" i="1" s="1"/>
  <c r="R272" i="1" s="1"/>
  <c r="M276" i="1"/>
  <c r="N276" i="1" s="1"/>
  <c r="C276" i="1"/>
  <c r="E276" i="1" s="1"/>
  <c r="R276" i="1" s="1"/>
  <c r="M280" i="1"/>
  <c r="N280" i="1" s="1"/>
  <c r="C280" i="1"/>
  <c r="E280" i="1" s="1"/>
  <c r="M284" i="1"/>
  <c r="N284" i="1" s="1"/>
  <c r="C284" i="1"/>
  <c r="E284" i="1" s="1"/>
  <c r="M288" i="1"/>
  <c r="N288" i="1" s="1"/>
  <c r="C288" i="1"/>
  <c r="E288" i="1" s="1"/>
  <c r="R288" i="1" s="1"/>
  <c r="M259" i="1"/>
  <c r="M267" i="1"/>
  <c r="N267" i="1" s="1"/>
  <c r="M294" i="1"/>
  <c r="N294" i="1" s="1"/>
  <c r="C294" i="1"/>
  <c r="E294" i="1" s="1"/>
  <c r="M303" i="1"/>
  <c r="N303" i="1" s="1"/>
  <c r="C303" i="1"/>
  <c r="E303" i="1" s="1"/>
  <c r="R303" i="1" s="1"/>
  <c r="M301" i="1"/>
  <c r="N301" i="1" s="1"/>
  <c r="C301" i="1"/>
  <c r="E301" i="1" s="1"/>
  <c r="R301" i="1" s="1"/>
  <c r="M293" i="1"/>
  <c r="N293" i="1" s="1"/>
  <c r="C293" i="1"/>
  <c r="E293" i="1" s="1"/>
  <c r="R293" i="1" s="1"/>
  <c r="M296" i="1"/>
  <c r="N296" i="1" s="1"/>
  <c r="C296" i="1"/>
  <c r="E296" i="1" s="1"/>
  <c r="R296" i="1" s="1"/>
  <c r="P297" i="1"/>
  <c r="O297" i="1"/>
  <c r="M300" i="1"/>
  <c r="N300" i="1" s="1"/>
  <c r="C300" i="1"/>
  <c r="E300" i="1" s="1"/>
  <c r="R300" i="1" s="1"/>
  <c r="M295" i="1"/>
  <c r="N295" i="1" s="1"/>
  <c r="C295" i="1"/>
  <c r="E295" i="1" s="1"/>
  <c r="R295" i="1" s="1"/>
  <c r="P310" i="1"/>
  <c r="O310" i="1"/>
  <c r="P298" i="1"/>
  <c r="O298" i="1"/>
  <c r="M299" i="1"/>
  <c r="N299" i="1" s="1"/>
  <c r="C299" i="1"/>
  <c r="E299" i="1" s="1"/>
  <c r="D297" i="1"/>
  <c r="M297" i="1"/>
  <c r="N297" i="1" s="1"/>
  <c r="D310" i="1"/>
  <c r="D298" i="1"/>
  <c r="M298" i="1"/>
  <c r="N298" i="1" s="1"/>
  <c r="M332" i="1"/>
  <c r="N332" i="1" s="1"/>
  <c r="C332" i="1"/>
  <c r="E332" i="1" s="1"/>
  <c r="AD337" i="1"/>
  <c r="M316" i="1"/>
  <c r="N316" i="1" s="1"/>
  <c r="M319" i="1"/>
  <c r="N319" i="1" s="1"/>
  <c r="C319" i="1"/>
  <c r="E319" i="1" s="1"/>
  <c r="M320" i="1"/>
  <c r="N320" i="1" s="1"/>
  <c r="AE337" i="1"/>
  <c r="D318" i="1"/>
  <c r="M331" i="1"/>
  <c r="N331" i="1" s="1"/>
  <c r="C320" i="1"/>
  <c r="E320" i="1" s="1"/>
  <c r="D322" i="1"/>
  <c r="M324" i="1"/>
  <c r="N324" i="1" s="1"/>
  <c r="D325" i="1"/>
  <c r="C327" i="1"/>
  <c r="E327" i="1" s="1"/>
  <c r="C329" i="1"/>
  <c r="E329" i="1" s="1"/>
  <c r="M318" i="1"/>
  <c r="N318" i="1" s="1"/>
  <c r="C331" i="1"/>
  <c r="M322" i="1"/>
  <c r="N322" i="1" s="1"/>
  <c r="C324" i="1"/>
  <c r="E324" i="1" s="1"/>
  <c r="M325" i="1"/>
  <c r="N325" i="1" s="1"/>
  <c r="M327" i="1"/>
  <c r="N327" i="1" s="1"/>
  <c r="M329" i="1"/>
  <c r="N329" i="1" s="1"/>
  <c r="Q345" i="1"/>
  <c r="Q346" i="1" s="1"/>
  <c r="C326" i="1"/>
  <c r="C346" i="1" l="1"/>
  <c r="E158" i="1"/>
  <c r="P158" i="1" s="1"/>
  <c r="N158" i="1"/>
  <c r="E259" i="1"/>
  <c r="R259" i="1" s="1"/>
  <c r="U342" i="1"/>
  <c r="N346" i="1"/>
  <c r="O30" i="1"/>
  <c r="R30" i="1"/>
  <c r="P30" i="1"/>
  <c r="O320" i="1"/>
  <c r="P320" i="1"/>
  <c r="O321" i="1"/>
  <c r="P321" i="1"/>
  <c r="R332" i="1"/>
  <c r="O332" i="1"/>
  <c r="P332" i="1"/>
  <c r="R317" i="1"/>
  <c r="O317" i="1"/>
  <c r="P317" i="1"/>
  <c r="R327" i="1"/>
  <c r="O327" i="1"/>
  <c r="P327" i="1"/>
  <c r="P319" i="1"/>
  <c r="R319" i="1"/>
  <c r="O319" i="1"/>
  <c r="P323" i="1"/>
  <c r="O323" i="1"/>
  <c r="R323" i="1"/>
  <c r="O324" i="1"/>
  <c r="P324" i="1"/>
  <c r="D315" i="1"/>
  <c r="O315" i="1"/>
  <c r="P315" i="1"/>
  <c r="D316" i="1"/>
  <c r="R261" i="1"/>
  <c r="P261" i="1"/>
  <c r="O261" i="1"/>
  <c r="O286" i="1"/>
  <c r="R286" i="1"/>
  <c r="P286" i="1"/>
  <c r="P287" i="1"/>
  <c r="O287" i="1"/>
  <c r="D259" i="1"/>
  <c r="I368" i="1"/>
  <c r="Q325" i="1"/>
  <c r="U325" i="1" s="1"/>
  <c r="AB325" i="1" s="1"/>
  <c r="AF325" i="1" s="1"/>
  <c r="N223" i="1"/>
  <c r="P182" i="1"/>
  <c r="R182" i="1"/>
  <c r="C11" i="1"/>
  <c r="E11" i="1" s="1"/>
  <c r="M22" i="1"/>
  <c r="N22" i="1" s="1"/>
  <c r="M9" i="1"/>
  <c r="N9" i="1" s="1"/>
  <c r="C20" i="1"/>
  <c r="E20" i="1" s="1"/>
  <c r="L368" i="1"/>
  <c r="C8" i="1"/>
  <c r="E8" i="1" s="1"/>
  <c r="M12" i="1"/>
  <c r="N12" i="1" s="1"/>
  <c r="C7" i="1"/>
  <c r="M17" i="1"/>
  <c r="N17" i="1" s="1"/>
  <c r="C18" i="1"/>
  <c r="E18" i="1" s="1"/>
  <c r="C21" i="1"/>
  <c r="E21" i="1" s="1"/>
  <c r="C10" i="1"/>
  <c r="E10" i="1" s="1"/>
  <c r="D321" i="1"/>
  <c r="U345" i="1"/>
  <c r="AB345" i="1" s="1"/>
  <c r="AF345" i="1" s="1"/>
  <c r="D323" i="1"/>
  <c r="M16" i="1"/>
  <c r="N16" i="1" s="1"/>
  <c r="D343" i="1"/>
  <c r="C13" i="1"/>
  <c r="E13" i="1" s="1"/>
  <c r="C19" i="1"/>
  <c r="E19" i="1" s="1"/>
  <c r="D164" i="1"/>
  <c r="C15" i="1"/>
  <c r="E15" i="1" s="1"/>
  <c r="D317" i="1"/>
  <c r="O293" i="1"/>
  <c r="P293" i="1"/>
  <c r="D171" i="1"/>
  <c r="D181" i="1"/>
  <c r="D157" i="1"/>
  <c r="D16" i="1"/>
  <c r="N356" i="1"/>
  <c r="N368" i="1" s="1"/>
  <c r="E344" i="1"/>
  <c r="D265" i="1"/>
  <c r="O262" i="1"/>
  <c r="P262" i="1"/>
  <c r="O289" i="1"/>
  <c r="P289" i="1"/>
  <c r="D29" i="1"/>
  <c r="O234" i="1"/>
  <c r="P234" i="1"/>
  <c r="Q236" i="1"/>
  <c r="U236" i="1" s="1"/>
  <c r="AB236" i="1" s="1"/>
  <c r="AF236" i="1" s="1"/>
  <c r="D342" i="1"/>
  <c r="E342" i="1"/>
  <c r="O252" i="1"/>
  <c r="P252" i="1"/>
  <c r="D183" i="1"/>
  <c r="P42" i="1"/>
  <c r="O42" i="1"/>
  <c r="D319" i="1"/>
  <c r="D332" i="1"/>
  <c r="D299" i="1"/>
  <c r="D263" i="1"/>
  <c r="D285" i="1"/>
  <c r="D281" i="1"/>
  <c r="D277" i="1"/>
  <c r="D273" i="1"/>
  <c r="D269" i="1"/>
  <c r="D293" i="1"/>
  <c r="D182" i="1"/>
  <c r="O182" i="1"/>
  <c r="D203" i="1"/>
  <c r="D161" i="1"/>
  <c r="D180" i="1"/>
  <c r="D120" i="1"/>
  <c r="D124" i="1"/>
  <c r="D243" i="1"/>
  <c r="D154" i="1"/>
  <c r="D54" i="1"/>
  <c r="D266" i="1"/>
  <c r="E309" i="1"/>
  <c r="R309" i="1" s="1"/>
  <c r="D309" i="1"/>
  <c r="D300" i="1"/>
  <c r="D287" i="1"/>
  <c r="D283" i="1"/>
  <c r="D279" i="1"/>
  <c r="D275" i="1"/>
  <c r="D271" i="1"/>
  <c r="D290" i="1"/>
  <c r="D264" i="1"/>
  <c r="D262" i="1"/>
  <c r="E147" i="1"/>
  <c r="D147" i="1"/>
  <c r="E119" i="1"/>
  <c r="D119" i="1"/>
  <c r="D199" i="1"/>
  <c r="D235" i="1"/>
  <c r="D188" i="1"/>
  <c r="E133" i="1"/>
  <c r="D133" i="1"/>
  <c r="E155" i="1"/>
  <c r="D155" i="1"/>
  <c r="E45" i="1"/>
  <c r="D45" i="1"/>
  <c r="E113" i="1"/>
  <c r="R113" i="1" s="1"/>
  <c r="D113" i="1"/>
  <c r="E175" i="1"/>
  <c r="D175" i="1"/>
  <c r="E71" i="1"/>
  <c r="D71" i="1"/>
  <c r="E52" i="1"/>
  <c r="R52" i="1" s="1"/>
  <c r="D52" i="1"/>
  <c r="E122" i="1"/>
  <c r="D122" i="1"/>
  <c r="E121" i="1"/>
  <c r="D121" i="1"/>
  <c r="E153" i="1"/>
  <c r="D153" i="1"/>
  <c r="D244" i="1"/>
  <c r="D234" i="1"/>
  <c r="D189" i="1"/>
  <c r="D232" i="1"/>
  <c r="D130" i="1"/>
  <c r="E169" i="1"/>
  <c r="D169" i="1"/>
  <c r="D158" i="1"/>
  <c r="E166" i="1"/>
  <c r="D166" i="1"/>
  <c r="D146" i="1"/>
  <c r="D61" i="1"/>
  <c r="E116" i="1"/>
  <c r="D116" i="1"/>
  <c r="D62" i="1"/>
  <c r="D117" i="1"/>
  <c r="D72" i="1"/>
  <c r="D63" i="1"/>
  <c r="D115" i="1"/>
  <c r="D49" i="1"/>
  <c r="D118" i="1"/>
  <c r="D320" i="1"/>
  <c r="P296" i="1"/>
  <c r="O296" i="1"/>
  <c r="O301" i="1"/>
  <c r="P301" i="1"/>
  <c r="P316" i="1"/>
  <c r="O316" i="1"/>
  <c r="D296" i="1"/>
  <c r="D301" i="1"/>
  <c r="O294" i="1"/>
  <c r="P294" i="1"/>
  <c r="D288" i="1"/>
  <c r="D284" i="1"/>
  <c r="D280" i="1"/>
  <c r="D276" i="1"/>
  <c r="D272" i="1"/>
  <c r="D268" i="1"/>
  <c r="D260" i="1"/>
  <c r="P282" i="1"/>
  <c r="O282" i="1"/>
  <c r="P278" i="1"/>
  <c r="O278" i="1"/>
  <c r="P274" i="1"/>
  <c r="O274" i="1"/>
  <c r="P291" i="1"/>
  <c r="O291" i="1"/>
  <c r="P267" i="1"/>
  <c r="O267" i="1"/>
  <c r="E249" i="1"/>
  <c r="R249" i="1" s="1"/>
  <c r="D249" i="1"/>
  <c r="E245" i="1"/>
  <c r="R245" i="1" s="1"/>
  <c r="D245" i="1"/>
  <c r="P241" i="1"/>
  <c r="O241" i="1"/>
  <c r="D242" i="1"/>
  <c r="D231" i="1"/>
  <c r="D252" i="1"/>
  <c r="D223" i="1"/>
  <c r="P202" i="1"/>
  <c r="O202" i="1"/>
  <c r="P190" i="1"/>
  <c r="O190" i="1"/>
  <c r="D185" i="1"/>
  <c r="D156" i="1"/>
  <c r="D152" i="1"/>
  <c r="P143" i="1"/>
  <c r="O143" i="1"/>
  <c r="P129" i="1"/>
  <c r="O129" i="1"/>
  <c r="D172" i="1"/>
  <c r="D165" i="1"/>
  <c r="P132" i="1"/>
  <c r="O132" i="1"/>
  <c r="P174" i="1"/>
  <c r="O174" i="1"/>
  <c r="P168" i="1"/>
  <c r="O168" i="1"/>
  <c r="O162" i="1"/>
  <c r="P162" i="1"/>
  <c r="D145" i="1"/>
  <c r="D176" i="1"/>
  <c r="D170" i="1"/>
  <c r="D163" i="1"/>
  <c r="P144" i="1"/>
  <c r="O144" i="1"/>
  <c r="P128" i="1"/>
  <c r="O128" i="1"/>
  <c r="E32" i="1"/>
  <c r="R32" i="1" s="1"/>
  <c r="D32" i="1"/>
  <c r="E34" i="1"/>
  <c r="R34" i="1" s="1"/>
  <c r="D34" i="1"/>
  <c r="E27" i="1"/>
  <c r="R27" i="1" s="1"/>
  <c r="D27" i="1"/>
  <c r="P41" i="1"/>
  <c r="O41" i="1"/>
  <c r="P37" i="1"/>
  <c r="O37" i="1"/>
  <c r="P22" i="1"/>
  <c r="O22" i="1"/>
  <c r="P17" i="1"/>
  <c r="O17" i="1"/>
  <c r="P48" i="1"/>
  <c r="O48" i="1"/>
  <c r="P46" i="1"/>
  <c r="O46" i="1"/>
  <c r="P44" i="1"/>
  <c r="O44" i="1"/>
  <c r="P9" i="1"/>
  <c r="O9" i="1"/>
  <c r="O73" i="1"/>
  <c r="P73" i="1"/>
  <c r="P53" i="1"/>
  <c r="O53" i="1"/>
  <c r="P112" i="1"/>
  <c r="O112" i="1"/>
  <c r="D74" i="1"/>
  <c r="D66" i="1"/>
  <c r="P58" i="1"/>
  <c r="O58" i="1"/>
  <c r="P57" i="1"/>
  <c r="O57" i="1"/>
  <c r="P33" i="1"/>
  <c r="O33" i="1"/>
  <c r="E331" i="1"/>
  <c r="D331" i="1"/>
  <c r="D327" i="1"/>
  <c r="D324" i="1"/>
  <c r="P295" i="1"/>
  <c r="O295" i="1"/>
  <c r="D303" i="1"/>
  <c r="D329" i="1"/>
  <c r="O299" i="1"/>
  <c r="P299" i="1"/>
  <c r="Q310" i="1"/>
  <c r="U310" i="1" s="1"/>
  <c r="AB310" i="1" s="1"/>
  <c r="AF310" i="1" s="1"/>
  <c r="D295" i="1"/>
  <c r="O300" i="1"/>
  <c r="P300" i="1"/>
  <c r="Q297" i="1"/>
  <c r="U297" i="1" s="1"/>
  <c r="AB297" i="1" s="1"/>
  <c r="AF297" i="1" s="1"/>
  <c r="D294" i="1"/>
  <c r="N259" i="1"/>
  <c r="O264" i="1"/>
  <c r="P264" i="1"/>
  <c r="D286" i="1"/>
  <c r="D282" i="1"/>
  <c r="D278" i="1"/>
  <c r="D274" i="1"/>
  <c r="D291" i="1"/>
  <c r="O265" i="1"/>
  <c r="P265" i="1"/>
  <c r="P283" i="1"/>
  <c r="O283" i="1"/>
  <c r="P279" i="1"/>
  <c r="O279" i="1"/>
  <c r="P275" i="1"/>
  <c r="O275" i="1"/>
  <c r="P271" i="1"/>
  <c r="O271" i="1"/>
  <c r="D289" i="1"/>
  <c r="E248" i="1"/>
  <c r="D248" i="1"/>
  <c r="P244" i="1"/>
  <c r="O244" i="1"/>
  <c r="P243" i="1"/>
  <c r="O243" i="1"/>
  <c r="E238" i="1"/>
  <c r="D238" i="1"/>
  <c r="D241" i="1"/>
  <c r="D237" i="1"/>
  <c r="Q253" i="1"/>
  <c r="U253" i="1" s="1"/>
  <c r="AB253" i="1" s="1"/>
  <c r="AF253" i="1" s="1"/>
  <c r="O193" i="1"/>
  <c r="P193" i="1"/>
  <c r="O187" i="1"/>
  <c r="P187" i="1"/>
  <c r="P233" i="1"/>
  <c r="O233" i="1"/>
  <c r="P200" i="1"/>
  <c r="O200" i="1"/>
  <c r="E167" i="1"/>
  <c r="R167" i="1" s="1"/>
  <c r="D167" i="1"/>
  <c r="E141" i="1"/>
  <c r="R141" i="1" s="1"/>
  <c r="D141" i="1"/>
  <c r="P232" i="1"/>
  <c r="O232" i="1"/>
  <c r="D202" i="1"/>
  <c r="E173" i="1"/>
  <c r="R173" i="1" s="1"/>
  <c r="D173" i="1"/>
  <c r="O171" i="1"/>
  <c r="P171" i="1"/>
  <c r="O164" i="1"/>
  <c r="P164" i="1"/>
  <c r="D143" i="1"/>
  <c r="D129" i="1"/>
  <c r="P157" i="1"/>
  <c r="O157" i="1"/>
  <c r="O150" i="1"/>
  <c r="P150" i="1"/>
  <c r="D174" i="1"/>
  <c r="D162" i="1"/>
  <c r="P180" i="1"/>
  <c r="O180" i="1"/>
  <c r="O148" i="1"/>
  <c r="P148" i="1"/>
  <c r="P146" i="1"/>
  <c r="O146" i="1"/>
  <c r="D128" i="1"/>
  <c r="E43" i="1"/>
  <c r="R43" i="1" s="1"/>
  <c r="D43" i="1"/>
  <c r="E28" i="1"/>
  <c r="R28" i="1" s="1"/>
  <c r="D28" i="1"/>
  <c r="E75" i="1"/>
  <c r="R75" i="1" s="1"/>
  <c r="D75" i="1"/>
  <c r="D47" i="1"/>
  <c r="D41" i="1"/>
  <c r="D37" i="1"/>
  <c r="D30" i="1"/>
  <c r="O72" i="1"/>
  <c r="P72" i="1"/>
  <c r="P62" i="1"/>
  <c r="O62" i="1"/>
  <c r="O56" i="1"/>
  <c r="P56" i="1"/>
  <c r="D48" i="1"/>
  <c r="D46" i="1"/>
  <c r="D123" i="1"/>
  <c r="D44" i="1"/>
  <c r="D42" i="1"/>
  <c r="D38" i="1"/>
  <c r="D73" i="1"/>
  <c r="O59" i="1"/>
  <c r="P59" i="1"/>
  <c r="D53" i="1"/>
  <c r="O51" i="1"/>
  <c r="P51" i="1"/>
  <c r="D112" i="1"/>
  <c r="D58" i="1"/>
  <c r="D57" i="1"/>
  <c r="P54" i="1"/>
  <c r="O54" i="1"/>
  <c r="D33" i="1"/>
  <c r="O25" i="1"/>
  <c r="P25" i="1"/>
  <c r="D12" i="1"/>
  <c r="O303" i="1"/>
  <c r="P303" i="1"/>
  <c r="P288" i="1"/>
  <c r="O288" i="1"/>
  <c r="D326" i="1"/>
  <c r="E326" i="1"/>
  <c r="Q322" i="1"/>
  <c r="U322" i="1" s="1"/>
  <c r="AB322" i="1" s="1"/>
  <c r="AF322" i="1" s="1"/>
  <c r="Q318" i="1"/>
  <c r="U318" i="1" s="1"/>
  <c r="AB318" i="1" s="1"/>
  <c r="AF318" i="1" s="1"/>
  <c r="Q298" i="1"/>
  <c r="U298" i="1" s="1"/>
  <c r="O263" i="1"/>
  <c r="P263" i="1"/>
  <c r="O290" i="1"/>
  <c r="P290" i="1"/>
  <c r="P285" i="1"/>
  <c r="O285" i="1"/>
  <c r="P281" i="1"/>
  <c r="O281" i="1"/>
  <c r="P277" i="1"/>
  <c r="O277" i="1"/>
  <c r="P273" i="1"/>
  <c r="O273" i="1"/>
  <c r="P266" i="1"/>
  <c r="O266" i="1"/>
  <c r="E247" i="1"/>
  <c r="R247" i="1" s="1"/>
  <c r="D247" i="1"/>
  <c r="P199" i="1"/>
  <c r="O199" i="1"/>
  <c r="P203" i="1"/>
  <c r="O203" i="1"/>
  <c r="P189" i="1"/>
  <c r="O189" i="1"/>
  <c r="P235" i="1"/>
  <c r="O235" i="1"/>
  <c r="Q240" i="1"/>
  <c r="U240" i="1" s="1"/>
  <c r="AB240" i="1" s="1"/>
  <c r="AF240" i="1" s="1"/>
  <c r="P201" i="1"/>
  <c r="O201" i="1"/>
  <c r="P188" i="1"/>
  <c r="O188" i="1"/>
  <c r="E151" i="1"/>
  <c r="R151" i="1" s="1"/>
  <c r="D151" i="1"/>
  <c r="O181" i="1"/>
  <c r="P181" i="1"/>
  <c r="O131" i="1"/>
  <c r="P131" i="1"/>
  <c r="P161" i="1"/>
  <c r="O161" i="1"/>
  <c r="D132" i="1"/>
  <c r="P130" i="1"/>
  <c r="O130" i="1"/>
  <c r="D168" i="1"/>
  <c r="P183" i="1"/>
  <c r="O183" i="1"/>
  <c r="P154" i="1"/>
  <c r="O154" i="1"/>
  <c r="O149" i="1"/>
  <c r="P149" i="1"/>
  <c r="Q126" i="1"/>
  <c r="U126" i="1" s="1"/>
  <c r="AB126" i="1" s="1"/>
  <c r="AF126" i="1" s="1"/>
  <c r="E40" i="1"/>
  <c r="D40" i="1"/>
  <c r="E39" i="1"/>
  <c r="D39" i="1"/>
  <c r="E31" i="1"/>
  <c r="R31" i="1" s="1"/>
  <c r="D31" i="1"/>
  <c r="P61" i="1"/>
  <c r="O61" i="1"/>
  <c r="P117" i="1"/>
  <c r="O117" i="1"/>
  <c r="P16" i="1"/>
  <c r="O16" i="1"/>
  <c r="D22" i="1"/>
  <c r="D17" i="1"/>
  <c r="P63" i="1"/>
  <c r="O63" i="1"/>
  <c r="P115" i="1"/>
  <c r="O115" i="1"/>
  <c r="D9" i="1"/>
  <c r="P55" i="1"/>
  <c r="O55" i="1"/>
  <c r="P49" i="1"/>
  <c r="O49" i="1"/>
  <c r="P29" i="1"/>
  <c r="O29" i="1"/>
  <c r="D25" i="1"/>
  <c r="P284" i="1"/>
  <c r="O284" i="1"/>
  <c r="P280" i="1"/>
  <c r="O280" i="1"/>
  <c r="P276" i="1"/>
  <c r="O276" i="1"/>
  <c r="P268" i="1"/>
  <c r="O268" i="1"/>
  <c r="P260" i="1"/>
  <c r="O260" i="1"/>
  <c r="E250" i="1"/>
  <c r="R250" i="1" s="1"/>
  <c r="D250" i="1"/>
  <c r="E246" i="1"/>
  <c r="D246" i="1"/>
  <c r="P242" i="1"/>
  <c r="O242" i="1"/>
  <c r="O237" i="1"/>
  <c r="P237" i="1"/>
  <c r="O191" i="1"/>
  <c r="P191" i="1"/>
  <c r="P231" i="1"/>
  <c r="O231" i="1"/>
  <c r="P192" i="1"/>
  <c r="O192" i="1"/>
  <c r="P186" i="1"/>
  <c r="O186" i="1"/>
  <c r="E159" i="1"/>
  <c r="D159" i="1"/>
  <c r="O223" i="1"/>
  <c r="P223" i="1"/>
  <c r="P185" i="1"/>
  <c r="O185" i="1"/>
  <c r="E139" i="1"/>
  <c r="R139" i="1" s="1"/>
  <c r="D139" i="1"/>
  <c r="P156" i="1"/>
  <c r="O156" i="1"/>
  <c r="P152" i="1"/>
  <c r="O152" i="1"/>
  <c r="O172" i="1"/>
  <c r="P172" i="1"/>
  <c r="O165" i="1"/>
  <c r="P165" i="1"/>
  <c r="O136" i="1"/>
  <c r="P136" i="1"/>
  <c r="P145" i="1"/>
  <c r="O145" i="1"/>
  <c r="O135" i="1"/>
  <c r="P135" i="1"/>
  <c r="O176" i="1"/>
  <c r="P176" i="1"/>
  <c r="O170" i="1"/>
  <c r="P170" i="1"/>
  <c r="O163" i="1"/>
  <c r="P163" i="1"/>
  <c r="O179" i="1"/>
  <c r="P179" i="1"/>
  <c r="E35" i="1"/>
  <c r="R35" i="1" s="1"/>
  <c r="D35" i="1"/>
  <c r="P47" i="1"/>
  <c r="O47" i="1"/>
  <c r="O64" i="1"/>
  <c r="P64" i="1"/>
  <c r="P123" i="1"/>
  <c r="O123" i="1"/>
  <c r="O38" i="1"/>
  <c r="P38" i="1"/>
  <c r="O60" i="1"/>
  <c r="P60" i="1"/>
  <c r="P120" i="1"/>
  <c r="O120" i="1"/>
  <c r="O50" i="1"/>
  <c r="P50" i="1"/>
  <c r="O118" i="1"/>
  <c r="P118" i="1"/>
  <c r="O124" i="1"/>
  <c r="P124" i="1"/>
  <c r="O74" i="1"/>
  <c r="P74" i="1"/>
  <c r="O66" i="1"/>
  <c r="P66" i="1"/>
  <c r="O12" i="1"/>
  <c r="P12" i="1"/>
  <c r="E7" i="1" l="1"/>
  <c r="R7" i="1" s="1"/>
  <c r="O158" i="1"/>
  <c r="O259" i="1"/>
  <c r="P259" i="1"/>
  <c r="U346" i="1"/>
  <c r="AB342" i="1"/>
  <c r="AB298" i="1"/>
  <c r="P155" i="1"/>
  <c r="R155" i="1"/>
  <c r="O121" i="1"/>
  <c r="P121" i="1"/>
  <c r="P7" i="1"/>
  <c r="Q323" i="1"/>
  <c r="U323" i="1" s="1"/>
  <c r="AB323" i="1" s="1"/>
  <c r="AF323" i="1" s="1"/>
  <c r="Q321" i="1"/>
  <c r="U321" i="1" s="1"/>
  <c r="AB321" i="1" s="1"/>
  <c r="AF321" i="1" s="1"/>
  <c r="Q317" i="1"/>
  <c r="U317" i="1" s="1"/>
  <c r="AB317" i="1" s="1"/>
  <c r="AF317" i="1" s="1"/>
  <c r="O331" i="1"/>
  <c r="R331" i="1"/>
  <c r="P331" i="1"/>
  <c r="O326" i="1"/>
  <c r="P326" i="1"/>
  <c r="Q315" i="1"/>
  <c r="U315" i="1" s="1"/>
  <c r="AB315" i="1" s="1"/>
  <c r="AF315" i="1" s="1"/>
  <c r="O169" i="1"/>
  <c r="P153" i="1"/>
  <c r="R153" i="1"/>
  <c r="O71" i="1"/>
  <c r="R71" i="1"/>
  <c r="O133" i="1"/>
  <c r="Q182" i="1"/>
  <c r="U182" i="1" s="1"/>
  <c r="AB182" i="1" s="1"/>
  <c r="AF182" i="1" s="1"/>
  <c r="P10" i="1"/>
  <c r="R10" i="1"/>
  <c r="P19" i="1"/>
  <c r="R19" i="1"/>
  <c r="P13" i="1"/>
  <c r="O122" i="1"/>
  <c r="R122" i="1"/>
  <c r="P147" i="1"/>
  <c r="R147" i="1"/>
  <c r="P11" i="1"/>
  <c r="R11" i="1"/>
  <c r="O116" i="1"/>
  <c r="R116" i="1"/>
  <c r="P166" i="1"/>
  <c r="P8" i="1"/>
  <c r="R8" i="1"/>
  <c r="O45" i="1"/>
  <c r="R45" i="1"/>
  <c r="P15" i="1"/>
  <c r="P20" i="1"/>
  <c r="R20" i="1"/>
  <c r="O21" i="1"/>
  <c r="R21" i="1"/>
  <c r="P18" i="1"/>
  <c r="R18" i="1"/>
  <c r="O119" i="1"/>
  <c r="R119" i="1"/>
  <c r="D11" i="1"/>
  <c r="D20" i="1"/>
  <c r="D8" i="1"/>
  <c r="O20" i="1"/>
  <c r="O10" i="1"/>
  <c r="D7" i="1"/>
  <c r="D10" i="1"/>
  <c r="P133" i="1"/>
  <c r="O166" i="1"/>
  <c r="P21" i="1"/>
  <c r="Q289" i="1"/>
  <c r="U289" i="1" s="1"/>
  <c r="AB289" i="1" s="1"/>
  <c r="O18" i="1"/>
  <c r="D18" i="1"/>
  <c r="O19" i="1"/>
  <c r="D21" i="1"/>
  <c r="P71" i="1"/>
  <c r="D19" i="1"/>
  <c r="Q162" i="1"/>
  <c r="U162" i="1" s="1"/>
  <c r="AB162" i="1" s="1"/>
  <c r="AF162" i="1" s="1"/>
  <c r="Q165" i="1"/>
  <c r="U165" i="1" s="1"/>
  <c r="AB165" i="1" s="1"/>
  <c r="AF165" i="1" s="1"/>
  <c r="Q293" i="1"/>
  <c r="U293" i="1" s="1"/>
  <c r="AB293" i="1" s="1"/>
  <c r="AF293" i="1" s="1"/>
  <c r="P119" i="1"/>
  <c r="O8" i="1"/>
  <c r="O13" i="1"/>
  <c r="D13" i="1"/>
  <c r="Q42" i="1"/>
  <c r="U42" i="1" s="1"/>
  <c r="AB42" i="1" s="1"/>
  <c r="AF42" i="1" s="1"/>
  <c r="Q52" i="1"/>
  <c r="O11" i="1"/>
  <c r="O15" i="1"/>
  <c r="Q132" i="1"/>
  <c r="U132" i="1" s="1"/>
  <c r="AB132" i="1" s="1"/>
  <c r="AF132" i="1" s="1"/>
  <c r="Q332" i="1"/>
  <c r="U332" i="1" s="1"/>
  <c r="AB332" i="1" s="1"/>
  <c r="AF332" i="1" s="1"/>
  <c r="P169" i="1"/>
  <c r="Q156" i="1"/>
  <c r="U156" i="1" s="1"/>
  <c r="AB156" i="1" s="1"/>
  <c r="AF156" i="1" s="1"/>
  <c r="D15" i="1"/>
  <c r="Q61" i="1"/>
  <c r="U61" i="1" s="1"/>
  <c r="AB61" i="1" s="1"/>
  <c r="AF61" i="1" s="1"/>
  <c r="Q269" i="1"/>
  <c r="U269" i="1" s="1"/>
  <c r="AB269" i="1" s="1"/>
  <c r="AF269" i="1" s="1"/>
  <c r="P122" i="1"/>
  <c r="Q252" i="1"/>
  <c r="U252" i="1" s="1"/>
  <c r="AB252" i="1" s="1"/>
  <c r="Q327" i="1"/>
  <c r="U327" i="1" s="1"/>
  <c r="AB327" i="1" s="1"/>
  <c r="AF327" i="1" s="1"/>
  <c r="Q66" i="1"/>
  <c r="U66" i="1" s="1"/>
  <c r="AB66" i="1" s="1"/>
  <c r="AF66" i="1" s="1"/>
  <c r="Q185" i="1"/>
  <c r="U185" i="1" s="1"/>
  <c r="AB185" i="1" s="1"/>
  <c r="AF185" i="1" s="1"/>
  <c r="Q149" i="1"/>
  <c r="U149" i="1" s="1"/>
  <c r="AB149" i="1" s="1"/>
  <c r="AF149" i="1" s="1"/>
  <c r="Q275" i="1"/>
  <c r="U275" i="1" s="1"/>
  <c r="AB275" i="1" s="1"/>
  <c r="AF275" i="1" s="1"/>
  <c r="Q283" i="1"/>
  <c r="U283" i="1" s="1"/>
  <c r="AB283" i="1" s="1"/>
  <c r="AF283" i="1" s="1"/>
  <c r="Q129" i="1"/>
  <c r="U129" i="1" s="1"/>
  <c r="AB129" i="1" s="1"/>
  <c r="AF129" i="1" s="1"/>
  <c r="Q262" i="1"/>
  <c r="U262" i="1" s="1"/>
  <c r="AB262" i="1" s="1"/>
  <c r="AF262" i="1" s="1"/>
  <c r="Q115" i="1"/>
  <c r="U115" i="1" s="1"/>
  <c r="AB115" i="1" s="1"/>
  <c r="AF115" i="1" s="1"/>
  <c r="Q235" i="1"/>
  <c r="U235" i="1" s="1"/>
  <c r="AB235" i="1" s="1"/>
  <c r="AF235" i="1" s="1"/>
  <c r="Q234" i="1"/>
  <c r="U234" i="1" s="1"/>
  <c r="AB234" i="1" s="1"/>
  <c r="AF234" i="1" s="1"/>
  <c r="O43" i="1"/>
  <c r="P43" i="1"/>
  <c r="Q168" i="1"/>
  <c r="U168" i="1" s="1"/>
  <c r="AB168" i="1" s="1"/>
  <c r="AF168" i="1" s="1"/>
  <c r="Q296" i="1"/>
  <c r="U296" i="1" s="1"/>
  <c r="AB296" i="1" s="1"/>
  <c r="AF296" i="1" s="1"/>
  <c r="Q329" i="1"/>
  <c r="U329" i="1" s="1"/>
  <c r="AB329" i="1" s="1"/>
  <c r="AF329" i="1" s="1"/>
  <c r="Q324" i="1"/>
  <c r="U324" i="1" s="1"/>
  <c r="AB324" i="1" s="1"/>
  <c r="AF324" i="1" s="1"/>
  <c r="Q261" i="1"/>
  <c r="U261" i="1" s="1"/>
  <c r="AB261" i="1" s="1"/>
  <c r="AF261" i="1" s="1"/>
  <c r="Q131" i="1"/>
  <c r="U131" i="1" s="1"/>
  <c r="AB131" i="1" s="1"/>
  <c r="AF131" i="1" s="1"/>
  <c r="Q135" i="1"/>
  <c r="U135" i="1" s="1"/>
  <c r="AB135" i="1" s="1"/>
  <c r="AF135" i="1" s="1"/>
  <c r="Q277" i="1"/>
  <c r="U277" i="1" s="1"/>
  <c r="AB277" i="1" s="1"/>
  <c r="AF277" i="1" s="1"/>
  <c r="Q285" i="1"/>
  <c r="U285" i="1" s="1"/>
  <c r="AB285" i="1" s="1"/>
  <c r="AF285" i="1" s="1"/>
  <c r="Q273" i="1"/>
  <c r="U273" i="1" s="1"/>
  <c r="AB273" i="1" s="1"/>
  <c r="AF273" i="1" s="1"/>
  <c r="Q281" i="1"/>
  <c r="U281" i="1" s="1"/>
  <c r="AB281" i="1" s="1"/>
  <c r="AF281" i="1" s="1"/>
  <c r="Q291" i="1"/>
  <c r="U291" i="1" s="1"/>
  <c r="AB291" i="1" s="1"/>
  <c r="AF291" i="1" s="1"/>
  <c r="Q278" i="1"/>
  <c r="U278" i="1" s="1"/>
  <c r="AB278" i="1" s="1"/>
  <c r="AF278" i="1" s="1"/>
  <c r="Q286" i="1"/>
  <c r="U286" i="1" s="1"/>
  <c r="AB286" i="1" s="1"/>
  <c r="AF286" i="1" s="1"/>
  <c r="Q260" i="1"/>
  <c r="U260" i="1" s="1"/>
  <c r="AB260" i="1" s="1"/>
  <c r="AF260" i="1" s="1"/>
  <c r="Q274" i="1"/>
  <c r="U274" i="1" s="1"/>
  <c r="AB274" i="1" s="1"/>
  <c r="AF274" i="1" s="1"/>
  <c r="Q282" i="1"/>
  <c r="U282" i="1" s="1"/>
  <c r="AB282" i="1" s="1"/>
  <c r="AF282" i="1" s="1"/>
  <c r="Q316" i="1"/>
  <c r="U316" i="1" s="1"/>
  <c r="AB316" i="1" s="1"/>
  <c r="AF316" i="1" s="1"/>
  <c r="O155" i="1"/>
  <c r="O147" i="1"/>
  <c r="Q136" i="1"/>
  <c r="U136" i="1" s="1"/>
  <c r="AB136" i="1" s="1"/>
  <c r="AF136" i="1" s="1"/>
  <c r="P116" i="1"/>
  <c r="O153" i="1"/>
  <c r="Q187" i="1"/>
  <c r="U187" i="1" s="1"/>
  <c r="AB187" i="1" s="1"/>
  <c r="AF187" i="1" s="1"/>
  <c r="Q17" i="1"/>
  <c r="U17" i="1" s="1"/>
  <c r="AB17" i="1" s="1"/>
  <c r="AF17" i="1" s="1"/>
  <c r="Q74" i="1"/>
  <c r="U74" i="1" s="1"/>
  <c r="AB74" i="1" s="1"/>
  <c r="AF74" i="1" s="1"/>
  <c r="Q60" i="1"/>
  <c r="U60" i="1" s="1"/>
  <c r="AB60" i="1" s="1"/>
  <c r="AF60" i="1" s="1"/>
  <c r="Q152" i="1"/>
  <c r="U152" i="1" s="1"/>
  <c r="AB152" i="1" s="1"/>
  <c r="AF152" i="1" s="1"/>
  <c r="Q72" i="1"/>
  <c r="U72" i="1" s="1"/>
  <c r="AB72" i="1" s="1"/>
  <c r="AF72" i="1" s="1"/>
  <c r="Q265" i="1"/>
  <c r="U265" i="1" s="1"/>
  <c r="AB265" i="1" s="1"/>
  <c r="AF265" i="1" s="1"/>
  <c r="Q264" i="1"/>
  <c r="U264" i="1" s="1"/>
  <c r="AB264" i="1" s="1"/>
  <c r="AF264" i="1" s="1"/>
  <c r="Q271" i="1"/>
  <c r="U271" i="1" s="1"/>
  <c r="AB271" i="1" s="1"/>
  <c r="AF271" i="1" s="1"/>
  <c r="Q279" i="1"/>
  <c r="U279" i="1" s="1"/>
  <c r="AB279" i="1" s="1"/>
  <c r="AF279" i="1" s="1"/>
  <c r="Q287" i="1"/>
  <c r="U287" i="1" s="1"/>
  <c r="AB287" i="1" s="1"/>
  <c r="AF287" i="1" s="1"/>
  <c r="Q300" i="1"/>
  <c r="U300" i="1" s="1"/>
  <c r="AB300" i="1" s="1"/>
  <c r="AF300" i="1" s="1"/>
  <c r="Q294" i="1"/>
  <c r="U294" i="1" s="1"/>
  <c r="AB294" i="1" s="1"/>
  <c r="AF294" i="1" s="1"/>
  <c r="Q263" i="1"/>
  <c r="U263" i="1" s="1"/>
  <c r="AB263" i="1" s="1"/>
  <c r="AF263" i="1" s="1"/>
  <c r="P309" i="1"/>
  <c r="O309" i="1"/>
  <c r="Q124" i="1"/>
  <c r="U124" i="1" s="1"/>
  <c r="AB124" i="1" s="1"/>
  <c r="AF124" i="1" s="1"/>
  <c r="Q38" i="1"/>
  <c r="U38" i="1" s="1"/>
  <c r="AB38" i="1" s="1"/>
  <c r="AF38" i="1" s="1"/>
  <c r="P175" i="1"/>
  <c r="O175" i="1"/>
  <c r="P113" i="1"/>
  <c r="O113" i="1"/>
  <c r="Q12" i="1"/>
  <c r="U12" i="1" s="1"/>
  <c r="AB12" i="1" s="1"/>
  <c r="AF12" i="1" s="1"/>
  <c r="P45" i="1"/>
  <c r="Q123" i="1"/>
  <c r="U123" i="1" s="1"/>
  <c r="AB123" i="1" s="1"/>
  <c r="AF123" i="1" s="1"/>
  <c r="Q47" i="1"/>
  <c r="U47" i="1" s="1"/>
  <c r="AB47" i="1" s="1"/>
  <c r="AF47" i="1" s="1"/>
  <c r="Q186" i="1"/>
  <c r="U186" i="1" s="1"/>
  <c r="AB186" i="1" s="1"/>
  <c r="AF186" i="1" s="1"/>
  <c r="Q29" i="1"/>
  <c r="U29" i="1" s="1"/>
  <c r="Q55" i="1"/>
  <c r="U55" i="1" s="1"/>
  <c r="AB55" i="1" s="1"/>
  <c r="AF55" i="1" s="1"/>
  <c r="Q199" i="1"/>
  <c r="U199" i="1" s="1"/>
  <c r="AB199" i="1" s="1"/>
  <c r="AF199" i="1" s="1"/>
  <c r="Q146" i="1"/>
  <c r="U146" i="1" s="1"/>
  <c r="AB146" i="1" s="1"/>
  <c r="AF146" i="1" s="1"/>
  <c r="Q180" i="1"/>
  <c r="U180" i="1" s="1"/>
  <c r="AB180" i="1" s="1"/>
  <c r="AF180" i="1" s="1"/>
  <c r="Q171" i="1"/>
  <c r="U171" i="1" s="1"/>
  <c r="AB171" i="1" s="1"/>
  <c r="AF171" i="1" s="1"/>
  <c r="Q33" i="1"/>
  <c r="U33" i="1" s="1"/>
  <c r="AB33" i="1" s="1"/>
  <c r="AF33" i="1" s="1"/>
  <c r="Q58" i="1"/>
  <c r="U58" i="1" s="1"/>
  <c r="AB58" i="1" s="1"/>
  <c r="AF58" i="1" s="1"/>
  <c r="Q112" i="1"/>
  <c r="U112" i="1" s="1"/>
  <c r="AB112" i="1" s="1"/>
  <c r="AF112" i="1" s="1"/>
  <c r="Q73" i="1"/>
  <c r="U73" i="1" s="1"/>
  <c r="AB73" i="1" s="1"/>
  <c r="AF73" i="1" s="1"/>
  <c r="Q48" i="1"/>
  <c r="U48" i="1" s="1"/>
  <c r="AB48" i="1" s="1"/>
  <c r="AF48" i="1" s="1"/>
  <c r="Q30" i="1"/>
  <c r="U30" i="1" s="1"/>
  <c r="AB30" i="1" s="1"/>
  <c r="AF30" i="1" s="1"/>
  <c r="Q128" i="1"/>
  <c r="U128" i="1" s="1"/>
  <c r="AB128" i="1" s="1"/>
  <c r="AF128" i="1" s="1"/>
  <c r="Q181" i="1"/>
  <c r="U181" i="1" s="1"/>
  <c r="AB181" i="1" s="1"/>
  <c r="AF181" i="1" s="1"/>
  <c r="Q51" i="1"/>
  <c r="U51" i="1" s="1"/>
  <c r="AB51" i="1" s="1"/>
  <c r="AF51" i="1" s="1"/>
  <c r="Q191" i="1"/>
  <c r="U191" i="1" s="1"/>
  <c r="AB191" i="1" s="1"/>
  <c r="AF191" i="1" s="1"/>
  <c r="Q242" i="1"/>
  <c r="U242" i="1" s="1"/>
  <c r="AB242" i="1" s="1"/>
  <c r="AF242" i="1" s="1"/>
  <c r="Q16" i="1"/>
  <c r="U16" i="1" s="1"/>
  <c r="AB16" i="1" s="1"/>
  <c r="AF16" i="1" s="1"/>
  <c r="Q188" i="1"/>
  <c r="U188" i="1" s="1"/>
  <c r="AB188" i="1" s="1"/>
  <c r="AF188" i="1" s="1"/>
  <c r="Q189" i="1"/>
  <c r="U189" i="1" s="1"/>
  <c r="AB189" i="1" s="1"/>
  <c r="AF189" i="1" s="1"/>
  <c r="Q164" i="1"/>
  <c r="U164" i="1" s="1"/>
  <c r="AB164" i="1" s="1"/>
  <c r="AF164" i="1" s="1"/>
  <c r="Q233" i="1"/>
  <c r="U233" i="1" s="1"/>
  <c r="AB233" i="1" s="1"/>
  <c r="AF233" i="1" s="1"/>
  <c r="Q57" i="1"/>
  <c r="U57" i="1" s="1"/>
  <c r="AB57" i="1" s="1"/>
  <c r="AF57" i="1" s="1"/>
  <c r="Q46" i="1"/>
  <c r="U46" i="1" s="1"/>
  <c r="AB46" i="1" s="1"/>
  <c r="AF46" i="1" s="1"/>
  <c r="P246" i="1"/>
  <c r="O246" i="1"/>
  <c r="P248" i="1"/>
  <c r="O248" i="1"/>
  <c r="P249" i="1"/>
  <c r="O249" i="1"/>
  <c r="Q50" i="1"/>
  <c r="U50" i="1" s="1"/>
  <c r="AB50" i="1" s="1"/>
  <c r="AF50" i="1" s="1"/>
  <c r="P35" i="1"/>
  <c r="O35" i="1"/>
  <c r="Q179" i="1"/>
  <c r="U179" i="1" s="1"/>
  <c r="AB179" i="1" s="1"/>
  <c r="AF179" i="1" s="1"/>
  <c r="Q170" i="1"/>
  <c r="U170" i="1" s="1"/>
  <c r="AB170" i="1" s="1"/>
  <c r="AF170" i="1" s="1"/>
  <c r="Q145" i="1"/>
  <c r="U145" i="1" s="1"/>
  <c r="AB145" i="1" s="1"/>
  <c r="AF145" i="1" s="1"/>
  <c r="Q223" i="1"/>
  <c r="U223" i="1" s="1"/>
  <c r="AB223" i="1" s="1"/>
  <c r="AF223" i="1" s="1"/>
  <c r="P159" i="1"/>
  <c r="O159" i="1"/>
  <c r="Q192" i="1"/>
  <c r="U192" i="1" s="1"/>
  <c r="AB192" i="1" s="1"/>
  <c r="AF192" i="1" s="1"/>
  <c r="Q231" i="1"/>
  <c r="U231" i="1" s="1"/>
  <c r="AB231" i="1" s="1"/>
  <c r="AF231" i="1" s="1"/>
  <c r="Q237" i="1"/>
  <c r="U237" i="1" s="1"/>
  <c r="AB237" i="1" s="1"/>
  <c r="AF237" i="1" s="1"/>
  <c r="Q268" i="1"/>
  <c r="U268" i="1" s="1"/>
  <c r="AB268" i="1" s="1"/>
  <c r="AF268" i="1" s="1"/>
  <c r="Q276" i="1"/>
  <c r="U276" i="1" s="1"/>
  <c r="AB276" i="1" s="1"/>
  <c r="AF276" i="1" s="1"/>
  <c r="Q284" i="1"/>
  <c r="U284" i="1" s="1"/>
  <c r="AB284" i="1" s="1"/>
  <c r="AF284" i="1" s="1"/>
  <c r="Q49" i="1"/>
  <c r="U49" i="1" s="1"/>
  <c r="AB49" i="1" s="1"/>
  <c r="AF49" i="1" s="1"/>
  <c r="Q117" i="1"/>
  <c r="U117" i="1" s="1"/>
  <c r="P39" i="1"/>
  <c r="O39" i="1"/>
  <c r="Q183" i="1"/>
  <c r="U183" i="1" s="1"/>
  <c r="AB183" i="1" s="1"/>
  <c r="AF183" i="1" s="1"/>
  <c r="Q161" i="1"/>
  <c r="U161" i="1" s="1"/>
  <c r="AB161" i="1" s="1"/>
  <c r="AF161" i="1" s="1"/>
  <c r="P151" i="1"/>
  <c r="O151" i="1"/>
  <c r="Q290" i="1"/>
  <c r="U290" i="1" s="1"/>
  <c r="AB290" i="1" s="1"/>
  <c r="AF290" i="1" s="1"/>
  <c r="Q288" i="1"/>
  <c r="U288" i="1" s="1"/>
  <c r="AB288" i="1" s="1"/>
  <c r="AF288" i="1" s="1"/>
  <c r="Q303" i="1"/>
  <c r="U303" i="1" s="1"/>
  <c r="AB303" i="1" s="1"/>
  <c r="AF303" i="1" s="1"/>
  <c r="Q59" i="1"/>
  <c r="U59" i="1" s="1"/>
  <c r="AB59" i="1" s="1"/>
  <c r="AF59" i="1" s="1"/>
  <c r="Q62" i="1"/>
  <c r="U62" i="1" s="1"/>
  <c r="AB62" i="1" s="1"/>
  <c r="AF62" i="1" s="1"/>
  <c r="Q157" i="1"/>
  <c r="U157" i="1" s="1"/>
  <c r="AB157" i="1" s="1"/>
  <c r="AF157" i="1" s="1"/>
  <c r="P167" i="1"/>
  <c r="O167" i="1"/>
  <c r="Q200" i="1"/>
  <c r="U200" i="1" s="1"/>
  <c r="AB200" i="1" s="1"/>
  <c r="AF200" i="1" s="1"/>
  <c r="Q244" i="1"/>
  <c r="U244" i="1" s="1"/>
  <c r="AB244" i="1" s="1"/>
  <c r="AF244" i="1" s="1"/>
  <c r="Q53" i="1"/>
  <c r="U53" i="1" s="1"/>
  <c r="AB53" i="1" s="1"/>
  <c r="AF53" i="1" s="1"/>
  <c r="Q22" i="1"/>
  <c r="U22" i="1" s="1"/>
  <c r="AB22" i="1" s="1"/>
  <c r="AF22" i="1" s="1"/>
  <c r="Q41" i="1"/>
  <c r="U41" i="1" s="1"/>
  <c r="AB41" i="1" s="1"/>
  <c r="AF41" i="1" s="1"/>
  <c r="P27" i="1"/>
  <c r="O27" i="1"/>
  <c r="P32" i="1"/>
  <c r="O32" i="1"/>
  <c r="AB134" i="1"/>
  <c r="AF134" i="1" s="1"/>
  <c r="Q143" i="1"/>
  <c r="U143" i="1" s="1"/>
  <c r="AB143" i="1" s="1"/>
  <c r="AF143" i="1" s="1"/>
  <c r="Q190" i="1"/>
  <c r="U190" i="1" s="1"/>
  <c r="AB190" i="1" s="1"/>
  <c r="AF190" i="1" s="1"/>
  <c r="Q301" i="1"/>
  <c r="U301" i="1" s="1"/>
  <c r="AB301" i="1" s="1"/>
  <c r="AF301" i="1" s="1"/>
  <c r="Q320" i="1"/>
  <c r="U320" i="1" s="1"/>
  <c r="AB320" i="1" s="1"/>
  <c r="AF320" i="1" s="1"/>
  <c r="Q118" i="1"/>
  <c r="U118" i="1" s="1"/>
  <c r="AB118" i="1" s="1"/>
  <c r="AF118" i="1" s="1"/>
  <c r="Q172" i="1"/>
  <c r="U172" i="1" s="1"/>
  <c r="AB172" i="1" s="1"/>
  <c r="AF172" i="1" s="1"/>
  <c r="P139" i="1"/>
  <c r="O139" i="1"/>
  <c r="P250" i="1"/>
  <c r="O250" i="1"/>
  <c r="P40" i="1"/>
  <c r="O40" i="1"/>
  <c r="P28" i="1"/>
  <c r="O28" i="1"/>
  <c r="Q150" i="1"/>
  <c r="U150" i="1" s="1"/>
  <c r="AB150" i="1" s="1"/>
  <c r="AF150" i="1" s="1"/>
  <c r="P173" i="1"/>
  <c r="O173" i="1"/>
  <c r="P141" i="1"/>
  <c r="O141" i="1"/>
  <c r="P238" i="1"/>
  <c r="O238" i="1"/>
  <c r="P245" i="1"/>
  <c r="O245" i="1"/>
  <c r="Q120" i="1"/>
  <c r="U120" i="1" s="1"/>
  <c r="AB120" i="1" s="1"/>
  <c r="AF120" i="1" s="1"/>
  <c r="Q64" i="1"/>
  <c r="U64" i="1" s="1"/>
  <c r="AB64" i="1" s="1"/>
  <c r="AF64" i="1" s="1"/>
  <c r="Q163" i="1"/>
  <c r="U163" i="1" s="1"/>
  <c r="AB163" i="1" s="1"/>
  <c r="AF163" i="1" s="1"/>
  <c r="Q176" i="1"/>
  <c r="U176" i="1" s="1"/>
  <c r="AB176" i="1" s="1"/>
  <c r="AF176" i="1" s="1"/>
  <c r="Q272" i="1"/>
  <c r="U272" i="1" s="1"/>
  <c r="AB272" i="1" s="1"/>
  <c r="AF272" i="1" s="1"/>
  <c r="Q280" i="1"/>
  <c r="U280" i="1" s="1"/>
  <c r="AB280" i="1" s="1"/>
  <c r="AF280" i="1" s="1"/>
  <c r="Q63" i="1"/>
  <c r="U63" i="1" s="1"/>
  <c r="AB63" i="1" s="1"/>
  <c r="AF63" i="1" s="1"/>
  <c r="P31" i="1"/>
  <c r="O31" i="1"/>
  <c r="Q154" i="1"/>
  <c r="U154" i="1" s="1"/>
  <c r="AB154" i="1" s="1"/>
  <c r="AF154" i="1" s="1"/>
  <c r="Q158" i="1"/>
  <c r="Q130" i="1"/>
  <c r="U130" i="1" s="1"/>
  <c r="AB130" i="1" s="1"/>
  <c r="AF130" i="1" s="1"/>
  <c r="Q201" i="1"/>
  <c r="U201" i="1" s="1"/>
  <c r="AB201" i="1" s="1"/>
  <c r="AF201" i="1" s="1"/>
  <c r="Q203" i="1"/>
  <c r="U203" i="1" s="1"/>
  <c r="AB203" i="1" s="1"/>
  <c r="AF203" i="1" s="1"/>
  <c r="P247" i="1"/>
  <c r="O247" i="1"/>
  <c r="Q266" i="1"/>
  <c r="U266" i="1" s="1"/>
  <c r="AB266" i="1" s="1"/>
  <c r="AF266" i="1" s="1"/>
  <c r="Q25" i="1"/>
  <c r="U25" i="1" s="1"/>
  <c r="AB25" i="1" s="1"/>
  <c r="AF25" i="1" s="1"/>
  <c r="Q54" i="1"/>
  <c r="U54" i="1" s="1"/>
  <c r="AB54" i="1" s="1"/>
  <c r="AF54" i="1" s="1"/>
  <c r="Q56" i="1"/>
  <c r="U56" i="1" s="1"/>
  <c r="AB56" i="1" s="1"/>
  <c r="AF56" i="1" s="1"/>
  <c r="P75" i="1"/>
  <c r="O75" i="1"/>
  <c r="Q148" i="1"/>
  <c r="U148" i="1" s="1"/>
  <c r="AB148" i="1" s="1"/>
  <c r="AF148" i="1" s="1"/>
  <c r="Q232" i="1"/>
  <c r="U232" i="1" s="1"/>
  <c r="AB232" i="1" s="1"/>
  <c r="AF232" i="1" s="1"/>
  <c r="Q193" i="1"/>
  <c r="U193" i="1" s="1"/>
  <c r="AB193" i="1" s="1"/>
  <c r="AF193" i="1" s="1"/>
  <c r="Q243" i="1"/>
  <c r="U243" i="1" s="1"/>
  <c r="AB243" i="1" s="1"/>
  <c r="AF243" i="1" s="1"/>
  <c r="Q299" i="1"/>
  <c r="U299" i="1" s="1"/>
  <c r="AB299" i="1" s="1"/>
  <c r="AF299" i="1" s="1"/>
  <c r="Q295" i="1"/>
  <c r="U295" i="1" s="1"/>
  <c r="AB295" i="1" s="1"/>
  <c r="AF295" i="1" s="1"/>
  <c r="Q9" i="1"/>
  <c r="U9" i="1" s="1"/>
  <c r="AB9" i="1" s="1"/>
  <c r="AF9" i="1" s="1"/>
  <c r="Q44" i="1"/>
  <c r="U44" i="1" s="1"/>
  <c r="AB44" i="1" s="1"/>
  <c r="AF44" i="1" s="1"/>
  <c r="Q37" i="1"/>
  <c r="U37" i="1" s="1"/>
  <c r="AB37" i="1" s="1"/>
  <c r="AF37" i="1" s="1"/>
  <c r="P34" i="1"/>
  <c r="O34" i="1"/>
  <c r="Q144" i="1"/>
  <c r="U144" i="1" s="1"/>
  <c r="AB144" i="1" s="1"/>
  <c r="AF144" i="1" s="1"/>
  <c r="Q174" i="1"/>
  <c r="U174" i="1" s="1"/>
  <c r="AB174" i="1" s="1"/>
  <c r="AF174" i="1" s="1"/>
  <c r="Q202" i="1"/>
  <c r="U202" i="1" s="1"/>
  <c r="AB202" i="1" s="1"/>
  <c r="AF202" i="1" s="1"/>
  <c r="Q241" i="1"/>
  <c r="U241" i="1" s="1"/>
  <c r="AB241" i="1" s="1"/>
  <c r="AF241" i="1" s="1"/>
  <c r="Q267" i="1"/>
  <c r="U267" i="1" s="1"/>
  <c r="AB267" i="1" s="1"/>
  <c r="AF267" i="1" s="1"/>
  <c r="Q319" i="1"/>
  <c r="U319" i="1" s="1"/>
  <c r="AB319" i="1" s="1"/>
  <c r="O7" i="1" l="1"/>
  <c r="AF289" i="1"/>
  <c r="U158" i="1"/>
  <c r="AF252" i="1"/>
  <c r="Q259" i="1"/>
  <c r="Q155" i="1"/>
  <c r="U155" i="1" s="1"/>
  <c r="AB155" i="1" s="1"/>
  <c r="AF155" i="1" s="1"/>
  <c r="Q7" i="1"/>
  <c r="U7" i="1" s="1"/>
  <c r="AB7" i="1" s="1"/>
  <c r="AF7" i="1" s="1"/>
  <c r="AF342" i="1"/>
  <c r="AF346" i="1" s="1"/>
  <c r="AB346" i="1"/>
  <c r="AF298" i="1"/>
  <c r="U52" i="1"/>
  <c r="AB52" i="1" s="1"/>
  <c r="AF52" i="1" s="1"/>
  <c r="AB29" i="1"/>
  <c r="AB117" i="1"/>
  <c r="AF117" i="1" s="1"/>
  <c r="Q20" i="1"/>
  <c r="U20" i="1" s="1"/>
  <c r="AB20" i="1" s="1"/>
  <c r="AF20" i="1" s="1"/>
  <c r="Q19" i="1"/>
  <c r="U19" i="1" s="1"/>
  <c r="AB19" i="1" s="1"/>
  <c r="Q15" i="1"/>
  <c r="U15" i="1" s="1"/>
  <c r="AB15" i="1" s="1"/>
  <c r="AF15" i="1" s="1"/>
  <c r="Q45" i="1"/>
  <c r="U45" i="1" s="1"/>
  <c r="AB45" i="1" s="1"/>
  <c r="AF45" i="1" s="1"/>
  <c r="Q116" i="1"/>
  <c r="U116" i="1" s="1"/>
  <c r="AB116" i="1" s="1"/>
  <c r="AF116" i="1" s="1"/>
  <c r="Q147" i="1"/>
  <c r="U147" i="1" s="1"/>
  <c r="AB147" i="1" s="1"/>
  <c r="AF147" i="1" s="1"/>
  <c r="AF319" i="1"/>
  <c r="Q119" i="1"/>
  <c r="U119" i="1" s="1"/>
  <c r="AB119" i="1" s="1"/>
  <c r="AF119" i="1" s="1"/>
  <c r="Q11" i="1"/>
  <c r="U11" i="1" s="1"/>
  <c r="AB11" i="1" s="1"/>
  <c r="AF11" i="1" s="1"/>
  <c r="Q13" i="1"/>
  <c r="U13" i="1" s="1"/>
  <c r="AB13" i="1" s="1"/>
  <c r="AF13" i="1" s="1"/>
  <c r="Q153" i="1"/>
  <c r="U153" i="1" s="1"/>
  <c r="AB153" i="1" s="1"/>
  <c r="AF153" i="1" s="1"/>
  <c r="Q8" i="1"/>
  <c r="U8" i="1" s="1"/>
  <c r="AB8" i="1" s="1"/>
  <c r="AF8" i="1" s="1"/>
  <c r="Q71" i="1"/>
  <c r="U71" i="1" s="1"/>
  <c r="AB71" i="1" s="1"/>
  <c r="AF71" i="1" s="1"/>
  <c r="Q166" i="1"/>
  <c r="U166" i="1" s="1"/>
  <c r="AB166" i="1" s="1"/>
  <c r="AF166" i="1" s="1"/>
  <c r="Q10" i="1"/>
  <c r="U10" i="1" s="1"/>
  <c r="AB10" i="1" s="1"/>
  <c r="AF10" i="1" s="1"/>
  <c r="Q21" i="1"/>
  <c r="U21" i="1" s="1"/>
  <c r="AB21" i="1" s="1"/>
  <c r="AF21" i="1" s="1"/>
  <c r="Q122" i="1"/>
  <c r="U122" i="1" s="1"/>
  <c r="AB122" i="1" s="1"/>
  <c r="AF122" i="1" s="1"/>
  <c r="Q169" i="1"/>
  <c r="U169" i="1" s="1"/>
  <c r="AB169" i="1" s="1"/>
  <c r="AF169" i="1" s="1"/>
  <c r="Q133" i="1"/>
  <c r="U133" i="1" s="1"/>
  <c r="AB133" i="1" s="1"/>
  <c r="AF133" i="1" s="1"/>
  <c r="Q18" i="1"/>
  <c r="U18" i="1" s="1"/>
  <c r="AB18" i="1" s="1"/>
  <c r="AF18" i="1" s="1"/>
  <c r="Q326" i="1"/>
  <c r="U326" i="1" s="1"/>
  <c r="AB326" i="1" s="1"/>
  <c r="AF326" i="1" s="1"/>
  <c r="Q43" i="1"/>
  <c r="U43" i="1" s="1"/>
  <c r="AB43" i="1" s="1"/>
  <c r="AF43" i="1" s="1"/>
  <c r="Q31" i="1"/>
  <c r="U31" i="1" s="1"/>
  <c r="AB31" i="1" s="1"/>
  <c r="AF31" i="1" s="1"/>
  <c r="Q121" i="1"/>
  <c r="U121" i="1" s="1"/>
  <c r="AB121" i="1" s="1"/>
  <c r="AF121" i="1" s="1"/>
  <c r="Q167" i="1"/>
  <c r="U167" i="1" s="1"/>
  <c r="AB167" i="1" s="1"/>
  <c r="AF167" i="1" s="1"/>
  <c r="Q250" i="1"/>
  <c r="U250" i="1" s="1"/>
  <c r="AB250" i="1" s="1"/>
  <c r="AF250" i="1" s="1"/>
  <c r="Q309" i="1"/>
  <c r="U309" i="1" s="1"/>
  <c r="AB309" i="1" s="1"/>
  <c r="AF309" i="1" s="1"/>
  <c r="Q32" i="1"/>
  <c r="U32" i="1" s="1"/>
  <c r="AB32" i="1" s="1"/>
  <c r="AF32" i="1" s="1"/>
  <c r="Q246" i="1"/>
  <c r="U246" i="1" s="1"/>
  <c r="AB246" i="1" s="1"/>
  <c r="AF246" i="1" s="1"/>
  <c r="Q113" i="1"/>
  <c r="U113" i="1" s="1"/>
  <c r="AB113" i="1" s="1"/>
  <c r="AF113" i="1" s="1"/>
  <c r="Q34" i="1"/>
  <c r="U34" i="1" s="1"/>
  <c r="AB34" i="1" s="1"/>
  <c r="AF34" i="1" s="1"/>
  <c r="Q245" i="1"/>
  <c r="U245" i="1" s="1"/>
  <c r="AB245" i="1" s="1"/>
  <c r="AF245" i="1" s="1"/>
  <c r="Q141" i="1"/>
  <c r="U141" i="1" s="1"/>
  <c r="AB141" i="1" s="1"/>
  <c r="AF141" i="1" s="1"/>
  <c r="Q159" i="1"/>
  <c r="U159" i="1" s="1"/>
  <c r="AB159" i="1" s="1"/>
  <c r="AF159" i="1" s="1"/>
  <c r="Q248" i="1"/>
  <c r="U248" i="1" s="1"/>
  <c r="AB248" i="1" s="1"/>
  <c r="AF248" i="1" s="1"/>
  <c r="Q175" i="1"/>
  <c r="U175" i="1" s="1"/>
  <c r="AB175" i="1" s="1"/>
  <c r="AF175" i="1" s="1"/>
  <c r="Q75" i="1"/>
  <c r="U75" i="1" s="1"/>
  <c r="AB75" i="1" s="1"/>
  <c r="AF75" i="1" s="1"/>
  <c r="Q173" i="1"/>
  <c r="U173" i="1" s="1"/>
  <c r="AB173" i="1" s="1"/>
  <c r="AF173" i="1" s="1"/>
  <c r="Q139" i="1"/>
  <c r="U139" i="1" s="1"/>
  <c r="AB139" i="1" s="1"/>
  <c r="AF139" i="1" s="1"/>
  <c r="Q238" i="1"/>
  <c r="U238" i="1" s="1"/>
  <c r="AB238" i="1" s="1"/>
  <c r="AF238" i="1" s="1"/>
  <c r="Q27" i="1"/>
  <c r="U27" i="1" s="1"/>
  <c r="AB27" i="1" s="1"/>
  <c r="AF27" i="1" s="1"/>
  <c r="Q151" i="1"/>
  <c r="U151" i="1" s="1"/>
  <c r="AB151" i="1" s="1"/>
  <c r="AF151" i="1" s="1"/>
  <c r="Q39" i="1"/>
  <c r="U39" i="1" s="1"/>
  <c r="AB39" i="1" s="1"/>
  <c r="AF39" i="1" s="1"/>
  <c r="Q35" i="1"/>
  <c r="U35" i="1" s="1"/>
  <c r="AB35" i="1" s="1"/>
  <c r="AF35" i="1" s="1"/>
  <c r="Q249" i="1"/>
  <c r="U249" i="1" s="1"/>
  <c r="AB249" i="1" s="1"/>
  <c r="AF249" i="1" s="1"/>
  <c r="Q331" i="1"/>
  <c r="U331" i="1" s="1"/>
  <c r="AB331" i="1" s="1"/>
  <c r="AF331" i="1" s="1"/>
  <c r="Q247" i="1"/>
  <c r="U247" i="1" s="1"/>
  <c r="AB247" i="1" s="1"/>
  <c r="AF247" i="1" s="1"/>
  <c r="Q28" i="1"/>
  <c r="U28" i="1" s="1"/>
  <c r="AB28" i="1" s="1"/>
  <c r="AF28" i="1" s="1"/>
  <c r="Q40" i="1"/>
  <c r="U40" i="1" s="1"/>
  <c r="AB40" i="1" s="1"/>
  <c r="AF40" i="1" s="1"/>
  <c r="U259" i="1" l="1"/>
  <c r="U334" i="1" s="1"/>
  <c r="AB158" i="1"/>
  <c r="AF158" i="1" s="1"/>
  <c r="AF19" i="1"/>
  <c r="AF29" i="1"/>
  <c r="AB259" i="1"/>
  <c r="AB334" i="1" s="1"/>
  <c r="AF259" i="1" l="1"/>
  <c r="AF334" i="1" s="1"/>
  <c r="M222" i="1" l="1"/>
  <c r="E222" i="1" l="1"/>
  <c r="P222" i="1" s="1"/>
  <c r="N222" i="1"/>
  <c r="D222" i="1"/>
  <c r="O222" i="1" l="1"/>
  <c r="Q222" i="1" l="1"/>
  <c r="U222" i="1" l="1"/>
  <c r="AB222" i="1" l="1"/>
  <c r="AF222" i="1" l="1"/>
  <c r="L81" i="1" l="1"/>
  <c r="C81" i="1" l="1"/>
  <c r="M81" i="1"/>
  <c r="D81" i="1" l="1"/>
  <c r="N81" i="1"/>
  <c r="E81" i="1"/>
  <c r="R81" i="1" l="1"/>
  <c r="R254" i="1" s="1"/>
  <c r="R337" i="1" s="1"/>
  <c r="O81" i="1"/>
  <c r="P81" i="1"/>
  <c r="Q81" i="1" l="1"/>
  <c r="U81" i="1" l="1"/>
  <c r="AB81" i="1" l="1"/>
  <c r="AF81" i="1" l="1"/>
  <c r="F114" i="1"/>
  <c r="F254" i="1" s="1"/>
  <c r="F337" i="1" s="1"/>
  <c r="L114" i="1" l="1"/>
  <c r="L254" i="1" s="1"/>
  <c r="L337" i="1" s="1"/>
  <c r="C114" i="1" l="1"/>
  <c r="C254" i="1" s="1"/>
  <c r="M114" i="1"/>
  <c r="M254" i="1" s="1"/>
  <c r="M337" i="1" s="1"/>
  <c r="N114" i="1" l="1"/>
  <c r="N254" i="1" s="1"/>
  <c r="N337" i="1" s="1"/>
  <c r="C337" i="1"/>
  <c r="E114" i="1"/>
  <c r="D114" i="1"/>
  <c r="D254" i="1" l="1"/>
  <c r="D337" i="1" s="1"/>
  <c r="P114" i="1"/>
  <c r="P254" i="1" s="1"/>
  <c r="P337" i="1" s="1"/>
  <c r="O114" i="1"/>
  <c r="O254" i="1" s="1"/>
  <c r="O337" i="1" s="1"/>
  <c r="D350" i="1" l="1"/>
  <c r="D340" i="1"/>
  <c r="Q114" i="1"/>
  <c r="Q254" i="1" s="1"/>
  <c r="Q337" i="1" s="1"/>
  <c r="D351" i="1" l="1"/>
  <c r="D352" i="1" s="1"/>
  <c r="D354" i="1" s="1"/>
  <c r="U114" i="1"/>
  <c r="U254" i="1" s="1"/>
  <c r="U337" i="1" s="1"/>
  <c r="D358" i="1" l="1"/>
  <c r="D366" i="1"/>
  <c r="D355" i="1"/>
  <c r="D357" i="1" s="1"/>
  <c r="AB114" i="1"/>
  <c r="AB254" i="1" s="1"/>
  <c r="AB337" i="1" s="1"/>
  <c r="D356" i="1" l="1"/>
  <c r="D359" i="1" s="1"/>
  <c r="AF114" i="1"/>
  <c r="AF254" i="1" s="1"/>
  <c r="AF337" i="1" s="1"/>
  <c r="A196" i="1"/>
  <c r="A197" i="1" s="1"/>
  <c r="A198" i="1" s="1"/>
  <c r="A199" i="1" s="1"/>
  <c r="A192" i="1" l="1"/>
  <c r="A200" i="1"/>
  <c r="A201" i="1" l="1"/>
  <c r="A193" i="1" l="1"/>
  <c r="A202" i="1"/>
  <c r="A203" i="1" l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9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5" i="1" s="1"/>
  <c r="A306" i="1" s="1"/>
  <c r="A307" i="1" s="1"/>
  <c r="A308" i="1" s="1"/>
  <c r="A309" i="1" s="1"/>
  <c r="A310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9" i="1" s="1"/>
  <c r="A330" i="1" s="1"/>
  <c r="A331" i="1" s="1"/>
  <c r="A332" i="1" s="1"/>
  <c r="A333" i="1" s="1"/>
</calcChain>
</file>

<file path=xl/comments1.xml><?xml version="1.0" encoding="utf-8"?>
<comments xmlns="http://schemas.openxmlformats.org/spreadsheetml/2006/main">
  <authors>
    <author>Amable Velez</author>
    <author>Mantellod</author>
  </authors>
  <commentList>
    <comment ref="V1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3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4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4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4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PRESTAMO A LA EMPRESA VALOR 1000,00 6TO DESC</t>
        </r>
      </text>
    </comment>
    <comment ref="P5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5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PRESTAMO A LA EMPRESA 300,00 ULTIMO DESC</t>
        </r>
      </text>
    </comment>
    <comment ref="R5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J6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ACCIDENTE</t>
        </r>
      </text>
    </comment>
    <comment ref="J6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ACCIDENTE</t>
        </r>
      </text>
    </comment>
    <comment ref="J63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PERMISO MATERNIDAD 84 DIAS DEL 26 DE MAYO HASTA EL 25 DE JUNIO RESTAN 24 DIAS</t>
        </r>
      </text>
    </comment>
    <comment ref="J6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PERMISO MATERNIDAD
</t>
        </r>
      </text>
    </comment>
    <comment ref="R6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6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6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PRESTAMO DE LA EMPRESA 300,00 3ER DESC</t>
        </r>
      </text>
    </comment>
    <comment ref="R6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7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7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J7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PERMISO PATERNIDAD</t>
        </r>
      </text>
    </comment>
    <comment ref="V7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7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7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8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8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8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8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8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8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8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8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8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8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8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9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9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9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9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9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9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9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9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9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9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9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0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1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1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11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11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1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11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11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1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1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1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1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1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2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12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12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2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Z12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HIPOTECARIO 148,82 Y QUIROGRAFARIO 47,54</t>
        </r>
      </text>
    </comment>
    <comment ref="V12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2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P12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135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36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37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38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39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40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41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4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3ER DESC</t>
        </r>
      </text>
    </comment>
    <comment ref="V153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EXTENSION CONYUGAL</t>
        </r>
      </text>
    </comment>
    <comment ref="R15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J15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ACCIDENTE</t>
        </r>
      </text>
    </comment>
    <comment ref="V158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PRESTAMO DE LA EMPRESA TOTAL 300,00 2DO DESC</t>
        </r>
      </text>
    </comment>
    <comment ref="V16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6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6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6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6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6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6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6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6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7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8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8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8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8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8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PRESTAMO A LA EMPRESA 2000,00 5TO DESC</t>
        </r>
      </text>
    </comment>
    <comment ref="V18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10 APORTE AL IESS</t>
        </r>
      </text>
    </comment>
    <comment ref="R18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18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K19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FALTAN 10 DIAS POR PAGAR</t>
        </r>
      </text>
    </comment>
    <comment ref="K19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FALTAN 10 DIAS POR PAGAR</t>
        </r>
      </text>
    </comment>
    <comment ref="R19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19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9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9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9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19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0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0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0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0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1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J22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ACCIDENTE</t>
        </r>
      </text>
    </comment>
    <comment ref="R221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222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226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J22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FALTAN DIAS DEL 26 AL 29 DE JUNIO</t>
        </r>
      </text>
    </comment>
    <comment ref="J232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PERMISO MATERNIDAD</t>
        </r>
      </text>
    </comment>
    <comment ref="R235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237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24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4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4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4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4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4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4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4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4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4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5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5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5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5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P269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27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P272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27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7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7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275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27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7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277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27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7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7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4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8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29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291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29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S29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PERMISO MEDICO</t>
        </r>
      </text>
    </comment>
    <comment ref="R29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305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306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307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308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30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31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R312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313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ANTICIPO TOTAL 100,00 ULTIMO DESC</t>
        </r>
      </text>
    </comment>
    <comment ref="R314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318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321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R322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P329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329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P330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ACUMULACION</t>
        </r>
      </text>
    </comment>
    <comment ref="V330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331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332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  <comment ref="V333" authorId="0" shapeId="0">
      <text>
        <r>
          <rPr>
            <b/>
            <sz val="9"/>
            <color indexed="81"/>
            <rFont val="Tahoma"/>
            <family val="2"/>
          </rPr>
          <t>Amable Velez:</t>
        </r>
        <r>
          <rPr>
            <sz val="9"/>
            <color indexed="81"/>
            <rFont val="Tahoma"/>
            <family val="2"/>
          </rPr>
          <t xml:space="preserve">
LIQUIDACION</t>
        </r>
      </text>
    </comment>
  </commentList>
</comments>
</file>

<file path=xl/comments2.xml><?xml version="1.0" encoding="utf-8"?>
<comments xmlns="http://schemas.openxmlformats.org/spreadsheetml/2006/main">
  <authors>
    <author>usuario</author>
    <author>USUARIO</author>
  </authors>
  <commentList>
    <comment ref="BT7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 </t>
        </r>
      </text>
    </comment>
    <comment ref="BZ7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F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T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 </t>
        </r>
      </text>
    </comment>
    <comment ref="CF14" authorId="0" shapeId="0">
      <text>
        <r>
          <rPr>
            <b/>
            <sz val="9"/>
            <color indexed="81"/>
            <rFont val="Tahoma"/>
            <family val="2"/>
          </rPr>
          <t>usuario:
PERMISO</t>
        </r>
      </text>
    </comment>
    <comment ref="BO2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R2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K2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BH27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F27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CI27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JUSTIFICADO</t>
        </r>
      </text>
    </comment>
    <comment ref="S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V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Y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Q3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CO42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JUSTIFICADO</t>
        </r>
      </text>
    </comment>
    <comment ref="CR42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JUSTIFICADO</t>
        </r>
      </text>
    </comment>
    <comment ref="S4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R4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L4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Z5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V5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Y5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N6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F6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CD61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B6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O6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CF6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R6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BX6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A6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F6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I6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J67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S67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V67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CF81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JUSTIFICADO</t>
        </r>
      </text>
    </comment>
    <comment ref="AO8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C84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I84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MEDICO</t>
        </r>
      </text>
    </comment>
    <comment ref="BL84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MEDICO</t>
        </r>
      </text>
    </comment>
    <comment ref="AC8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F8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G8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
</t>
        </r>
      </text>
    </comment>
    <comment ref="S8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T91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F9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Q100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
</t>
        </r>
      </text>
    </comment>
    <comment ref="BT100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
</t>
        </r>
      </text>
    </comment>
    <comment ref="BW100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
</t>
        </r>
      </text>
    </comment>
    <comment ref="AK105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G11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 sin sueldo</t>
        </r>
      </text>
    </comment>
    <comment ref="J11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 sin sueldo</t>
        </r>
      </text>
    </comment>
    <comment ref="M11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 sin sueldo</t>
        </r>
      </text>
    </comment>
    <comment ref="V11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</commentList>
</comments>
</file>

<file path=xl/comments3.xml><?xml version="1.0" encoding="utf-8"?>
<comments xmlns="http://schemas.openxmlformats.org/spreadsheetml/2006/main">
  <authors>
    <author>usuario</author>
    <author>USUARIO</author>
  </authors>
  <commentList>
    <comment ref="Y9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
</t>
        </r>
      </text>
    </comment>
    <comment ref="Y12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
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T20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T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W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Z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C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E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H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K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N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Q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T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H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K2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O3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R3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A3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R37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T3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G4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J4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T4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W4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Z4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CG4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M4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Q4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G4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CJ4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N4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S44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Q4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O4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R45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K5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N5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Q5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T5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BH5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BK5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BO53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R5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Z5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L61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O61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BI61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BL61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AN6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G7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J7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M72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M77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
</t>
        </r>
      </text>
    </comment>
    <comment ref="BQ83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
</t>
        </r>
      </text>
    </comment>
    <comment ref="BT83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
</t>
        </r>
      </text>
    </comment>
    <comment ref="AC8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AU8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S88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X8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 medico</t>
        </r>
      </text>
    </comment>
    <comment ref="CA8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 medico</t>
        </r>
      </text>
    </comment>
    <comment ref="M90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CG97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G98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J98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justificacion medica</t>
        </r>
      </text>
    </comment>
    <comment ref="BQ98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T99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  <comment ref="BH101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PERMISO</t>
        </r>
      </text>
    </comment>
  </commentList>
</comments>
</file>

<file path=xl/comments4.xml><?xml version="1.0" encoding="utf-8"?>
<comments xmlns="http://schemas.openxmlformats.org/spreadsheetml/2006/main">
  <authors>
    <author>JAVIER QUIROZ</author>
    <author>Mantellod</author>
  </authors>
  <commentList>
    <comment ref="H4" authorId="0" shapeId="0">
      <text>
        <r>
          <rPr>
            <b/>
            <sz val="9"/>
            <color indexed="81"/>
            <rFont val="Tahoma"/>
            <family val="2"/>
          </rPr>
          <t xml:space="preserve">DINERO PAGADO POR WALTHER 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</rPr>
          <t xml:space="preserve">ES  EL MISMMO DINERO PAGADO POR WALTHER COMO ANTICIPO QUE SE DESCUENTA
</t>
        </r>
      </text>
    </comment>
    <comment ref="Q4" authorId="0" shapeId="0">
      <text>
        <r>
          <rPr>
            <b/>
            <sz val="9"/>
            <color indexed="81"/>
            <rFont val="Tahoma"/>
            <family val="2"/>
          </rPr>
          <t xml:space="preserve">DINERO PAGADO POR WALTHER 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</rPr>
          <t xml:space="preserve">ES  EL MISMMO DINERO PAGADO POR WALTHER COMO ANTICIPO QUE SE DESCUENTA
</t>
        </r>
      </text>
    </comment>
    <comment ref="F9" authorId="1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MEDIO DIA Y 1 FALTA</t>
        </r>
      </text>
    </comment>
  </commentList>
</comments>
</file>

<file path=xl/comments5.xml><?xml version="1.0" encoding="utf-8"?>
<comments xmlns="http://schemas.openxmlformats.org/spreadsheetml/2006/main">
  <authors>
    <author>MANTELLODENCOLAJE</author>
    <author>wd7</author>
    <author>USUARIO</author>
  </authors>
  <commentList>
    <comment ref="E9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AC9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AG9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S9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Y9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BI9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9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LIMPIEZA DE AREA DE ENCOLAJE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 xml:space="preserve">WALTER: FALTA
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AW10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 xml:space="preserve">WALTER ALZANDO BLOQUE DE MADERA R9
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 xml:space="preserve">WALTER: ALZANDO MADERA R9
</t>
        </r>
      </text>
    </comment>
    <comment ref="AA11" authorId="0" shapeId="0">
      <text>
        <r>
          <rPr>
            <b/>
            <sz val="9"/>
            <color indexed="81"/>
            <rFont val="Tahoma"/>
            <family val="2"/>
          </rPr>
          <t xml:space="preserve">WALTER: ALZANDO MADERA R9
</t>
        </r>
      </text>
    </comment>
    <comment ref="AQ11" authorId="0" shapeId="0">
      <text>
        <r>
          <rPr>
            <b/>
            <sz val="9"/>
            <color indexed="81"/>
            <rFont val="Tahoma"/>
            <family val="2"/>
          </rPr>
          <t xml:space="preserve">WALTER: ALZANDO MADERA R9
</t>
        </r>
      </text>
    </comment>
    <comment ref="C12" authorId="1" shapeId="0">
      <text>
        <r>
          <rPr>
            <b/>
            <sz val="9"/>
            <color indexed="81"/>
            <rFont val="Tahoma"/>
            <family val="2"/>
          </rPr>
          <t>wd7:</t>
        </r>
        <r>
          <rPr>
            <sz val="9"/>
            <color indexed="81"/>
            <rFont val="Tahoma"/>
            <family val="2"/>
          </rPr>
          <t xml:space="preserve">
DESPACHADORES O ALZADORES DE CAMION = COLOR PLOMO
</t>
        </r>
      </text>
    </comment>
    <comment ref="BC12" authorId="0" shapeId="0">
      <text>
        <r>
          <rPr>
            <b/>
            <sz val="9"/>
            <color indexed="81"/>
            <rFont val="Tahoma"/>
            <family val="2"/>
          </rPr>
          <t>MANTELLODENCOLAJE:</t>
        </r>
        <r>
          <rPr>
            <sz val="9"/>
            <color indexed="81"/>
            <rFont val="Tahoma"/>
            <family val="2"/>
          </rPr>
          <t xml:space="preserve"> INVENTARIO 
</t>
        </r>
      </text>
    </comment>
    <comment ref="BM12" authorId="0" shapeId="0">
      <text>
        <r>
          <rPr>
            <b/>
            <sz val="9"/>
            <color indexed="81"/>
            <rFont val="Tahoma"/>
            <family val="2"/>
          </rPr>
          <t>MANTELLODENCOLAJE: DESPACHO DE CAMION RP A PLANTABAL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WALTER: LLEGO A LAS 10:30 AM</t>
        </r>
      </text>
    </comment>
    <comment ref="AC13" authorId="0" shapeId="0">
      <text>
        <r>
          <rPr>
            <b/>
            <sz val="9"/>
            <color indexed="81"/>
            <rFont val="Tahoma"/>
            <family val="2"/>
          </rPr>
          <t>WALTER: PERMISO SALIDA AL IESS
11:00</t>
        </r>
      </text>
    </comment>
    <comment ref="AG13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I13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BA13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BG13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BI13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13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LIMPIEZA DE AREA DE ENCOLAJE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WALTER: SE FUERON  A LAS 18:00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AC14" authorId="0" shapeId="0">
      <text>
        <r>
          <rPr>
            <b/>
            <sz val="9"/>
            <color indexed="81"/>
            <rFont val="Tahoma"/>
            <family val="2"/>
          </rPr>
          <t xml:space="preserve">WALTER: LLEGO A LAS 12;00
</t>
        </r>
      </text>
    </comment>
    <comment ref="AS14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K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O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Q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S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U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W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AC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AE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AG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AI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AM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AO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AS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AU15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G16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 xml:space="preserve">WALTER; PERMISO MEDICO
</t>
        </r>
      </text>
    </comment>
    <comment ref="K16" authorId="0" shapeId="0">
      <text>
        <r>
          <rPr>
            <b/>
            <sz val="9"/>
            <color indexed="81"/>
            <rFont val="Tahoma"/>
            <family val="2"/>
          </rPr>
          <t xml:space="preserve">WALTER: TRABAJO MEDIO DIA
</t>
        </r>
      </text>
    </comment>
    <comment ref="BC16" authorId="0" shapeId="0">
      <text>
        <r>
          <rPr>
            <b/>
            <sz val="9"/>
            <color indexed="81"/>
            <rFont val="Tahoma"/>
            <family val="2"/>
          </rPr>
          <t>MANTELLODENCOLAJE:</t>
        </r>
        <r>
          <rPr>
            <sz val="9"/>
            <color indexed="81"/>
            <rFont val="Tahoma"/>
            <family val="2"/>
          </rPr>
          <t xml:space="preserve"> INVENTARIO 
</t>
        </r>
      </text>
    </comment>
    <comment ref="BK16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LIMPIEZA DE AREA DE ENCOLAJE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16" authorId="0" shapeId="0">
      <text>
        <r>
          <rPr>
            <b/>
            <sz val="9"/>
            <color indexed="81"/>
            <rFont val="Tahoma"/>
            <family val="2"/>
          </rPr>
          <t>MANTELLODENCOLAJE: DESPACHO DE CAMION RP A PLANTABAL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BC17" authorId="0" shapeId="0">
      <text>
        <r>
          <rPr>
            <b/>
            <sz val="9"/>
            <color indexed="81"/>
            <rFont val="Tahoma"/>
            <family val="2"/>
          </rPr>
          <t>MANTELLODENCOLAJE:</t>
        </r>
        <r>
          <rPr>
            <sz val="9"/>
            <color indexed="81"/>
            <rFont val="Tahoma"/>
            <family val="2"/>
          </rPr>
          <t xml:space="preserve"> INVENTARIO 
</t>
        </r>
      </text>
    </comment>
    <comment ref="BK17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LIMPIEZA DE AREA DE ENCOLAJE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17" authorId="0" shapeId="0">
      <text>
        <r>
          <rPr>
            <b/>
            <sz val="9"/>
            <color indexed="81"/>
            <rFont val="Tahoma"/>
            <family val="2"/>
          </rPr>
          <t>MANTELLODENCOLAJE: DESPACHO DE CAMION RP A PLANTABAL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BO17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 TRABAJO DIARIOS , REUNION SAP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K18" authorId="0" shapeId="0">
      <text>
        <r>
          <rPr>
            <b/>
            <sz val="9"/>
            <color indexed="81"/>
            <rFont val="Tahoma"/>
            <family val="2"/>
          </rPr>
          <t xml:space="preserve">WALTER: FALTA
</t>
        </r>
      </text>
    </comment>
    <comment ref="O18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AI18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AS18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BA18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BI18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U19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AM19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BA19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BI19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WALTER: SE FUERON  A LAS 18:00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S20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C21" authorId="1" shapeId="0">
      <text>
        <r>
          <rPr>
            <b/>
            <sz val="9"/>
            <color indexed="81"/>
            <rFont val="Tahoma"/>
            <family val="2"/>
          </rPr>
          <t>wd7:ALIAS GORDO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S21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AE21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BA21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BI21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2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GRUPO DOS TARDE Y NOCHE COLOR NARANJA 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K22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AU22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W22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BA22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BC22" authorId="0" shapeId="0">
      <text>
        <r>
          <rPr>
            <b/>
            <sz val="9"/>
            <color indexed="81"/>
            <rFont val="Tahoma"/>
            <family val="2"/>
          </rPr>
          <t>MANTELLODENCOLAJE:</t>
        </r>
        <r>
          <rPr>
            <sz val="9"/>
            <color indexed="81"/>
            <rFont val="Tahoma"/>
            <family val="2"/>
          </rPr>
          <t xml:space="preserve"> INVENTARIO 
</t>
        </r>
      </text>
    </comment>
    <comment ref="C23" authorId="1" shapeId="0">
      <text>
        <r>
          <rPr>
            <b/>
            <sz val="9"/>
            <color indexed="81"/>
            <rFont val="Tahoma"/>
            <family val="2"/>
          </rPr>
          <t>wd7:</t>
        </r>
        <r>
          <rPr>
            <sz val="9"/>
            <color indexed="81"/>
            <rFont val="Tahoma"/>
            <family val="2"/>
          </rPr>
          <t xml:space="preserve">
ALIAS CHINO</t>
        </r>
      </text>
    </comment>
    <comment ref="K23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BC23" authorId="0" shapeId="0">
      <text>
        <r>
          <rPr>
            <b/>
            <sz val="9"/>
            <color indexed="81"/>
            <rFont val="Tahoma"/>
            <family val="2"/>
          </rPr>
          <t>MANTELLODENCOLAJE:</t>
        </r>
        <r>
          <rPr>
            <sz val="9"/>
            <color indexed="81"/>
            <rFont val="Tahoma"/>
            <family val="2"/>
          </rPr>
          <t xml:space="preserve"> INVENTARIO 
</t>
        </r>
      </text>
    </comment>
    <comment ref="BK23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LIMPIEZA DE AREA DE ENCOLAJE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23" authorId="0" shapeId="0">
      <text>
        <r>
          <rPr>
            <b/>
            <sz val="9"/>
            <color indexed="81"/>
            <rFont val="Tahoma"/>
            <family val="2"/>
          </rPr>
          <t>MANTELLODENCOLAJE: DESPACHO DE CAMION RP A PLANTABAL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E24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K24" authorId="0" shapeId="0">
      <text>
        <r>
          <rPr>
            <b/>
            <sz val="9"/>
            <color indexed="81"/>
            <rFont val="Tahoma"/>
            <family val="2"/>
          </rPr>
          <t xml:space="preserve">WALTER: FALTA
</t>
        </r>
      </text>
    </comment>
    <comment ref="BI24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24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LIMPIEZA DE AREA DE ENCOLAJE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G25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S25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AM25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AY25" authorId="0" shapeId="0">
      <text>
        <r>
          <rPr>
            <b/>
            <sz val="9"/>
            <color indexed="81"/>
            <rFont val="Tahoma"/>
            <family val="2"/>
          </rPr>
          <t>MANTELLODENCOLAJE:  P</t>
        </r>
        <r>
          <rPr>
            <sz val="9"/>
            <color indexed="81"/>
            <rFont val="Tahoma"/>
            <family val="2"/>
          </rPr>
          <t xml:space="preserve">ERMISO CALAMIDAD DOMESTICA
</t>
        </r>
      </text>
    </comment>
    <comment ref="BI25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Q26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AC26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AM26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BG26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BI26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C27" authorId="1" shapeId="0">
      <text>
        <r>
          <rPr>
            <b/>
            <sz val="9"/>
            <color indexed="81"/>
            <rFont val="Tahoma"/>
            <family val="2"/>
          </rPr>
          <t>wd7:</t>
        </r>
        <r>
          <rPr>
            <sz val="9"/>
            <color indexed="81"/>
            <rFont val="Tahoma"/>
            <family val="2"/>
          </rPr>
          <t xml:space="preserve">
ALIAS CHORRON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BK27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LIMPIEZA DE AREA DE ENCOLAJE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U28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AM28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BG28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BI28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AC29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AW29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BG29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BI29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0" authorId="0" shapeId="0">
      <text>
        <r>
          <rPr>
            <b/>
            <sz val="9"/>
            <color indexed="81"/>
            <rFont val="Tahoma"/>
            <family val="2"/>
          </rPr>
          <t xml:space="preserve">MANTELLODENCOLAJE :  INGRESO A TRABAJAR 
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BI30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AY31" authorId="0" shapeId="0">
      <text>
        <r>
          <rPr>
            <b/>
            <sz val="9"/>
            <color indexed="81"/>
            <rFont val="Tahoma"/>
            <family val="2"/>
          </rPr>
          <t xml:space="preserve">MANTELLODENCOLAJE :  INGRESO A TRABAJAR 
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BI31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2" authorId="0" shapeId="0">
      <text>
        <r>
          <rPr>
            <b/>
            <sz val="9"/>
            <color indexed="81"/>
            <rFont val="Tahoma"/>
            <family val="2"/>
          </rPr>
          <t>WALTER: NUEVO</t>
        </r>
      </text>
    </comment>
    <comment ref="S32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AY33" authorId="0" shapeId="0">
      <text>
        <r>
          <rPr>
            <b/>
            <sz val="9"/>
            <color indexed="81"/>
            <rFont val="Tahoma"/>
            <family val="2"/>
          </rPr>
          <t xml:space="preserve">MANTELLODENCOLAJE :  INGRESO A TRABAJAR 
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E34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I34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K34" authorId="0" shapeId="0">
      <text>
        <r>
          <rPr>
            <b/>
            <sz val="9"/>
            <color indexed="81"/>
            <rFont val="Tahoma"/>
            <family val="2"/>
          </rPr>
          <t xml:space="preserve">WALTER: FALTA
</t>
        </r>
      </text>
    </comment>
    <comment ref="O34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Q34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S34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C35" authorId="1" shapeId="0">
      <text>
        <r>
          <rPr>
            <sz val="9"/>
            <color indexed="81"/>
            <rFont val="Tahoma"/>
            <family val="2"/>
          </rPr>
          <t>PARLANTE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G35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K35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Q35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S35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U35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AE35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AS35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U35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E36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G36" authorId="0" shapeId="0">
      <text>
        <r>
          <rPr>
            <b/>
            <sz val="9"/>
            <color indexed="81"/>
            <rFont val="Tahoma"/>
            <family val="2"/>
          </rPr>
          <t xml:space="preserve">WALTER: SALIERON A LAS 18:00
</t>
        </r>
      </text>
    </comment>
    <comment ref="K36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S36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AI36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AO36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Y36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BI36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K37" authorId="0" shapeId="0">
      <text>
        <r>
          <rPr>
            <b/>
            <sz val="9"/>
            <color indexed="81"/>
            <rFont val="Tahoma"/>
            <family val="2"/>
          </rPr>
          <t xml:space="preserve">WALTER: TRABAJO MEDIO DIA
</t>
        </r>
      </text>
    </comment>
    <comment ref="Q37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AC37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I37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AS37" authorId="0" shapeId="0">
      <text>
        <r>
          <rPr>
            <b/>
            <sz val="9"/>
            <color indexed="81"/>
            <rFont val="Tahoma"/>
            <family val="2"/>
          </rPr>
          <t>WALTER: FALTA, 
RETIRADO 14 DE JUNIO</t>
        </r>
      </text>
    </comment>
    <comment ref="AS38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W38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AY38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BI38" authorId="0" shapeId="0">
      <text>
        <r>
          <rPr>
            <b/>
            <sz val="9"/>
            <color indexed="81"/>
            <rFont val="Tahoma"/>
            <family val="2"/>
          </rPr>
          <t>WALTER: CEPILLO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K39" authorId="0" shapeId="0">
      <text>
        <r>
          <rPr>
            <b/>
            <sz val="9"/>
            <color indexed="81"/>
            <rFont val="Tahoma"/>
            <family val="2"/>
          </rPr>
          <t xml:space="preserve">WALTER: FALTA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AE39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AO39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U39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Y39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BI39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0" authorId="0" shapeId="0">
      <text>
        <r>
          <rPr>
            <b/>
            <sz val="9"/>
            <color indexed="81"/>
            <rFont val="Tahoma"/>
            <family val="2"/>
          </rPr>
          <t xml:space="preserve">WALTER: FALTA
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WALTER: TRABAJO MEDIO DIA
</t>
        </r>
      </text>
    </comment>
    <comment ref="Q40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U40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AC40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E40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G40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I40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M40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O40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S40" authorId="0" shapeId="0">
      <text>
        <r>
          <rPr>
            <b/>
            <sz val="9"/>
            <color indexed="81"/>
            <rFont val="Tahoma"/>
            <family val="2"/>
          </rPr>
          <t>WALTER: FALTA, 
RETIRADO 14 DE JUNIO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K41" authorId="0" shapeId="0">
      <text>
        <r>
          <rPr>
            <b/>
            <sz val="9"/>
            <color indexed="81"/>
            <rFont val="Tahoma"/>
            <family val="2"/>
          </rPr>
          <t xml:space="preserve">WALTER: FALTA
</t>
        </r>
      </text>
    </comment>
    <comment ref="O41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AS41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BG41" authorId="0" shapeId="0">
      <text>
        <r>
          <rPr>
            <b/>
            <sz val="9"/>
            <color indexed="81"/>
            <rFont val="Tahoma"/>
            <family val="2"/>
          </rPr>
          <t>WALTER: FALTA</t>
        </r>
      </text>
    </comment>
    <comment ref="E42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K42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O42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</rPr>
          <t xml:space="preserve">WALTER: FALTA, ENFERMO
</t>
        </r>
      </text>
    </comment>
    <comment ref="U42" authorId="0" shapeId="0">
      <text>
        <r>
          <rPr>
            <b/>
            <sz val="9"/>
            <color indexed="81"/>
            <rFont val="Tahoma"/>
            <family val="2"/>
          </rPr>
          <t xml:space="preserve">WALTER: FALTA, ENFERMO
</t>
        </r>
      </text>
    </comment>
    <comment ref="AE42" authorId="0" shapeId="0">
      <text>
        <r>
          <rPr>
            <b/>
            <sz val="9"/>
            <color indexed="81"/>
            <rFont val="Tahoma"/>
            <family val="2"/>
          </rPr>
          <t>WALTER: PALERO</t>
        </r>
      </text>
    </comment>
    <comment ref="AS42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U42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AW42" authorId="0" shapeId="0">
      <text>
        <r>
          <rPr>
            <b/>
            <sz val="9"/>
            <color indexed="81"/>
            <rFont val="Tahoma"/>
            <family val="2"/>
          </rPr>
          <t xml:space="preserve">WALTER: FALTA, 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WALTER: SE QUEDARON HASTA LAS 22:00</t>
        </r>
      </text>
    </comment>
    <comment ref="K43" authorId="0" shapeId="0">
      <text>
        <r>
          <rPr>
            <b/>
            <sz val="9"/>
            <color indexed="81"/>
            <rFont val="Tahoma"/>
            <family val="2"/>
          </rPr>
          <t xml:space="preserve">WALTER RECUPERANDO BLOQUES DE 16: 00 A 21:00
</t>
        </r>
      </text>
    </comment>
    <comment ref="Q43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AW43" authorId="0" shapeId="0">
      <text>
        <r>
          <rPr>
            <b/>
            <sz val="9"/>
            <color indexed="81"/>
            <rFont val="Tahoma"/>
            <family val="2"/>
          </rPr>
          <t>WALTER: MOTO SIERRA</t>
        </r>
      </text>
    </comment>
    <comment ref="BG43" authorId="0" shapeId="0">
      <text>
        <r>
          <rPr>
            <b/>
            <sz val="9"/>
            <color indexed="81"/>
            <rFont val="Tahoma"/>
            <family val="2"/>
          </rPr>
          <t xml:space="preserve">WALTER: PRESENTADOR
</t>
        </r>
      </text>
    </comment>
    <comment ref="BI43" authorId="0" shapeId="0">
      <text>
        <r>
          <rPr>
            <b/>
            <sz val="9"/>
            <color indexed="81"/>
            <rFont val="Tahoma"/>
            <family val="2"/>
          </rPr>
          <t xml:space="preserve">MANTELLODENCOLAJE: TURNO HASTA LA 12 PM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44" authorId="2" shapeId="0">
      <text>
        <r>
          <rPr>
            <b/>
            <sz val="9"/>
            <color indexed="81"/>
            <rFont val="Tahoma"/>
            <family val="2"/>
          </rPr>
          <t xml:space="preserve">WALTER:
LAS PERSONAS QUE TIENEN MEDIOS TURNOS O TURNO SE PONE EN CADA CASILLA YA NO SE QUEDAN GRUPOS COMPLETOS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Mantellod</author>
  </authors>
  <commentList>
    <comment ref="BL22" authorId="0" shapeId="0">
      <text>
        <r>
          <rPr>
            <b/>
            <sz val="9"/>
            <color indexed="81"/>
            <rFont val="Tahoma"/>
            <family val="2"/>
          </rPr>
          <t>Mantellod:</t>
        </r>
        <r>
          <rPr>
            <sz val="9"/>
            <color indexed="81"/>
            <rFont val="Tahoma"/>
            <family val="2"/>
          </rPr>
          <t xml:space="preserve">
DIA SABADO 26</t>
        </r>
      </text>
    </comment>
  </commentList>
</comments>
</file>

<file path=xl/sharedStrings.xml><?xml version="1.0" encoding="utf-8"?>
<sst xmlns="http://schemas.openxmlformats.org/spreadsheetml/2006/main" count="2893" uniqueCount="872">
  <si>
    <t>ROL UNIFICADO MES NOVIEMBRE 2020</t>
  </si>
  <si>
    <t>1° QUINCENA</t>
  </si>
  <si>
    <t>2° QUINCENA</t>
  </si>
  <si>
    <t>ÀREA DE PENDULA</t>
  </si>
  <si>
    <t>SUELDO BASICO</t>
  </si>
  <si>
    <t>SUELDO EXTRA</t>
  </si>
  <si>
    <t>DIAS SEG/SUELDO</t>
  </si>
  <si>
    <t>V. TRABAJOS FIJOS</t>
  </si>
  <si>
    <t>V. TRABAJOS EXTRAS</t>
  </si>
  <si>
    <t>PERMISO IESS</t>
  </si>
  <si>
    <t>VACACIONES</t>
  </si>
  <si>
    <t>TOTAL BRUTO</t>
  </si>
  <si>
    <t>DSCTO 9,45% IESS</t>
  </si>
  <si>
    <t>SUB-TOTAL SUELDO</t>
  </si>
  <si>
    <t>DECIMO 3RO</t>
  </si>
  <si>
    <t>DECIMO 4TO</t>
  </si>
  <si>
    <t>TOTAL BENEFICIOS</t>
  </si>
  <si>
    <t>FONDO RESERVA</t>
  </si>
  <si>
    <t>OTROS VALORES</t>
  </si>
  <si>
    <t>BONIFICACION</t>
  </si>
  <si>
    <t>TOTAL INGRESOS</t>
  </si>
  <si>
    <t>OTROS DSCTOS</t>
  </si>
  <si>
    <t>MULTA</t>
  </si>
  <si>
    <t>ANTICIPOS</t>
  </si>
  <si>
    <t>ALIMENTACION</t>
  </si>
  <si>
    <t>PRESTAMO QUIROGRA</t>
  </si>
  <si>
    <t>TOTAL EGRESOS</t>
  </si>
  <si>
    <t>VALOR NETO DEL MES</t>
  </si>
  <si>
    <t>ABONO1</t>
  </si>
  <si>
    <t>ABONO2</t>
  </si>
  <si>
    <t>SALDO A RECIBIR</t>
  </si>
  <si>
    <t>GARCIA VERA EGDO BRYAN</t>
  </si>
  <si>
    <t>CHANALATA TONATO CESAR AUGUSTO</t>
  </si>
  <si>
    <t>CEVALLOS RODRIGUEZ JOSE VINICIO</t>
  </si>
  <si>
    <t>FERNANDEZ RISCO ALEX BLADIMIR</t>
  </si>
  <si>
    <t>HERRERA PEÑARRIETA ARIEL GABRIEL</t>
  </si>
  <si>
    <t>LOOR TONATO JESUS MANUEL</t>
  </si>
  <si>
    <t>CEVALLOS RODRIGUEZ EVER LEONEL</t>
  </si>
  <si>
    <t>SOLORZANO VELEZ LUIS ANDRES</t>
  </si>
  <si>
    <t>MENDOZA ROSADO ANTENOR ALBERTO</t>
  </si>
  <si>
    <t>ACOSTA ZAMBRANO EFFREN EULICE</t>
  </si>
  <si>
    <t>LUDEÑA MORALES SANTOS NARCISO</t>
  </si>
  <si>
    <t>ZAMBRANO MERO PABLO GONZALO</t>
  </si>
  <si>
    <t>YANEZ CATOTA EDISSON PATRICIO</t>
  </si>
  <si>
    <t>CRUZATTE MUÑOZ PEDRO ANTONIO</t>
  </si>
  <si>
    <t>JATIVA REINA LUIS ENRIQUE</t>
  </si>
  <si>
    <t>BAQUE MERO ROBERTH DANIEL</t>
  </si>
  <si>
    <t>BRAVO SOLORZANO OSCAR WILMER</t>
  </si>
  <si>
    <t>VERA SALDARRIAGA  EDISON ADOLFO</t>
  </si>
  <si>
    <t>RISCO ZAMBRANO JEFFERSON CECILIO</t>
  </si>
  <si>
    <t>BRAVO RISCO WILMER EVIDIO</t>
  </si>
  <si>
    <t>SANCHEZ TES JUAN CARLOS</t>
  </si>
  <si>
    <t>ALCIVAR CEDEÑO CALIXTO PRIMITIVO</t>
  </si>
  <si>
    <t>ÀREA DE SIERRA DE MESA O CANTEADORA</t>
  </si>
  <si>
    <t>OSTAIZA SOLORZANO UBALDO JAIR</t>
  </si>
  <si>
    <t>VIVAS MACIAS LISBETH ALEXANDRA</t>
  </si>
  <si>
    <t>LOZANO ZAMBRANO JOHN PATRICIO</t>
  </si>
  <si>
    <t>MECIAS MUÑOZ JEAN CARLOS</t>
  </si>
  <si>
    <t>FARIAS DELGADO JESSENIA JOHANNA</t>
  </si>
  <si>
    <t>MENDOZA MOREIRA FREMY JAVIER</t>
  </si>
  <si>
    <t>MACIAS CRUZATTE RAMONA CONCEPCION</t>
  </si>
  <si>
    <t>ZAMBRANO REINA NESTOR OCTAVIO</t>
  </si>
  <si>
    <t>ALVARADO MACIAS KAREN ELIZABETH</t>
  </si>
  <si>
    <t>ZAMBRANO CHAVEZ ANTHONY YOEL</t>
  </si>
  <si>
    <t>ZAMBRANO VARGAS YORDI EMEREGILDO</t>
  </si>
  <si>
    <t>PILOSO MANZABA YORGEN JAVIER</t>
  </si>
  <si>
    <t>MALA CEDEÑO MANUEL AUGUSTO</t>
  </si>
  <si>
    <t>NAVARRETE ALCIVAR BYRON ANDRES</t>
  </si>
  <si>
    <t>RAMOS CACIQUE MARIA BEATRIZ</t>
  </si>
  <si>
    <t>LOOR NEVAREZ JONATHAN STALIN</t>
  </si>
  <si>
    <t>MARQUINEZ CHICA MARIA JOSE</t>
  </si>
  <si>
    <t>DELGADO LOOR GENESSIS GABRIELA</t>
  </si>
  <si>
    <t>ZAMBRANO ALCIVAR JORGE LUIS</t>
  </si>
  <si>
    <t>CEDEÑO GARCIA CARLOS ANDRES</t>
  </si>
  <si>
    <t>ZAMBRANO QUIJIJE LUCIO GASTON</t>
  </si>
  <si>
    <t>CEDEÑO MUÑOZ HEINER JESUS</t>
  </si>
  <si>
    <t>BARRE MARQUEZ JORGE LUIS</t>
  </si>
  <si>
    <t>ESMERALDA GANCHOZO ANGEL MAURICIO</t>
  </si>
  <si>
    <t>ROSADO ZAMBRANO EDWIN LEONARDO</t>
  </si>
  <si>
    <t>NAPA CEVALLOS FRIXON ARIEL</t>
  </si>
  <si>
    <t>MURILLO POLO DARWIN STEVEN</t>
  </si>
  <si>
    <t>ANGULO CHESME GINGER ANAHIS</t>
  </si>
  <si>
    <t>CHICA VELEZ MIGUEL ANGEL</t>
  </si>
  <si>
    <t>SOLORZANO INTRIAGO JUAN CARLOS</t>
  </si>
  <si>
    <t>BASURTO MACAY LUIS HERNAN</t>
  </si>
  <si>
    <t>BRAVO LUCAS YANINE MARIUXI</t>
  </si>
  <si>
    <t>ANDRADE ZAMBRANO JESUS DANIEL</t>
  </si>
  <si>
    <t>VARELA ANDRADE JIMY FABRICIO</t>
  </si>
  <si>
    <t>MURILLO VARGAS MARITZA LILIANA</t>
  </si>
  <si>
    <t>ZAMBRANO MECIAS JOSE MANUEL</t>
  </si>
  <si>
    <t>BARREIRO VELEZ CRISTHIAN GEOVANNY</t>
  </si>
  <si>
    <t>BASURTO ACOSTA EDISON MANUEL</t>
  </si>
  <si>
    <t>ZAMBRANO ROSADO SOFIA LUCIOLA</t>
  </si>
  <si>
    <t>ESTRADA FIGUEROA MARCO ANIBAL</t>
  </si>
  <si>
    <t>MALA CEDEÑO RAMON ALONSO</t>
  </si>
  <si>
    <t>VIDAL GONGORA JESSICA VERONICA</t>
  </si>
  <si>
    <t>PINCAY MUÑOZ GEMA LISBEL</t>
  </si>
  <si>
    <t>ANDRADE ZAMBRANO LUIS ALFREDO</t>
  </si>
  <si>
    <t>CORNEJO QUIROZ HOLGER ALADINO</t>
  </si>
  <si>
    <t>BRAVO LUCAS RODDY LENIN</t>
  </si>
  <si>
    <t>VALENCIA ORTEGA JORGE LUIS</t>
  </si>
  <si>
    <t>ARCENTALES MOREIRA NARCISA CECIBEL</t>
  </si>
  <si>
    <t>CEDEÑO BASURTO ROSARIO BEATRIZ</t>
  </si>
  <si>
    <t>CADENA MONTES MARIA AUXILIADORA</t>
  </si>
  <si>
    <t>CEVALLOS REYNA TITO GUALBERTO</t>
  </si>
  <si>
    <t>SOLORZANO MARCILLO TITO JAVIER</t>
  </si>
  <si>
    <t>MUÑOZ ARCENTALES YULEXI GISSELA</t>
  </si>
  <si>
    <t>ALCIVAR MACIAS DIEGO ARMANDO</t>
  </si>
  <si>
    <t>CHICA VERA STEVEN MANUEL</t>
  </si>
  <si>
    <t>BAZURTO PARRAGA JUBER JAIR</t>
  </si>
  <si>
    <t>ZAMBRANO LOOR SERGIO GEOVANNY</t>
  </si>
  <si>
    <t>MECIAS PONCE MILENA ABIGAIL</t>
  </si>
  <si>
    <t>ZAVALA CATAGUA RAMON ORLANDO</t>
  </si>
  <si>
    <t>MENENDEZ BASURTO JOFFRE RAMON</t>
  </si>
  <si>
    <t>ALVARADO CRUZ JOEL EMILIANO</t>
  </si>
  <si>
    <t>CONFORME CONFORME JIMMY ALBERTO</t>
  </si>
  <si>
    <t>MONCAYO ALCIVAR LUIS FERNANDO</t>
  </si>
  <si>
    <t>CATAGUA RAMOS LUIS ALBERTO</t>
  </si>
  <si>
    <t>LOOR RIVAS JUNIOR JOHAN</t>
  </si>
  <si>
    <t>MANZABA BRAVO LIDER ANTONIO</t>
  </si>
  <si>
    <t>MOREIRA ESMERALDAS CARMEN MARISOL</t>
  </si>
  <si>
    <t>MESA RIVAS MARCO ANTONIO</t>
  </si>
  <si>
    <t>SOLORZANO VITE LEXCINTON HERIBERTO</t>
  </si>
  <si>
    <t>ALCIVAR VALENCIA ELIZABETH ESTEFANIA</t>
  </si>
  <si>
    <t>GAVILANES LOOR LUIS ANTONIO</t>
  </si>
  <si>
    <t>BASURTO MERA YANDRI LEUDALDO</t>
  </si>
  <si>
    <t>SOLORZANO CAMPOS KAREN VIVIANA</t>
  </si>
  <si>
    <t>ZAMBRANO ZAMBRANO WELLINGTON ALEJANDRO</t>
  </si>
  <si>
    <t xml:space="preserve">RONQUILLO CACUANGO NANCY VANESA </t>
  </si>
  <si>
    <t>REVELO LOOR LUIS EDGAR</t>
  </si>
  <si>
    <t>LOOR ZAMBRANO LUIS ANGEL</t>
  </si>
  <si>
    <t>BAQUE CEDEÑO BLADIMIR ARTEMIRES</t>
  </si>
  <si>
    <t>VERA FELIPE JAVIER</t>
  </si>
  <si>
    <t>PACHECO MONTOYA JENIFFER KATHERINE</t>
  </si>
  <si>
    <t>CEDEÑO CHILA JEAN CARLOS</t>
  </si>
  <si>
    <t>SANTOS NAVARRETE LUIS GUSTAVO</t>
  </si>
  <si>
    <t>RUIZ MAYOR ENRIQUE GABRIEL</t>
  </si>
  <si>
    <t>ÀREA DE RESANEO - PENDULA</t>
  </si>
  <si>
    <t xml:space="preserve">VILLALVA MAZAMBA RAMON OMAR  </t>
  </si>
  <si>
    <t>CEDEÑO COOX CARLOS ALBERTO</t>
  </si>
  <si>
    <t>IBARRA LEONES DAMNY JOEL</t>
  </si>
  <si>
    <t>ZAMBRANO ACOSTA LOURDES AUXILIADORA</t>
  </si>
  <si>
    <t>LOOR BASURTO ARIEL JASMANI</t>
  </si>
  <si>
    <t>SALTOS ZAMBRANO YASMANI FABRICIO</t>
  </si>
  <si>
    <t>FERRIN GARAY JUAN MARCELO</t>
  </si>
  <si>
    <t>CEVALLOS REYNA ROQUE FRANCISCO</t>
  </si>
  <si>
    <t>RODRIGUEZ ZAMBRANO MARIFETH FERNANDA</t>
  </si>
  <si>
    <t>ÀREA DE RESANEO - TUPI</t>
  </si>
  <si>
    <t>PINARGOTE TORALES ROSA ENILDA</t>
  </si>
  <si>
    <t>NAPA MARTINEZ LUIS MIGUEL</t>
  </si>
  <si>
    <t>GARCIA PALMA STALIN JACINTO</t>
  </si>
  <si>
    <t>PROAÑO PARRAGA FRANCISCO ALEJANDRO</t>
  </si>
  <si>
    <t>ZAMBRANO VARGAS KELVIN ARIEL</t>
  </si>
  <si>
    <t>VALUARTE PONCE JENNY ESPERANZA</t>
  </si>
  <si>
    <t>FARIAS CEDEÑO JIMMY XAVIER</t>
  </si>
  <si>
    <t>FARIAS DELGADO JACQUELINE ALEXANDRA</t>
  </si>
  <si>
    <t>ZAMBRANO INTRIAGO ANGEL AGUSTIN</t>
  </si>
  <si>
    <t>GILER MALAGA EVER ROBERTO</t>
  </si>
  <si>
    <t>PASCAL ROMAN LUIS MIGUEL</t>
  </si>
  <si>
    <t>CHILA QUIROZ MAIRA GISSELA</t>
  </si>
  <si>
    <t>PARRAGA ZAMBRANO JESSICA YARITZA</t>
  </si>
  <si>
    <t>MACIAS LUCAS ANGELA MARIA</t>
  </si>
  <si>
    <t>ÀREA DE CEPILLO</t>
  </si>
  <si>
    <t>ANCHUNDIA TUMBACO VICTOR JAVIER</t>
  </si>
  <si>
    <t>ALCIVAR VALENCIA ELVIS JAIRO</t>
  </si>
  <si>
    <t>ULLOA VIVANCO MOISES ANDRES</t>
  </si>
  <si>
    <t>GARCIA CEVALLOS CRISTHIAN ARNULFO</t>
  </si>
  <si>
    <t>ANDRADE ORTIZ DARIO JAVIER</t>
  </si>
  <si>
    <t>RIVAS RIVAS DIOCLES ANTONIO</t>
  </si>
  <si>
    <t>SOLORZANO CAMPOS CRISTHIAN ADRIAN</t>
  </si>
  <si>
    <t>MENDOZA OLMEDO LIDER ABELITO</t>
  </si>
  <si>
    <t>PINCAY MUÑOZ ANDDY DISNEY</t>
  </si>
  <si>
    <t>GUADALUPE LIVICULA DIEGO ARMANDO</t>
  </si>
  <si>
    <t>MARTINEZ  MORALES BORIS HERNAN</t>
  </si>
  <si>
    <t>MARIN SALAZAR EDUARDO LUIS</t>
  </si>
  <si>
    <t>COBEÑA BARRE ELENA ELIZABETH</t>
  </si>
  <si>
    <t>CHILA QUIROZ BYRON JAVIER</t>
  </si>
  <si>
    <t>LOOR SALAZAR DIEGO DIONISIO</t>
  </si>
  <si>
    <t>VELEZ MARCILLO BAYRON FRANCISCO</t>
  </si>
  <si>
    <t>CEDEÑO ALCIVAR ANGEL FABIAN</t>
  </si>
  <si>
    <t>MALA MALA NANCY DALIA</t>
  </si>
  <si>
    <t>SOLORZANO ALCIVAR LUIS ANDRES</t>
  </si>
  <si>
    <t>ROMERO CABAL DIOMEDES LEONARDO</t>
  </si>
  <si>
    <t>MACIAS FARIAS JEFFERSON GEOVANNY</t>
  </si>
  <si>
    <t>CEDEÑO CHAVARRIA JUNIOR FERNANDO</t>
  </si>
  <si>
    <t>GARZON GARZON DARWIN JACINTO</t>
  </si>
  <si>
    <t>CADENA MONTES COLON GILBERTO</t>
  </si>
  <si>
    <t>SALTOS VITE CALIXTO OLMEDO</t>
  </si>
  <si>
    <t>GONZALEZ BEDOYA MIGUEL ANGEL</t>
  </si>
  <si>
    <t>ESPINOZA ORDOÑEZ JOSE RAMON</t>
  </si>
  <si>
    <t>SALTOS MOREIRA SUSANA ELIZABETH</t>
  </si>
  <si>
    <t>OCHOA PARRALES JEFFERSON DARIO</t>
  </si>
  <si>
    <t>MERO ESPINOZA MAXIMO ELARIO</t>
  </si>
  <si>
    <t>CHAVARRIA ZAMBRANO CARLOS JAVIER</t>
  </si>
  <si>
    <t>PINARGOTE CANCHINGRE LUIS MIGUEL</t>
  </si>
  <si>
    <t>VELEZ SALVATIERRA WALTER RAUL</t>
  </si>
  <si>
    <t>LOOR MOREIRA ORLEY ANTONIO</t>
  </si>
  <si>
    <t xml:space="preserve">GARCIA ZAMBRANO HUGO RAMON </t>
  </si>
  <si>
    <t>LOOR  CHAVARRIA PEDRO ANTHONIO</t>
  </si>
  <si>
    <t>MOREIRA BRAVO JOSE PEDRO</t>
  </si>
  <si>
    <t>LOOR GARZON JONATHAN ARIEL</t>
  </si>
  <si>
    <t>ZAMBRANO DELGADO SANDRO LEONEL</t>
  </si>
  <si>
    <t>GOMEZ MONTES JONATHAN ADRIAN</t>
  </si>
  <si>
    <t>AREA ALZADORES</t>
  </si>
  <si>
    <t>MENENDEZ BASURTO JOSE LUIS</t>
  </si>
  <si>
    <t>SALTOS MOREIRA SIGIFREDO SALVADOR</t>
  </si>
  <si>
    <t>FRANCO APUPALO PEDRO IGNACIO</t>
  </si>
  <si>
    <t>CORNEJO QUIROZ NERY HERIBERTO</t>
  </si>
  <si>
    <t>CRUZATTE MACIAS ALEXY ANTONIO</t>
  </si>
  <si>
    <t>VELEZ MENDOZA LUIS ANTONIO</t>
  </si>
  <si>
    <t>VELEZ PARRAGA JONATHAN JAIR</t>
  </si>
  <si>
    <t>HERRERA CORNEJO YOEL RAMON</t>
  </si>
  <si>
    <t>VERA BRAVO LUIS GABRIEL</t>
  </si>
  <si>
    <t>SOLORZANO CAMPOS LUIS ENRIQUE</t>
  </si>
  <si>
    <t>GARCIA SOLORZANO JORGE LUIS</t>
  </si>
  <si>
    <t>CORREA VERA JOSE REINALDO</t>
  </si>
  <si>
    <t>CEDEÑO ANDRADE PEDRO JOEL</t>
  </si>
  <si>
    <t xml:space="preserve">ÀREA DE ENCOLAJE </t>
  </si>
  <si>
    <t>TOTALES ROL</t>
  </si>
  <si>
    <t>ASERRIO AL DIARIO</t>
  </si>
  <si>
    <t>MADERA VERDE</t>
  </si>
  <si>
    <t>MENDOZA MOREIRA EDDER ALVARO</t>
  </si>
  <si>
    <t>MUÑOZ SABANDO JORGE LEOPOLDO</t>
  </si>
  <si>
    <t>PITA CEDEÑO OLIVER ANTONIO</t>
  </si>
  <si>
    <t>ACOSTA ZAMBRANO RUDY ALFREDO</t>
  </si>
  <si>
    <t>ZAMBRANO SOLORZANO RUDY JOHAN</t>
  </si>
  <si>
    <t>SANCHEZ MARQUEZ JOSE ARMANDO</t>
  </si>
  <si>
    <t>GARCIA BRAVO PABLO ANTONIO</t>
  </si>
  <si>
    <t>SOLEDISPA VELEZ DELFIN ALEXANDER</t>
  </si>
  <si>
    <t>NAVARRETE SOLORZANO GALO JOSE</t>
  </si>
  <si>
    <t>ROMERO ROMERO BRYAN FERNANDO</t>
  </si>
  <si>
    <t>CEVALLOS ZAMBRANO ANTONIO GEOVANNY</t>
  </si>
  <si>
    <t>QUIROZ TOCAIN ANDERSON DARIO</t>
  </si>
  <si>
    <t>MOLINA LOOR WILTER VANNI</t>
  </si>
  <si>
    <t>RAMIREZ VELIZ ANDY JOSE</t>
  </si>
  <si>
    <t>DELGADO ROBLES IDER LENIN</t>
  </si>
  <si>
    <t>CAGUA GARCIA ALBERTO GELACIO</t>
  </si>
  <si>
    <t>BRIONES HERRERA EDWIN EDUARDO</t>
  </si>
  <si>
    <t>BARRETO ZAMBRANO JUAN FRANCISCO</t>
  </si>
  <si>
    <t>CALDERISTAS</t>
  </si>
  <si>
    <t>CEVALLOS ROJAS LUIS ALFREDO</t>
  </si>
  <si>
    <t>AGUILAR MURILLO JOSE GERMAN</t>
  </si>
  <si>
    <t>TOTALES GENERALES</t>
  </si>
  <si>
    <t>SUBTOTAL GENERAL</t>
  </si>
  <si>
    <t>SUBTOTAL</t>
  </si>
  <si>
    <t>LIQUIDACION DE EXTRAS ROLES</t>
  </si>
  <si>
    <t>IVA</t>
  </si>
  <si>
    <t>TOTAL</t>
  </si>
  <si>
    <t>IVA 100%</t>
  </si>
  <si>
    <t>V. PAGADO</t>
  </si>
  <si>
    <t>NOMBRES</t>
  </si>
  <si>
    <t>CEDULA</t>
  </si>
  <si>
    <t># RET</t>
  </si>
  <si>
    <t># L/C</t>
  </si>
  <si>
    <t>100% IVA</t>
  </si>
  <si>
    <t>Nº</t>
  </si>
  <si>
    <t>TOTAL BFT</t>
  </si>
  <si>
    <t>TOTAL A PAGAR</t>
  </si>
  <si>
    <t>$</t>
  </si>
  <si>
    <t>VERA ZAMBRANO JHON HENRY</t>
  </si>
  <si>
    <t>PALMA IBARRA RAFAEL IVAN</t>
  </si>
  <si>
    <t>RAMIREZ PILOSO CRISTHIAN BENITO</t>
  </si>
  <si>
    <t>MERA LUCAS IVAN ANTONIO</t>
  </si>
  <si>
    <t>CUENCA VELEZ KEVIN JOSUE</t>
  </si>
  <si>
    <t>CHAVARRIA MUÑOZ ANA ELIZABETH</t>
  </si>
  <si>
    <t>ZAMBRANO VEINTIMILLA  MICHAEL JOSE</t>
  </si>
  <si>
    <t>PINARGOTE CANCHINGRE CARLOS ISMAEL</t>
  </si>
  <si>
    <t>ZAMBRANO ZAMBRANO MELINGTON ADRIAN</t>
  </si>
  <si>
    <t xml:space="preserve">LUCAS REYNA DIEGO FERNANDO </t>
  </si>
  <si>
    <t>PUCHA ALCIVAR MILTON DAVID</t>
  </si>
  <si>
    <t>RETIRADO</t>
  </si>
  <si>
    <t>SECRETARIA, SUPERVISORES MECANICOS Y LIMPIEZA</t>
  </si>
  <si>
    <t>AREA VIVERO</t>
  </si>
  <si>
    <t>QUINCENA 1</t>
  </si>
  <si>
    <t>QUINCENA 2</t>
  </si>
  <si>
    <t>DIAS TRABAJADOS</t>
  </si>
  <si>
    <t>PERMISO</t>
  </si>
  <si>
    <t>FALTA</t>
  </si>
  <si>
    <t>ANTICIPO</t>
  </si>
  <si>
    <t>EXTRAS</t>
  </si>
  <si>
    <t>SUELDO</t>
  </si>
  <si>
    <t>OBSERVACION</t>
  </si>
  <si>
    <t>ROBLES PALACIOS WILSON JOSE</t>
  </si>
  <si>
    <t>vivero</t>
  </si>
  <si>
    <t>VEGA ALVAREZ PEDRO JACINTO</t>
  </si>
  <si>
    <t>RUIZ ZAMORA MAYRA ALEJANDRA</t>
  </si>
  <si>
    <t>SALDARRIAGA SOLORZANO ALEJANDRA LISBETH</t>
  </si>
  <si>
    <t>TOTAL APAGAR QUINCENA</t>
  </si>
  <si>
    <t>NOMINA DEL PERSONAL AL DIARIO VIVERO "MANTELLOD" S.A.</t>
  </si>
  <si>
    <t>BASURTO VELIS KEVIN ANTONIO</t>
  </si>
  <si>
    <t>ESPINOZA ARAMBULO CRISTOBAL JESUS</t>
  </si>
  <si>
    <t>DEL 26 DE ABRIL AL 25 DE MAYO DEL 2021</t>
  </si>
  <si>
    <t>APELLIDOS Y NOMBRES</t>
  </si>
  <si>
    <t>TALLER</t>
  </si>
  <si>
    <t>MANTELLOD S.A.</t>
  </si>
  <si>
    <t>ÁREA : ENCOLAJE</t>
  </si>
  <si>
    <t>PRODUCCION ENCOLAJE</t>
  </si>
  <si>
    <t>FALTAS 1ERA QUINCENA</t>
  </si>
  <si>
    <t>FALTAS 2DA QUINCENA</t>
  </si>
  <si>
    <t>N.-</t>
  </si>
  <si>
    <t>GRUPO</t>
  </si>
  <si>
    <t>TOTAL 1RA QUINCENA</t>
  </si>
  <si>
    <t>TOTAL 2DA QUINCENA</t>
  </si>
  <si>
    <t>TOTAL MES</t>
  </si>
  <si>
    <t>TOTAL FALTAS</t>
  </si>
  <si>
    <t>BFT</t>
  </si>
  <si>
    <t>AGUIRRE MEDIAVILLA JAIME SANTIAGO</t>
  </si>
  <si>
    <t xml:space="preserve">ALMEIDA FARIAS JIPSON GREGORIO </t>
  </si>
  <si>
    <t>R</t>
  </si>
  <si>
    <t>G1</t>
  </si>
  <si>
    <t xml:space="preserve">BERMEO NAPA MAURO ANTONIO </t>
  </si>
  <si>
    <t>G4</t>
  </si>
  <si>
    <t xml:space="preserve">CHAVEZ SOL0RZANO FREDDY ANTONIO </t>
  </si>
  <si>
    <t xml:space="preserve">GARCIA LOZANO ERICK YOEL </t>
  </si>
  <si>
    <t>HEREDIA MUÑOZ JASMANY JESUS</t>
  </si>
  <si>
    <t>G3</t>
  </si>
  <si>
    <t>HERRERA DIAZ JOSE LUIS</t>
  </si>
  <si>
    <t xml:space="preserve">LOOR CELORIO RAMON ANDRES </t>
  </si>
  <si>
    <t>LOOR MARCILLO PEDRO PABLO</t>
  </si>
  <si>
    <t>LOZA LOPEZ HENRY ANTONIO</t>
  </si>
  <si>
    <t>MACIAS ZAMBRANO CARLOS AMADO</t>
  </si>
  <si>
    <t xml:space="preserve">MACIAS ZAMBRANO JEFERSSON STALIN </t>
  </si>
  <si>
    <t xml:space="preserve">MERA LUCAS JHONNY FABIAN </t>
  </si>
  <si>
    <t>MOREIRA ESPINOZA LUIS GUSTAVO</t>
  </si>
  <si>
    <t xml:space="preserve">MOREIRA MACIAS RAMON LIZARDO </t>
  </si>
  <si>
    <t>PAREDES VASCONEZ CHRISTIAN ALEJANDRO</t>
  </si>
  <si>
    <t xml:space="preserve">PROAÑO LOOR CRISTHIAN JOSE </t>
  </si>
  <si>
    <t xml:space="preserve">RODRIGUEZ SALDARRIAGA FRANCISCO ARMANDO </t>
  </si>
  <si>
    <t xml:space="preserve">RONQUILLO CARRERA VICTOR  AURELIO </t>
  </si>
  <si>
    <t>VALDEZ ZAMBRANO CARLOS ALEJANDRO</t>
  </si>
  <si>
    <t xml:space="preserve">VARELA SALTOS ALEXIS JESUS  </t>
  </si>
  <si>
    <t xml:space="preserve">VARGAS MEJIA KEVIN  GABRIEL </t>
  </si>
  <si>
    <t xml:space="preserve">VARGAS VARGAS JEFERSSON GEOVANNY </t>
  </si>
  <si>
    <t>VELEZ ALCIVAR JONATHAN ORLEY</t>
  </si>
  <si>
    <t xml:space="preserve">VERA CEDEÑO MARIO  SANTIAGO </t>
  </si>
  <si>
    <t xml:space="preserve">ZAMBRANO ANGULO VICTOR HUGO </t>
  </si>
  <si>
    <t xml:space="preserve">ZAMBRANO ARTEAGA JACINTO JOEL </t>
  </si>
  <si>
    <t xml:space="preserve">ZAMBRANO LOPEZ SANDRO JAVIER </t>
  </si>
  <si>
    <t xml:space="preserve">ZAMBRANO RODRIGUEZ JORGE DARIO </t>
  </si>
  <si>
    <t>NOMBRE</t>
  </si>
  <si>
    <t>PARCIAL</t>
  </si>
  <si>
    <t>DIARIOS</t>
  </si>
  <si>
    <t>PAGO</t>
  </si>
  <si>
    <t>CRUZATI BRAVO RAFAEL ANTONIO</t>
  </si>
  <si>
    <t>ESTEVES CEVALLOS ANDRES DAVID</t>
  </si>
  <si>
    <t>FARIAS DELGADO JAIRO DANILO</t>
  </si>
  <si>
    <t>GARCIA VARGAS JEFERSON GERONIMO</t>
  </si>
  <si>
    <t>HIDALGO CEVALLOS JERRY JOSE</t>
  </si>
  <si>
    <t>NAVARRO CHAVEZ NERY JUNIOR</t>
  </si>
  <si>
    <t>NAVARRO ZAMBRANO FREDDY JAVIER</t>
  </si>
  <si>
    <t>VILLALVA MAZAMBA GUILLERMO OSWALDO</t>
  </si>
  <si>
    <t>ZAMBRANO KUFFO JEANPIERRE SALVADOR</t>
  </si>
  <si>
    <t>HELMER HENRY ZAMBRANO SOLORZANO</t>
  </si>
  <si>
    <t>ARAUZ MEZA CARLOS LENIN</t>
  </si>
  <si>
    <t>SUARES MENENDEZ JOEL ANTONIO</t>
  </si>
  <si>
    <t>SANCHES GARCIA ABEL SAMUEL</t>
  </si>
  <si>
    <t>CHERME OLIVO FAUSTO RENE</t>
  </si>
  <si>
    <t xml:space="preserve">MOREIRA SOLORZANO WILINTON JACINTO </t>
  </si>
  <si>
    <t>ZAMBRANO QUIJIJE  ANGEL RUBEN</t>
  </si>
  <si>
    <t>SOLORZANO SALA JOFFRE ROLANDO</t>
  </si>
  <si>
    <t>VERA SALAS EDISON NEPTALY</t>
  </si>
  <si>
    <t>CEDEÑO MACIAS GREGORIO VLADIMIR</t>
  </si>
  <si>
    <t>PEÑAFIEL MONTEALVAN JAIRO LEONARDO</t>
  </si>
  <si>
    <t>MARCILLO ANDRADE JEFFERSON SOLORZANO</t>
  </si>
  <si>
    <t>CEVALLOS MOREIRA JORGE</t>
  </si>
  <si>
    <t>ARIAS ZAMBRANO IVAN XAVIER</t>
  </si>
  <si>
    <t>CEDEÑO BONE JUAN LEONARDO</t>
  </si>
  <si>
    <t>FALCONES RODRIGUEZ CARLOS GONZALO</t>
  </si>
  <si>
    <t>GARBOA MEZA JIMMY RODRIGO</t>
  </si>
  <si>
    <t>LOOR LOOR DOLORES ORLEY</t>
  </si>
  <si>
    <t>LUCAS SOLORZANO YENNERI LUBIN</t>
  </si>
  <si>
    <t>NAPA MARTINEZ MARTIN ALBERTO</t>
  </si>
  <si>
    <t>PINARGOTE ALCIVAR JOSE GREGORIO</t>
  </si>
  <si>
    <t>SOLORZANO MARCILLO NIXON EDISON</t>
  </si>
  <si>
    <t>VERA MOREIRA EVER SEBASTIAN</t>
  </si>
  <si>
    <t>ZAMBRANO SOLORZANO JORGE</t>
  </si>
  <si>
    <t>MOREIRA CEDEÑO JAVIER FRANCISCO</t>
  </si>
  <si>
    <t>AGUILAR LOPEZ ANGEL ALFREDO</t>
  </si>
  <si>
    <t>CENTROS DE ACOPIO</t>
  </si>
  <si>
    <t>PERSONAL DE QUINCENA</t>
  </si>
  <si>
    <t>TOTAL EXTRA</t>
  </si>
  <si>
    <t>9,45% (-)</t>
  </si>
  <si>
    <t>RETENCION</t>
  </si>
  <si>
    <t>SUB-TOTAL</t>
  </si>
  <si>
    <t>2,75%  RET</t>
  </si>
  <si>
    <t>NETO DESCTO RET</t>
  </si>
  <si>
    <t>RET 2,75%</t>
  </si>
  <si>
    <t>GILER CHEVEZ MARIA JESSENIA</t>
  </si>
  <si>
    <t>MEDIO DIA DE TRABAJO</t>
  </si>
  <si>
    <t>CHILA CEDEÑO MISAEL</t>
  </si>
  <si>
    <t>VELEZ CANTOS ROGER ANTONIO</t>
  </si>
  <si>
    <t>ROL AREA CALDERO JUNIO - 2021</t>
  </si>
  <si>
    <t>NOMBRES Y APELLIDOS</t>
  </si>
  <si>
    <t>N° JORNADAS</t>
  </si>
  <si>
    <t>VALOR               1° QUINCENA</t>
  </si>
  <si>
    <t>VALOR               2° QUINCENA</t>
  </si>
  <si>
    <t>TOTAL JORNADAS MES</t>
  </si>
  <si>
    <t>retirado</t>
  </si>
  <si>
    <t>NOMBRES DEL PERSONAL  ASERRIO AL DIARIO MADERA VERDE DEL 26 DE MAYO AL 10 DE JUNIO</t>
  </si>
  <si>
    <t>SUSPENDIDO</t>
  </si>
  <si>
    <t>TOTALES 1RA QUINCENA</t>
  </si>
  <si>
    <t>MULTAS</t>
  </si>
  <si>
    <t>MENDOZA LOYOLA ENRIQUE</t>
  </si>
  <si>
    <t>ROBLES VILLALVA EDUARDO ANTONIO</t>
  </si>
  <si>
    <t>VERA ROJAS JONATHAN ARNULFO</t>
  </si>
  <si>
    <t>LAAZ RODRIGUEZ LUIS FERNANDO</t>
  </si>
  <si>
    <t>26 DE MAYO AL 25 DE JUNIO 2021</t>
  </si>
  <si>
    <t>MIERCOLES 26</t>
  </si>
  <si>
    <t>JUEVES 27</t>
  </si>
  <si>
    <t>VIERNES 28</t>
  </si>
  <si>
    <t>SABADO 29</t>
  </si>
  <si>
    <t>DOMINGO 30</t>
  </si>
  <si>
    <t>LUNES 31</t>
  </si>
  <si>
    <t>MARTES 1</t>
  </si>
  <si>
    <t>MIERCOLES 2</t>
  </si>
  <si>
    <t>JUEVES 3</t>
  </si>
  <si>
    <t>VIERNES 4</t>
  </si>
  <si>
    <t>SABADO 5</t>
  </si>
  <si>
    <t>DOMINGO 6</t>
  </si>
  <si>
    <t>LUNES 7</t>
  </si>
  <si>
    <t>MARTES 8</t>
  </si>
  <si>
    <t>MIERCOLES 9</t>
  </si>
  <si>
    <t>JUEVES 10</t>
  </si>
  <si>
    <t>VIERNES 11</t>
  </si>
  <si>
    <t>SABADO 12</t>
  </si>
  <si>
    <t>DOMINGO 13</t>
  </si>
  <si>
    <t>LUNES 14</t>
  </si>
  <si>
    <t>MARTES 15</t>
  </si>
  <si>
    <t>MIERCOLES 16</t>
  </si>
  <si>
    <t>JUEVES 17</t>
  </si>
  <si>
    <t>VIERNES 18</t>
  </si>
  <si>
    <t>SABADO 19</t>
  </si>
  <si>
    <t>DOMINGO 20</t>
  </si>
  <si>
    <t>LUNES 21</t>
  </si>
  <si>
    <t>MARTES 22</t>
  </si>
  <si>
    <t>MIERCOLES 23</t>
  </si>
  <si>
    <t>JUEVES 24</t>
  </si>
  <si>
    <t>VIERNES 25</t>
  </si>
  <si>
    <t>A LIQUIDAR</t>
  </si>
  <si>
    <t xml:space="preserve">   </t>
  </si>
  <si>
    <t>[</t>
  </si>
  <si>
    <t>SD</t>
  </si>
  <si>
    <t>PM</t>
  </si>
  <si>
    <t>SE</t>
  </si>
  <si>
    <t>AP</t>
  </si>
  <si>
    <t>CASTILLO JUNIOR COLON</t>
  </si>
  <si>
    <t>ARAUJO BERMELO JOSE ISRAEL</t>
  </si>
  <si>
    <t>FARIAS MAZAMBA EDGAR JAIR</t>
  </si>
  <si>
    <t>VERA MUÑOZ JULIO CESAR</t>
  </si>
  <si>
    <t>ENCOLADO SEMANA 07 MAYO AL  13 DE JUNIO</t>
  </si>
  <si>
    <t xml:space="preserve">MADERA R9 </t>
  </si>
  <si>
    <t>ENCOLADO SEMANA 14 DE JUNIO AL 20 DE JUNIO</t>
  </si>
  <si>
    <t>ENCOLADO SEMANA 21 DE JUNIO AL 25 DE JUNIO</t>
  </si>
  <si>
    <t>MADERA R9</t>
  </si>
  <si>
    <t>ENCOLADO SEMANA 26 AL 30 DE MAYO</t>
  </si>
  <si>
    <t>ENCOLADO SEMANA 31 MAYO AL 6 DE JUNIO</t>
  </si>
  <si>
    <t>LUNES 07</t>
  </si>
  <si>
    <t xml:space="preserve">ENCOLADOS DE 26 DE MAYO AL </t>
  </si>
  <si>
    <t>MARTES 08</t>
  </si>
  <si>
    <t>MIERCOLES 09</t>
  </si>
  <si>
    <t>JUVES 10</t>
  </si>
  <si>
    <t>JUVES 17</t>
  </si>
  <si>
    <t>JUVES 3</t>
  </si>
  <si>
    <t>DOMIGO 30</t>
  </si>
  <si>
    <t>SABADO 26</t>
  </si>
  <si>
    <t>DOMINGO 27</t>
  </si>
  <si>
    <t>RESUMEN BFT ENCOLADOS 26 MAY- AL 13 DE JUNIO</t>
  </si>
  <si>
    <t>RESUMEN BFT ENCOLADOS 14 JUN- AL 25 DE JUNIO</t>
  </si>
  <si>
    <t>RESUMEN ENCOLADO DEL 26 DE MAYO AL 25 DE JUNIO</t>
  </si>
  <si>
    <t>RESUMEN MADERA R9 26 MAY- AL 13 DE JUNIO</t>
  </si>
  <si>
    <t>RESUMEN MADERA R9 14 JUN- AL 25 DE JUNIO</t>
  </si>
  <si>
    <t>RESUMEN MADERA R9 DEL  26 DE MAYO AL 25 DE JUNIO</t>
  </si>
  <si>
    <t>RESUMEN BFT ENCOLADOS + R9  26 MAY- AL 13 DE JUNIO</t>
  </si>
  <si>
    <t>RESUMEN BFT ENCOLADOS + R9  14 JUN- AL 25 DE JUNIO</t>
  </si>
  <si>
    <t xml:space="preserve">RESUMEN ENCOLADO + R9 DEL 26 DE MAYO AL 25 DE JUNIO </t>
  </si>
  <si>
    <t xml:space="preserve">MERO CEDEÑO EDDY EDUARDO </t>
  </si>
  <si>
    <t xml:space="preserve">VELEZ RAMON </t>
  </si>
  <si>
    <t>DESVINCULADOS</t>
  </si>
  <si>
    <t xml:space="preserve">VEGA ANDRADE RICAUTE LEONEL </t>
  </si>
  <si>
    <t>EVENTUALES RETIRADOS ENCOLAJE</t>
  </si>
  <si>
    <t>HERAS CHAVARRIA ALEJANDRO DAMIAN</t>
  </si>
  <si>
    <t>TOTALES SEGUNDA QUINCENA</t>
  </si>
  <si>
    <t>MENDOZA ROJAS NARCILO ANTONIO</t>
  </si>
  <si>
    <t>VERA ROJAS CARLOS PATRICIO</t>
  </si>
  <si>
    <t>ZAMBRANO ROJAS DELVIN FAVIAN</t>
  </si>
  <si>
    <t>CHAVEZ NAPA JOSE LUIS</t>
  </si>
  <si>
    <t xml:space="preserve">ZAMBRANO GAHON HECTOR JAIRO </t>
  </si>
  <si>
    <t>AREA ASERRIO</t>
  </si>
  <si>
    <t xml:space="preserve">MANTELLOD S.A </t>
  </si>
  <si>
    <t>1RA QUINCENA JUNIO</t>
  </si>
  <si>
    <t>2DA QUINCENA JUNIO</t>
  </si>
  <si>
    <t>MES DE JUNIO</t>
  </si>
  <si>
    <t>PERSONAL DE PENDULA</t>
  </si>
  <si>
    <t>Nº DE GRUPOS</t>
  </si>
  <si>
    <t># CELULAR</t>
  </si>
  <si>
    <t>CORREO</t>
  </si>
  <si>
    <t>MIERCOLES 26-05-2021</t>
  </si>
  <si>
    <t>JUEVES 27-05-2021</t>
  </si>
  <si>
    <t>VIERNES 28-05-2021</t>
  </si>
  <si>
    <t>SABADO 29-05-2021</t>
  </si>
  <si>
    <t>LUNES 31-05-2021</t>
  </si>
  <si>
    <t>MARTES 01-06-2021</t>
  </si>
  <si>
    <t>MIERCOLES 02-06-2021</t>
  </si>
  <si>
    <t>JUEVES 03-06-2021</t>
  </si>
  <si>
    <t>VIERNES 04-06-2021</t>
  </si>
  <si>
    <t>SABADO 05-06-2021</t>
  </si>
  <si>
    <t>LUNES 07-05-2021</t>
  </si>
  <si>
    <t>MARTES 08-06-2021</t>
  </si>
  <si>
    <t>MIERCOLES 09-06-2021</t>
  </si>
  <si>
    <t>JUEVES 10-06-2021</t>
  </si>
  <si>
    <t>TOTAL BFT QUINCENA</t>
  </si>
  <si>
    <t>$ POR AVANCE</t>
  </si>
  <si>
    <t>$ AL DIARIO</t>
  </si>
  <si>
    <t>VALOR TOTAL QUINCENA</t>
  </si>
  <si>
    <t>VIERNES 11-06-2021</t>
  </si>
  <si>
    <t>SABADO 12-06-2021</t>
  </si>
  <si>
    <t>LUNES 14-06-2021</t>
  </si>
  <si>
    <t>MARTES 15-06-2021</t>
  </si>
  <si>
    <t>MIERCOLES 16-06-2021</t>
  </si>
  <si>
    <t>JUEVES 17-06-2021</t>
  </si>
  <si>
    <t>VIERNES 18-06-2021</t>
  </si>
  <si>
    <t>SABADO 19-06-2021</t>
  </si>
  <si>
    <t>LUNES 21-06-2021</t>
  </si>
  <si>
    <t>MARTES 22-06-2021</t>
  </si>
  <si>
    <t>MIERCOLES 23-06-2021</t>
  </si>
  <si>
    <t>JUEVES 24-06-2021</t>
  </si>
  <si>
    <t>VIERNES 25-06-2021</t>
  </si>
  <si>
    <t>BTF</t>
  </si>
  <si>
    <t>TRABAJOS DIARIO</t>
  </si>
  <si>
    <t>PENDULA 1</t>
  </si>
  <si>
    <t>0988142911</t>
  </si>
  <si>
    <t>cesarchanalata@gmail.com</t>
  </si>
  <si>
    <t>PENDULA 2</t>
  </si>
  <si>
    <t>0968953599</t>
  </si>
  <si>
    <t>Jhonhenrry-1994@hotmail.con</t>
  </si>
  <si>
    <t>PENDULA 3</t>
  </si>
  <si>
    <t>0967523410</t>
  </si>
  <si>
    <t>arielcedeño003@gmail.com</t>
  </si>
  <si>
    <t>PENDULA 4</t>
  </si>
  <si>
    <t>0994783560</t>
  </si>
  <si>
    <t>juantessanches21@gmail.com</t>
  </si>
  <si>
    <t>098553920</t>
  </si>
  <si>
    <t>effren.livezam@gmail.com</t>
  </si>
  <si>
    <t xml:space="preserve">PENDULA </t>
  </si>
  <si>
    <t>0981145232</t>
  </si>
  <si>
    <t>PERSONAL DE SIERRA MESA DE LA MAÑANA</t>
  </si>
  <si>
    <t>SIERRA 1</t>
  </si>
  <si>
    <t>0998872198</t>
  </si>
  <si>
    <t>rokesiempre@gmail.com</t>
  </si>
  <si>
    <t>SIERRA 2</t>
  </si>
  <si>
    <t>SIERRA 3</t>
  </si>
  <si>
    <t>0993779176</t>
  </si>
  <si>
    <t>cristhianbarreiro35@gmail.com</t>
  </si>
  <si>
    <t>Permiso Medico 1 dias, 07-06-2021</t>
  </si>
  <si>
    <t>0988642074</t>
  </si>
  <si>
    <t>darelzambrano09@gmail.com</t>
  </si>
  <si>
    <t>0991906778</t>
  </si>
  <si>
    <t>Zambranosofia172@hotmail.com</t>
  </si>
  <si>
    <t>0967396404</t>
  </si>
  <si>
    <t>didier13mateo@gmail.com</t>
  </si>
  <si>
    <t>SIERRA 4</t>
  </si>
  <si>
    <t>0995431169</t>
  </si>
  <si>
    <t>basurtoyandri3@gmail.com</t>
  </si>
  <si>
    <t>0987980050</t>
  </si>
  <si>
    <t>antoniomanzababravo@gmail.com</t>
  </si>
  <si>
    <t>Permiso Medico 2 dias, 18 al 19-06-2021</t>
  </si>
  <si>
    <t>0980559848</t>
  </si>
  <si>
    <t>Dgaby878@gmail.com</t>
  </si>
  <si>
    <t>SIERRA 5</t>
  </si>
  <si>
    <t>0987357435</t>
  </si>
  <si>
    <t>0985424177</t>
  </si>
  <si>
    <t>juberbasurto97@gmail.com</t>
  </si>
  <si>
    <t>0989701317</t>
  </si>
  <si>
    <t>alexandra04macias@gmail.com</t>
  </si>
  <si>
    <t>0993548840</t>
  </si>
  <si>
    <t>Marcosmesarivas@gmail.com</t>
  </si>
  <si>
    <t>SIERRA 6</t>
  </si>
  <si>
    <t>09608014217</t>
  </si>
  <si>
    <t>yorgenpilosomanzaba@hotmail.com</t>
  </si>
  <si>
    <t>0985276448</t>
  </si>
  <si>
    <t>jheremymatias22@hotmail.com</t>
  </si>
  <si>
    <t>0998635201</t>
  </si>
  <si>
    <t>karenalvarado0101@gmail.com</t>
  </si>
  <si>
    <t>Permiso Medico 3 dias, 31 al 02-06-2021</t>
  </si>
  <si>
    <t>SIERRA 7</t>
  </si>
  <si>
    <t>0939067178</t>
  </si>
  <si>
    <t>byronandresnavarretealcivar@gmail.com</t>
  </si>
  <si>
    <t>0989841745</t>
  </si>
  <si>
    <t>beatrizramoscacique@hotmail.com</t>
  </si>
  <si>
    <t>0989934871</t>
  </si>
  <si>
    <t>heinercede1999cm@gmail.com</t>
  </si>
  <si>
    <t>SIERRA 8</t>
  </si>
  <si>
    <t>0986245276</t>
  </si>
  <si>
    <t>solorzanojuan61@gmail.com</t>
  </si>
  <si>
    <t>0990908974</t>
  </si>
  <si>
    <t>janinebravo1995123@gmail.com</t>
  </si>
  <si>
    <t>SIERRA 9</t>
  </si>
  <si>
    <t>0997555720</t>
  </si>
  <si>
    <t>dany1997111@hotmail.com</t>
  </si>
  <si>
    <t>0989671159</t>
  </si>
  <si>
    <t>jimyvarelaandrade@hotmail.com</t>
  </si>
  <si>
    <t>0989405423</t>
  </si>
  <si>
    <t>murillovargas95@gmail.com</t>
  </si>
  <si>
    <t>SIERRA 10</t>
  </si>
  <si>
    <t>0994471277</t>
  </si>
  <si>
    <t>napaariel140@gmail.com</t>
  </si>
  <si>
    <t>0991394264</t>
  </si>
  <si>
    <t>carlosmeciasm@gmail.com</t>
  </si>
  <si>
    <t>0991304499</t>
  </si>
  <si>
    <t>gingerangulo81@gmail.com</t>
  </si>
  <si>
    <t>SIERRA 11</t>
  </si>
  <si>
    <t>0963017386</t>
  </si>
  <si>
    <t>titosolorzanomarcillo@gmail.com</t>
  </si>
  <si>
    <t>SECRETARIA AUXILIAR</t>
  </si>
  <si>
    <t>SUPERVISORA</t>
  </si>
  <si>
    <t>BRAVO LUCAS ROSARIO MARIANELA</t>
  </si>
  <si>
    <t>Permiso Medico 1 dias, 23-06-2021</t>
  </si>
  <si>
    <t>SUPERVISOR</t>
  </si>
  <si>
    <t>0980843923</t>
  </si>
  <si>
    <t>Jose8288827@gmail.com</t>
  </si>
  <si>
    <t>AYUDANTES</t>
  </si>
  <si>
    <t>0962648883</t>
  </si>
  <si>
    <t>pinargoterosa930@gmail.com</t>
  </si>
  <si>
    <t>LIMPIEZA</t>
  </si>
  <si>
    <t>PERSONAL DE SIERRA MESA AL DIARIO</t>
  </si>
  <si>
    <t>0992401940</t>
  </si>
  <si>
    <t>.@OMARVILLALVA.COM</t>
  </si>
  <si>
    <t>DENCIMETRO 1</t>
  </si>
  <si>
    <t>0982865325</t>
  </si>
  <si>
    <t>eliestefi14-88@hotmail.com</t>
  </si>
  <si>
    <t>Permiso Medico 1 dias, 09-06-2021</t>
  </si>
  <si>
    <t>0989828973</t>
  </si>
  <si>
    <t>angelesmeralda1998@gmail.com</t>
  </si>
  <si>
    <t>Permiso Medico 2 dias, 01 al 02-06-2021</t>
  </si>
  <si>
    <t>0981853982</t>
  </si>
  <si>
    <t>Farias.djessenia@gmail.com</t>
  </si>
  <si>
    <t>Jonathanloor@yahoo.com</t>
  </si>
  <si>
    <t>DENCIMETRO 2</t>
  </si>
  <si>
    <t>0981413356</t>
  </si>
  <si>
    <t>0969477931</t>
  </si>
  <si>
    <t>Ostaizaubaldojair@gmail.com</t>
  </si>
  <si>
    <t>0967977611</t>
  </si>
  <si>
    <t>odaliszambranoescalante@gmail.com</t>
  </si>
  <si>
    <t>RECALIFICACION</t>
  </si>
  <si>
    <t>0939678576</t>
  </si>
  <si>
    <t>jorgebarre2021@gmail.com</t>
  </si>
  <si>
    <t>Permiso Medico 2 dias, 14 al 15-06-2021</t>
  </si>
  <si>
    <t>0997342324</t>
  </si>
  <si>
    <t>mary_lean1217@hotmail.com</t>
  </si>
  <si>
    <t>Permiso Medico 1 dias, 15-06-2021</t>
  </si>
  <si>
    <t>0988865429</t>
  </si>
  <si>
    <t>majomarquinez@gmail.com</t>
  </si>
  <si>
    <t>0990879982</t>
  </si>
  <si>
    <t>darwinpolo847@gmail.com</t>
  </si>
  <si>
    <t>0991280794</t>
  </si>
  <si>
    <t>elianalucas408@gmail.com</t>
  </si>
  <si>
    <t>0982776759</t>
  </si>
  <si>
    <t>angelzambrano86@gmail.com</t>
  </si>
  <si>
    <t>0969224310</t>
  </si>
  <si>
    <t>Jorgeelbarto1993@hotmail.com</t>
  </si>
  <si>
    <t>Permiso Medico 2 dias, 31 al 01-06-2021</t>
  </si>
  <si>
    <t>0990802694</t>
  </si>
  <si>
    <t>ramonzavala2020@hotmail.com</t>
  </si>
  <si>
    <t>PERMISO MEDICO</t>
  </si>
  <si>
    <t>0969407361</t>
  </si>
  <si>
    <t>abigailponce54@gmail.com</t>
  </si>
  <si>
    <t>PERMISO MEDICO 30 dias, 25-05 al 20-06-2021</t>
  </si>
  <si>
    <t>0979105564</t>
  </si>
  <si>
    <t>conformeconformej@gmail.com</t>
  </si>
  <si>
    <t>PERMISO DE MATERNIDAD</t>
  </si>
  <si>
    <t>0990646192</t>
  </si>
  <si>
    <t>jessiparraga94@gmail.com</t>
  </si>
  <si>
    <t>0980553778</t>
  </si>
  <si>
    <t>vanessaronquillo9215@outlook.es</t>
  </si>
  <si>
    <t>PERMISO DE MATERNIDAD PERMISO MEDICO DESDE EL 29 AL 01-05-2021</t>
  </si>
  <si>
    <t>PERSONAL DE PENDULA DE RESANEO</t>
  </si>
  <si>
    <t>GRUPO 1</t>
  </si>
  <si>
    <t>0986562871</t>
  </si>
  <si>
    <t>ferrin.juan@yahoo.es</t>
  </si>
  <si>
    <t>0993757519</t>
  </si>
  <si>
    <t>jonex01.lz@gmail.com</t>
  </si>
  <si>
    <t>PERSONAL DE RESANEO-TUPI</t>
  </si>
  <si>
    <t>0997928858</t>
  </si>
  <si>
    <t>fproano80@gmail.com</t>
  </si>
  <si>
    <t>0980712182</t>
  </si>
  <si>
    <t>alexandrafariasdelgado@gmail.com</t>
  </si>
  <si>
    <t>0989995161</t>
  </si>
  <si>
    <t>evergiler@gmail.com</t>
  </si>
  <si>
    <t>0986822092</t>
  </si>
  <si>
    <t>marifeth2018rodriguez@gmail.com</t>
  </si>
  <si>
    <t>Permiso Medico 2 dias, 11 al 12-06-2021</t>
  </si>
  <si>
    <t>Permiso Medico 2 dias, 03 al 04-06-2021</t>
  </si>
  <si>
    <t>PERSONAL DE CEPILLO</t>
  </si>
  <si>
    <t>LINEA 1</t>
  </si>
  <si>
    <t>0959582796</t>
  </si>
  <si>
    <t>Cristhiansolorzano26@gmail.com</t>
  </si>
  <si>
    <t>0994672639</t>
  </si>
  <si>
    <t>bravooscar544@gmail.com</t>
  </si>
  <si>
    <t>0983631691</t>
  </si>
  <si>
    <t>juniorfernando409@gmail.com</t>
  </si>
  <si>
    <t>Permiso Medico 2 dias, 21 al 22-06-2021</t>
  </si>
  <si>
    <t>Permiso Medico 2 dias, 15 al 16-06-2021</t>
  </si>
  <si>
    <t>0963118003</t>
  </si>
  <si>
    <t>bayronvelezmarcillo@hotmail.com</t>
  </si>
  <si>
    <t>CEPILLO</t>
  </si>
  <si>
    <t>0983465912</t>
  </si>
  <si>
    <t>waltervelez-s@hotmail.com</t>
  </si>
  <si>
    <t>0997299374</t>
  </si>
  <si>
    <t>hugoramongarciazambrano10@gmail.com</t>
  </si>
  <si>
    <t>AL DIARIO</t>
  </si>
  <si>
    <t>PERSONAL DE ALZADO</t>
  </si>
  <si>
    <t>0961985512</t>
  </si>
  <si>
    <t>nery1984cornejo@outlook.es</t>
  </si>
  <si>
    <t>ALZADORES</t>
  </si>
  <si>
    <t>0996834773</t>
  </si>
  <si>
    <t>salvador631993@gmail.com</t>
  </si>
  <si>
    <t>ingreso nuevamente a trabajar el 21-06-2021</t>
  </si>
  <si>
    <t>0967165108</t>
  </si>
  <si>
    <t>gema.maria.loor@gmail.com</t>
  </si>
  <si>
    <t>0969653058</t>
  </si>
  <si>
    <t>luisantoniovelez2020@gmail.com</t>
  </si>
  <si>
    <t>0939580285</t>
  </si>
  <si>
    <t>lsolorzano285@gmail.com</t>
  </si>
  <si>
    <t>Permiso Medico 3 dias, 16 al 18-06-2021</t>
  </si>
  <si>
    <t>0983833054</t>
  </si>
  <si>
    <t>lafuria805@gmail.com</t>
  </si>
  <si>
    <t>0986930393</t>
  </si>
  <si>
    <t>zambranoalejandro391@gmail.com</t>
  </si>
  <si>
    <t>SACADORES DE MADERA</t>
  </si>
  <si>
    <t>0980211738</t>
  </si>
  <si>
    <t>pedrojca_1990@hotmail.com</t>
  </si>
  <si>
    <t>VACACIONES 21-06-2021</t>
  </si>
  <si>
    <t>0968288361</t>
  </si>
  <si>
    <t>jonathan.velez@hotmail.es</t>
  </si>
  <si>
    <t>TOTAL DEL PERSONAL ACTUAL</t>
  </si>
  <si>
    <t>TOTAL DEL PERSONAL DESVINCULADO</t>
  </si>
  <si>
    <t>TOTAL MENSUAL</t>
  </si>
  <si>
    <t>Trabajo hasta 21-06-2021</t>
  </si>
  <si>
    <t>0986475244</t>
  </si>
  <si>
    <t>viniciocevallos21@gmail.com</t>
  </si>
  <si>
    <t>Trabajo hasta 22-06-2021</t>
  </si>
  <si>
    <t>Permiso Medico 1 dias, 08-06-2021… Trabajo hasta 21-06-2021</t>
  </si>
  <si>
    <t>0981804307</t>
  </si>
  <si>
    <t>lider20mendza@gmail.com</t>
  </si>
  <si>
    <t>Permiso Medico 1 dias, 10-06-2021...Trabajo hasta 21-06-2021</t>
  </si>
  <si>
    <t>0983793531</t>
  </si>
  <si>
    <t>epatoyanez@gmail.com</t>
  </si>
  <si>
    <t>Trabajo hasta 24-06-2021</t>
  </si>
  <si>
    <t>0999229042</t>
  </si>
  <si>
    <t>zambranosandro28@gmail.com</t>
  </si>
  <si>
    <t>0989505152</t>
  </si>
  <si>
    <t>pablozambranom1310@gmail.com</t>
  </si>
  <si>
    <t>RENUNCIO 07-06-2021</t>
  </si>
  <si>
    <t>DESVINCULAR trabajo hasta Martes 08-05-2021</t>
  </si>
  <si>
    <t>DESVINCULAR</t>
  </si>
  <si>
    <t>RENUNCIO 14-06-2021</t>
  </si>
  <si>
    <t>SIERRA</t>
  </si>
  <si>
    <t>0967054604</t>
  </si>
  <si>
    <t>armandomacias2001@gmail.com</t>
  </si>
  <si>
    <t>0967957172</t>
  </si>
  <si>
    <t>emilianoalvaradojoel@gmail.com</t>
  </si>
  <si>
    <t>0997973260</t>
  </si>
  <si>
    <t>narciyque@gmail.com</t>
  </si>
  <si>
    <t>0982923711</t>
  </si>
  <si>
    <t>artemires20@gmail.com</t>
  </si>
  <si>
    <t>0979643944</t>
  </si>
  <si>
    <t>edisonbasurto09@gmail.com</t>
  </si>
  <si>
    <t>0994983908</t>
  </si>
  <si>
    <t>luis647844basurto@gmail.co</t>
  </si>
  <si>
    <t>765@gmail.com</t>
  </si>
  <si>
    <t>Trabajo hasta 23-06-2021</t>
  </si>
  <si>
    <t>0961141337</t>
  </si>
  <si>
    <t>mariacadena39.@yahoo.com</t>
  </si>
  <si>
    <t>0997314396</t>
  </si>
  <si>
    <t>rosariocedeño1990@hotmail.com</t>
  </si>
  <si>
    <t>0989175495</t>
  </si>
  <si>
    <t>0995753345</t>
  </si>
  <si>
    <t>patricioamor1711@hotmail.com</t>
  </si>
  <si>
    <t>Trabajo hasta 22-06-2021---Permiso Medico 3 dias, 25 al 27-05-2021. 3 dias, 31 al 02-06-2021</t>
  </si>
  <si>
    <t>0988063677</t>
  </si>
  <si>
    <t>migue.3@outlook.com</t>
  </si>
  <si>
    <t>0984156367</t>
  </si>
  <si>
    <t>stevenverachica@gmail.com</t>
  </si>
  <si>
    <t>0981125011</t>
  </si>
  <si>
    <t>mai_19921@outlook.com</t>
  </si>
  <si>
    <t>Trabajo hasta 19-06-2021</t>
  </si>
  <si>
    <t>RECALIFICACION DE SIERRA</t>
  </si>
  <si>
    <t>0991336402</t>
  </si>
  <si>
    <t>cvkj.1317037545@gmail.com</t>
  </si>
  <si>
    <t>0996576404</t>
  </si>
  <si>
    <t>marcosestradafig@gmail.com</t>
  </si>
  <si>
    <t>DIARIO DE SIERRA</t>
  </si>
  <si>
    <t>0990301123</t>
  </si>
  <si>
    <t>jonathanarielloor20@gmail.com</t>
  </si>
  <si>
    <t>Trabajo hasta 21-06-2021---Permiso Medico 1 dias, 07-06-2021</t>
  </si>
  <si>
    <t>0969247585</t>
  </si>
  <si>
    <t>johanloorju96@gmail.com</t>
  </si>
  <si>
    <t>0993119345</t>
  </si>
  <si>
    <t>luisloor44111@gmail.com</t>
  </si>
  <si>
    <t>Trabajo hasta 21-06-2021---PERMSIO MEDICO 15 dias, 25 al 08-06-2021</t>
  </si>
  <si>
    <t>0959245999</t>
  </si>
  <si>
    <t>Yulexyarcen@gmail.com</t>
  </si>
  <si>
    <t>0993763536</t>
  </si>
  <si>
    <t>jenifferpacheco.1996luky@gmail.com</t>
  </si>
  <si>
    <t>0999152355</t>
  </si>
  <si>
    <t>lpascal380@gmail.com</t>
  </si>
  <si>
    <t>DENCIMETRO DE SIERRA</t>
  </si>
  <si>
    <t>Trabajo hasta 25-06-2021---Permiso Medico 3 dias, 07 al 09-06-2021</t>
  </si>
  <si>
    <t>0983824352</t>
  </si>
  <si>
    <t>luisrevelo833@gmail.com</t>
  </si>
  <si>
    <t>0939903976</t>
  </si>
  <si>
    <t>lexintonsolorzanovite@gmail.com</t>
  </si>
  <si>
    <t>Trabajo hasta 18-06-2021</t>
  </si>
  <si>
    <t>0967552606</t>
  </si>
  <si>
    <t>josemzm20@hotmail.com</t>
  </si>
  <si>
    <t>lokoarielzambrano09@gmail.com</t>
  </si>
  <si>
    <t>Trabajo hasta 25-06-2021</t>
  </si>
  <si>
    <t>0990698856</t>
  </si>
  <si>
    <t>joelibarra.98leones@gmail.com</t>
  </si>
  <si>
    <t>0980153559</t>
  </si>
  <si>
    <t>joffremenendez19@outlook.com</t>
  </si>
  <si>
    <t>RENUNCIO</t>
  </si>
  <si>
    <t>0985697270</t>
  </si>
  <si>
    <t>ivanantoniomeralucas@hotmail.com</t>
  </si>
  <si>
    <t>0980183162</t>
  </si>
  <si>
    <t>carmen1988moreira@gmail.com</t>
  </si>
  <si>
    <t>0994205754</t>
  </si>
  <si>
    <t>verajhon468@gmail.com</t>
  </si>
  <si>
    <t>RENUNCIO ESTA CON SALIDA DEL IESS</t>
  </si>
  <si>
    <t>RESANEO</t>
  </si>
  <si>
    <t>0999165507</t>
  </si>
  <si>
    <t>0959416472</t>
  </si>
  <si>
    <t>arielyazmaniloorbasurto@gmail.com</t>
  </si>
  <si>
    <t>0985649148</t>
  </si>
  <si>
    <t>Lourdeszambrano4025@gmail.com</t>
  </si>
  <si>
    <t>TUPY</t>
  </si>
  <si>
    <t>0998448563</t>
  </si>
  <si>
    <t>stalingarcia2312@gmail.com</t>
  </si>
  <si>
    <t>0992636117</t>
  </si>
  <si>
    <t>jennyvaluarte@gmail.com</t>
  </si>
  <si>
    <t>0992034160</t>
  </si>
  <si>
    <t>angelitacedeño1994@hotmail.com</t>
  </si>
  <si>
    <t>0990922851</t>
  </si>
  <si>
    <t>ferchoslucas9@gmail.com</t>
  </si>
  <si>
    <t>Trabajo hasta 22-06-2021---Permiso Medico 3 dias, 25 al 27-05-2021</t>
  </si>
  <si>
    <t>0985690745</t>
  </si>
  <si>
    <t>moncayoluis725@gmail.com</t>
  </si>
  <si>
    <t>093386904</t>
  </si>
  <si>
    <t>davidalcivar123@hotmail.com</t>
  </si>
  <si>
    <t xml:space="preserve"> retirado tiene 3 dias adicionales de junio incluidos</t>
  </si>
  <si>
    <t>MUÑOZ ZAMBRANO CRISTHIAN</t>
  </si>
  <si>
    <t>MONTALVAN VERA LEONARDO</t>
  </si>
  <si>
    <t>CEDEÑO CEDEÑO HECTOR CECILIO</t>
  </si>
  <si>
    <t>PINCAY CEDEÑO GILBER</t>
  </si>
  <si>
    <t>ABONO3</t>
  </si>
  <si>
    <t>MARTINEZ MORALES BORIS HERNAN</t>
  </si>
  <si>
    <t>CANCHINGRE PAZMIÑO HECTOR ANDRES</t>
  </si>
  <si>
    <t xml:space="preserve">MARCILLO ANDRADE JEFFERSON </t>
  </si>
  <si>
    <t>SANCHEZ GARCIA ABEL SAMUEL</t>
  </si>
  <si>
    <t>permiso medico 2 dias del 24 al 25-06-2021</t>
  </si>
  <si>
    <t>Permiso Medico 4 dias, 21 al 24-06-2021</t>
  </si>
  <si>
    <t>Trabajo hasta 21-06-2022</t>
  </si>
  <si>
    <t>Trabajo hasta 21-06-2023</t>
  </si>
  <si>
    <t>RENUNCIO Permiso Medico 2 dias, 14 al 15-06-2021</t>
  </si>
  <si>
    <t>26,28,29 Y 30 DE JULIO</t>
  </si>
  <si>
    <t>Trabajo hasta 30-06-2021</t>
  </si>
  <si>
    <t>Trabajo hasta 30-06-2021 Permiso Medico 1 dias, 03-06-2021</t>
  </si>
  <si>
    <t>Trabajo hasta 30-06-2021 Permiso Medico 1 dias, 07-06-2021</t>
  </si>
  <si>
    <t>Trabajo hasta 30-06-2021 Permiso Medico 1 dias, 21-06-2021</t>
  </si>
  <si>
    <t>Trabajo hasta 30-06-2021 Permiso Medico 3 dias, 25 al 27-05-2021</t>
  </si>
  <si>
    <t>Trabajo hasta 30-06-2021 Permiso Medico 1 dias, 18-06-2021</t>
  </si>
  <si>
    <t>SEVICIOS PRESTADOS MANO DE OBRA EN PLANTA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</si>
</sst>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0.000"/>
    <numFmt numFmtId="165" formatCode="#0.00"/>
    <numFmt numFmtId="166" formatCode="0.0"/>
    <numFmt numFmtId="167" formatCode="0.0000"/>
    <numFmt numFmtId="168" formatCode="_(&quot;$&quot;\ * #,##0.00_);_(&quot;$&quot;\ * \(#,##0.00\);_(&quot;$&quot;\ * &quot;-&quot;??_);_(@_)"/>
    <numFmt numFmtId="169" formatCode="#,##0.0"/>
    <numFmt numFmtId="170" formatCode="0.00000"/>
    <numFmt numFmtId="171" formatCode="0.000000"/>
    <numFmt numFmtId="172" formatCode="0.0000000"/>
    <numFmt numFmtId="173" formatCode="0.00000000"/>
    <numFmt numFmtId="174" formatCode="#,##0.0000"/>
    <numFmt numFmtId="175" formatCode="#,##0.000000"/>
  </numFmts>
  <fonts count="1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2"/>
      <color theme="8" tint="-0.249977111117893"/>
      <name val="Arial"/>
      <family val="2"/>
    </font>
    <font>
      <b/>
      <i/>
      <sz val="14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sz val="11"/>
      <color rgb="FF00B050"/>
      <name val="Arial"/>
      <family val="2"/>
    </font>
    <font>
      <sz val="11"/>
      <color theme="9" tint="-0.249977111117893"/>
      <name val="Arial"/>
      <family val="2"/>
    </font>
    <font>
      <sz val="10"/>
      <color theme="8" tint="-0.499984740745262"/>
      <name val="Arial"/>
      <family val="2"/>
    </font>
    <font>
      <u/>
      <sz val="10"/>
      <name val="Arial"/>
      <family val="2"/>
    </font>
    <font>
      <sz val="10"/>
      <color rgb="FFC00000"/>
      <name val="Arial"/>
      <family val="2"/>
    </font>
    <font>
      <sz val="11"/>
      <color theme="8" tint="-0.499984740745262"/>
      <name val="Calibri"/>
      <family val="2"/>
      <scheme val="minor"/>
    </font>
    <font>
      <sz val="11"/>
      <name val="Times New Roman"/>
      <family val="1"/>
    </font>
    <font>
      <sz val="11"/>
      <color rgb="FF7030A0"/>
      <name val="Arial"/>
      <family val="2"/>
    </font>
    <font>
      <sz val="11"/>
      <color rgb="FFFF0000"/>
      <name val="Arial"/>
      <family val="2"/>
    </font>
    <font>
      <b/>
      <sz val="10"/>
      <name val="Calibri"/>
      <family val="2"/>
      <scheme val="minor"/>
    </font>
    <font>
      <b/>
      <i/>
      <sz val="11"/>
      <name val="Arial"/>
      <family val="2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theme="9" tint="-0.249977111117893"/>
      <name val="Arial"/>
      <family val="2"/>
    </font>
    <font>
      <sz val="11"/>
      <color theme="8" tint="-0.249977111117893"/>
      <name val="Arial"/>
      <family val="2"/>
    </font>
    <font>
      <sz val="11"/>
      <color rgb="FF00B0F0"/>
      <name val="Arial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name val="Calibri"/>
      <family val="2"/>
      <scheme val="minor"/>
    </font>
    <font>
      <sz val="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1"/>
      <color rgb="FFC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i/>
      <sz val="9"/>
      <color theme="4" tint="-0.499984740745262"/>
      <name val="Arial"/>
      <family val="2"/>
    </font>
    <font>
      <b/>
      <i/>
      <sz val="12"/>
      <color theme="4" tint="-0.499984740745262"/>
      <name val="Arial"/>
      <family val="2"/>
    </font>
    <font>
      <sz val="9"/>
      <color rgb="FF000000"/>
      <name val="Arial Narrow"/>
      <family val="2"/>
    </font>
    <font>
      <sz val="8"/>
      <color rgb="FF000000"/>
      <name val="Arial Narrow"/>
      <family val="2"/>
    </font>
    <font>
      <b/>
      <sz val="16"/>
      <name val="Arial Narrow"/>
      <family val="2"/>
    </font>
    <font>
      <b/>
      <sz val="12"/>
      <color rgb="FF000000"/>
      <name val="Arial Narrow"/>
      <family val="2"/>
    </font>
    <font>
      <b/>
      <sz val="9"/>
      <color rgb="FF00000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0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sz val="11"/>
      <color theme="0"/>
      <name val="Calibri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sz val="9"/>
      <color theme="9" tint="-0.249977111117893"/>
      <name val="Arial"/>
      <family val="2"/>
    </font>
    <font>
      <sz val="9"/>
      <color theme="0"/>
      <name val="Arial"/>
      <family val="2"/>
    </font>
    <font>
      <b/>
      <sz val="8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FF0000"/>
      <name val="Arial"/>
      <family val="2"/>
    </font>
    <font>
      <b/>
      <sz val="8"/>
      <color rgb="FF000000"/>
      <name val="Arial Narrow"/>
      <family val="2"/>
    </font>
    <font>
      <sz val="10"/>
      <color theme="1"/>
      <name val="Calibri"/>
      <family val="2"/>
      <scheme val="minor"/>
    </font>
    <font>
      <b/>
      <i/>
      <sz val="12"/>
      <color rgb="FF0070C0"/>
      <name val="Arial"/>
      <family val="2"/>
    </font>
    <font>
      <sz val="8"/>
      <color rgb="FFFF0000"/>
      <name val="Arial"/>
      <family val="2"/>
    </font>
    <font>
      <b/>
      <i/>
      <sz val="11"/>
      <color rgb="FF0070C0"/>
      <name val="Arial"/>
      <family val="2"/>
    </font>
    <font>
      <b/>
      <sz val="10"/>
      <color theme="1"/>
      <name val="Arial"/>
      <family val="2"/>
    </font>
    <font>
      <b/>
      <i/>
      <sz val="14"/>
      <color theme="8" tint="-0.249977111117893"/>
      <name val="Calibri"/>
      <family val="2"/>
      <scheme val="minor"/>
    </font>
    <font>
      <b/>
      <sz val="28"/>
      <color theme="1"/>
      <name val="Times New Roman"/>
      <family val="1"/>
    </font>
    <font>
      <b/>
      <sz val="24"/>
      <color theme="1"/>
      <name val="Times New Roman"/>
      <family val="1"/>
    </font>
    <font>
      <b/>
      <sz val="2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0"/>
      <name val="Times New Roman"/>
      <family val="1"/>
    </font>
    <font>
      <b/>
      <sz val="11"/>
      <color theme="0"/>
      <name val="Times New Roman"/>
      <family val="1"/>
    </font>
    <font>
      <b/>
      <sz val="9"/>
      <color theme="0"/>
      <name val="Times New Roman"/>
      <family val="1"/>
    </font>
    <font>
      <b/>
      <sz val="9"/>
      <color theme="3" tint="-0.499984740745262"/>
      <name val="Times New Roman"/>
      <family val="1"/>
    </font>
    <font>
      <b/>
      <sz val="9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theme="3" tint="-0.499984740745262"/>
      <name val="Times New Roman"/>
      <family val="1"/>
    </font>
    <font>
      <b/>
      <sz val="16"/>
      <color theme="3" tint="-0.499984740745262"/>
      <name val="Times New Roman"/>
      <family val="1"/>
    </font>
    <font>
      <b/>
      <sz val="18"/>
      <color theme="1"/>
      <name val="Times New Roman"/>
      <family val="1"/>
    </font>
    <font>
      <sz val="9"/>
      <color theme="3" tint="-0.499984740745262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0"/>
      <color rgb="FFFF0000"/>
      <name val="Calibri"/>
      <family val="2"/>
      <scheme val="minor"/>
    </font>
    <font>
      <sz val="10"/>
      <color theme="0"/>
      <name val="Times New Roman"/>
      <family val="1"/>
    </font>
    <font>
      <sz val="10"/>
      <name val="Times New Roman"/>
      <family val="1"/>
    </font>
    <font>
      <u/>
      <sz val="10"/>
      <color theme="10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b/>
      <sz val="18"/>
      <name val="Times New Roman"/>
      <family val="1"/>
    </font>
    <font>
      <u/>
      <sz val="10"/>
      <name val="Calibri"/>
      <family val="2"/>
      <scheme val="minor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2" tint="-0.89999084444715716"/>
      <name val="Times New Roman"/>
      <family val="1"/>
    </font>
    <font>
      <b/>
      <sz val="16"/>
      <color rgb="FFFF0000"/>
      <name val="Times New Roman"/>
      <family val="1"/>
    </font>
    <font>
      <b/>
      <u val="singleAccounting"/>
      <sz val="16"/>
      <color rgb="FFFF0000"/>
      <name val="Times New Roman"/>
      <family val="1"/>
    </font>
    <font>
      <b/>
      <i/>
      <sz val="14"/>
      <color theme="8" tint="-0.249977111117893"/>
      <name val="Arial"/>
      <family val="2"/>
    </font>
    <font>
      <sz val="12"/>
      <name val="Times New Roman"/>
      <family val="1"/>
    </font>
    <font>
      <u/>
      <sz val="11"/>
      <name val="Calibri"/>
      <family val="2"/>
      <scheme val="minor"/>
    </font>
    <font>
      <sz val="9"/>
      <color rgb="FFFF000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A9DA7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E4DFEC"/>
        <bgColor rgb="FF00FFFF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1EFD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B89EF"/>
        <bgColor indexed="64"/>
      </patternFill>
    </fill>
    <fill>
      <patternFill patternType="solid">
        <fgColor rgb="FF68F898"/>
        <bgColor indexed="64"/>
      </patternFill>
    </fill>
    <fill>
      <patternFill patternType="solid">
        <fgColor rgb="FFBCEC0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7C7A7"/>
        <bgColor indexed="64"/>
      </patternFill>
    </fill>
    <fill>
      <patternFill patternType="solid">
        <fgColor rgb="FFB3FFFF"/>
        <bgColor indexed="64"/>
      </patternFill>
    </fill>
    <fill>
      <patternFill patternType="solid">
        <fgColor rgb="FFEAD0F8"/>
        <bgColor indexed="64"/>
      </patternFill>
    </fill>
    <fill>
      <patternFill patternType="solid">
        <fgColor rgb="FFABFBC6"/>
        <bgColor indexed="64"/>
      </patternFill>
    </fill>
    <fill>
      <patternFill patternType="solid">
        <fgColor rgb="FFDFF88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F4D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5D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rgb="FFFF0000"/>
      </left>
      <right/>
      <top style="double">
        <color auto="1"/>
      </top>
      <bottom/>
      <diagonal/>
    </border>
    <border>
      <left/>
      <right style="double">
        <color rgb="FFFF0000"/>
      </right>
      <top style="double">
        <color auto="1"/>
      </top>
      <bottom/>
      <diagonal/>
    </border>
    <border>
      <left style="double">
        <color rgb="FF00B050"/>
      </left>
      <right/>
      <top style="double">
        <color auto="1"/>
      </top>
      <bottom/>
      <diagonal/>
    </border>
    <border>
      <left/>
      <right style="double">
        <color rgb="FF00B050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00B050"/>
      </left>
      <right/>
      <top/>
      <bottom/>
      <diagonal/>
    </border>
    <border>
      <left/>
      <right style="double">
        <color rgb="FF00B050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 style="double">
        <color rgb="FFFF0000"/>
      </left>
      <right/>
      <top/>
      <bottom style="medium">
        <color indexed="64"/>
      </bottom>
      <diagonal/>
    </border>
    <border>
      <left/>
      <right style="double">
        <color rgb="FFFF0000"/>
      </right>
      <top/>
      <bottom style="medium">
        <color indexed="64"/>
      </bottom>
      <diagonal/>
    </border>
    <border>
      <left style="double">
        <color rgb="FF00B050"/>
      </left>
      <right/>
      <top/>
      <bottom style="medium">
        <color indexed="64"/>
      </bottom>
      <diagonal/>
    </border>
    <border>
      <left/>
      <right style="double">
        <color rgb="FF00B050"/>
      </right>
      <top/>
      <bottom style="medium">
        <color indexed="64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rgb="FFFF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rgb="FFFF0000"/>
      </right>
      <top style="medium">
        <color indexed="64"/>
      </top>
      <bottom/>
      <diagonal/>
    </border>
    <border>
      <left style="double">
        <color rgb="FFFF0000"/>
      </left>
      <right style="medium">
        <color indexed="64"/>
      </right>
      <top/>
      <bottom/>
      <diagonal/>
    </border>
    <border>
      <left style="double">
        <color rgb="FFFF0000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FF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rgb="FFFF0000"/>
      </right>
      <top/>
      <bottom style="medium">
        <color indexed="64"/>
      </bottom>
      <diagonal/>
    </border>
    <border>
      <left style="double">
        <color rgb="FFFF0000"/>
      </left>
      <right style="double">
        <color auto="1"/>
      </right>
      <top/>
      <bottom style="medium">
        <color auto="1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thin">
        <color indexed="64"/>
      </left>
      <right style="double">
        <color rgb="FFFF0000"/>
      </right>
      <top/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medium">
        <color indexed="64"/>
      </top>
      <bottom/>
      <diagonal/>
    </border>
    <border>
      <left style="double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/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medium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rgb="FFFF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FF0000"/>
      </right>
      <top/>
      <bottom/>
      <diagonal/>
    </border>
    <border>
      <left style="thin">
        <color indexed="64"/>
      </left>
      <right style="double">
        <color rgb="FFFF0000"/>
      </right>
      <top/>
      <bottom style="medium">
        <color indexed="64"/>
      </bottom>
      <diagonal/>
    </border>
    <border>
      <left style="double">
        <color rgb="FFFF0000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rgb="FFFF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rgb="FFFF0000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 style="double">
        <color rgb="FFFF0000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medium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rgb="FFFF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/>
      <diagonal/>
    </border>
    <border>
      <left style="double">
        <color rgb="FFFF0000"/>
      </left>
      <right style="thin">
        <color rgb="FFFF0000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FF0000"/>
      </left>
      <right style="thin">
        <color rgb="FFFF0000"/>
      </right>
      <top/>
      <bottom style="medium">
        <color indexed="64"/>
      </bottom>
      <diagonal/>
    </border>
    <border>
      <left style="thin">
        <color indexed="64"/>
      </left>
      <right style="double">
        <color rgb="FFFF0000"/>
      </right>
      <top style="medium">
        <color indexed="64"/>
      </top>
      <bottom style="medium">
        <color indexed="64"/>
      </bottom>
      <diagonal/>
    </border>
    <border>
      <left style="double">
        <color rgb="FFFF0000"/>
      </left>
      <right style="thin">
        <color rgb="FFFF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122" fillId="0" borderId="0" applyNumberFormat="0" applyFill="0" applyBorder="0" applyAlignment="0" applyProtection="0"/>
  </cellStyleXfs>
  <cellXfs count="1485">
    <xf numFmtId="0" fontId="0" fillId="0" borderId="0" xfId="0"/>
    <xf numFmtId="0" fontId="0" fillId="0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Fill="1" applyAlignment="1">
      <alignment horizontal="center"/>
    </xf>
    <xf numFmtId="0" fontId="11" fillId="0" borderId="2" xfId="0" applyFont="1" applyFill="1" applyBorder="1" applyAlignment="1">
      <alignment vertical="center"/>
    </xf>
    <xf numFmtId="0" fontId="12" fillId="0" borderId="3" xfId="0" applyFont="1" applyFill="1" applyBorder="1" applyAlignment="1"/>
    <xf numFmtId="0" fontId="10" fillId="3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vertical="center"/>
    </xf>
    <xf numFmtId="0" fontId="17" fillId="2" borderId="10" xfId="0" applyFont="1" applyFill="1" applyBorder="1" applyAlignment="1">
      <alignment vertical="center"/>
    </xf>
    <xf numFmtId="0" fontId="18" fillId="3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20" fillId="0" borderId="8" xfId="0" quotePrefix="1" applyFont="1" applyFill="1" applyBorder="1" applyAlignment="1">
      <alignment horizontal="center" vertical="center"/>
    </xf>
    <xf numFmtId="0" fontId="21" fillId="0" borderId="8" xfId="0" applyFont="1" applyFill="1" applyBorder="1"/>
    <xf numFmtId="2" fontId="22" fillId="7" borderId="8" xfId="0" applyNumberFormat="1" applyFont="1" applyFill="1" applyBorder="1" applyAlignment="1">
      <alignment horizontal="right" vertical="center"/>
    </xf>
    <xf numFmtId="4" fontId="22" fillId="7" borderId="8" xfId="0" applyNumberFormat="1" applyFont="1" applyFill="1" applyBorder="1" applyAlignment="1">
      <alignment vertical="center"/>
    </xf>
    <xf numFmtId="3" fontId="23" fillId="8" borderId="8" xfId="0" applyNumberFormat="1" applyFont="1" applyFill="1" applyBorder="1" applyAlignment="1">
      <alignment horizontal="center" vertical="center"/>
    </xf>
    <xf numFmtId="4" fontId="22" fillId="0" borderId="8" xfId="0" applyNumberFormat="1" applyFont="1" applyFill="1" applyBorder="1" applyAlignment="1">
      <alignment vertical="center"/>
    </xf>
    <xf numFmtId="4" fontId="22" fillId="9" borderId="8" xfId="0" applyNumberFormat="1" applyFont="1" applyFill="1" applyBorder="1" applyAlignment="1">
      <alignment vertical="center"/>
    </xf>
    <xf numFmtId="2" fontId="22" fillId="10" borderId="8" xfId="0" applyNumberFormat="1" applyFont="1" applyFill="1" applyBorder="1" applyAlignment="1">
      <alignment horizontal="center" vertical="center"/>
    </xf>
    <xf numFmtId="2" fontId="22" fillId="0" borderId="8" xfId="0" applyNumberFormat="1" applyFont="1" applyBorder="1" applyAlignment="1">
      <alignment horizontal="center" vertical="center"/>
    </xf>
    <xf numFmtId="4" fontId="2" fillId="11" borderId="8" xfId="0" applyNumberFormat="1" applyFont="1" applyFill="1" applyBorder="1"/>
    <xf numFmtId="2" fontId="22" fillId="0" borderId="8" xfId="0" applyNumberFormat="1" applyFont="1" applyBorder="1" applyAlignment="1">
      <alignment horizontal="right" vertical="center"/>
    </xf>
    <xf numFmtId="4" fontId="24" fillId="9" borderId="8" xfId="0" applyNumberFormat="1" applyFont="1" applyFill="1" applyBorder="1" applyAlignment="1">
      <alignment vertical="center"/>
    </xf>
    <xf numFmtId="2" fontId="9" fillId="0" borderId="8" xfId="0" applyNumberFormat="1" applyFont="1" applyFill="1" applyBorder="1"/>
    <xf numFmtId="4" fontId="19" fillId="12" borderId="8" xfId="0" applyNumberFormat="1" applyFont="1" applyFill="1" applyBorder="1"/>
    <xf numFmtId="164" fontId="9" fillId="0" borderId="8" xfId="0" applyNumberFormat="1" applyFont="1" applyFill="1" applyBorder="1"/>
    <xf numFmtId="2" fontId="9" fillId="13" borderId="8" xfId="0" applyNumberFormat="1" applyFont="1" applyFill="1" applyBorder="1"/>
    <xf numFmtId="2" fontId="22" fillId="14" borderId="8" xfId="0" applyNumberFormat="1" applyFont="1" applyFill="1" applyBorder="1"/>
    <xf numFmtId="0" fontId="25" fillId="0" borderId="8" xfId="0" applyFont="1" applyFill="1" applyBorder="1"/>
    <xf numFmtId="0" fontId="26" fillId="0" borderId="8" xfId="0" applyFont="1" applyFill="1" applyBorder="1"/>
    <xf numFmtId="4" fontId="19" fillId="10" borderId="8" xfId="0" applyNumberFormat="1" applyFont="1" applyFill="1" applyBorder="1"/>
    <xf numFmtId="0" fontId="0" fillId="0" borderId="8" xfId="0" applyFill="1" applyBorder="1"/>
    <xf numFmtId="0" fontId="21" fillId="0" borderId="8" xfId="0" applyFont="1" applyFill="1" applyBorder="1" applyAlignment="1">
      <alignment vertical="center"/>
    </xf>
    <xf numFmtId="2" fontId="3" fillId="0" borderId="8" xfId="0" applyNumberFormat="1" applyFont="1" applyFill="1" applyBorder="1"/>
    <xf numFmtId="2" fontId="25" fillId="0" borderId="8" xfId="0" applyNumberFormat="1" applyFont="1" applyBorder="1" applyAlignment="1">
      <alignment horizontal="center" vertical="center"/>
    </xf>
    <xf numFmtId="2" fontId="3" fillId="13" borderId="8" xfId="0" applyNumberFormat="1" applyFont="1" applyFill="1" applyBorder="1"/>
    <xf numFmtId="0" fontId="25" fillId="0" borderId="0" xfId="0" applyFont="1"/>
    <xf numFmtId="4" fontId="25" fillId="9" borderId="8" xfId="0" applyNumberFormat="1" applyFont="1" applyFill="1" applyBorder="1" applyAlignment="1">
      <alignment vertical="center"/>
    </xf>
    <xf numFmtId="2" fontId="0" fillId="0" borderId="0" xfId="0" applyNumberFormat="1"/>
    <xf numFmtId="0" fontId="22" fillId="0" borderId="8" xfId="0" applyFont="1" applyFill="1" applyBorder="1"/>
    <xf numFmtId="0" fontId="27" fillId="0" borderId="8" xfId="0" applyFont="1" applyFill="1" applyBorder="1"/>
    <xf numFmtId="0" fontId="22" fillId="0" borderId="0" xfId="0" applyFont="1"/>
    <xf numFmtId="0" fontId="28" fillId="0" borderId="8" xfId="0" applyFont="1" applyFill="1" applyBorder="1"/>
    <xf numFmtId="0" fontId="29" fillId="0" borderId="8" xfId="0" applyFont="1" applyFill="1" applyBorder="1"/>
    <xf numFmtId="165" fontId="30" fillId="0" borderId="0" xfId="0" applyNumberFormat="1" applyFont="1"/>
    <xf numFmtId="0" fontId="21" fillId="0" borderId="8" xfId="0" applyFont="1" applyFill="1" applyBorder="1" applyAlignment="1">
      <alignment horizontal="left"/>
    </xf>
    <xf numFmtId="2" fontId="31" fillId="0" borderId="8" xfId="0" applyNumberFormat="1" applyFont="1" applyFill="1" applyBorder="1"/>
    <xf numFmtId="0" fontId="30" fillId="0" borderId="8" xfId="0" applyFont="1" applyFill="1" applyBorder="1"/>
    <xf numFmtId="0" fontId="8" fillId="0" borderId="8" xfId="0" applyFont="1" applyFill="1" applyBorder="1"/>
    <xf numFmtId="2" fontId="32" fillId="9" borderId="8" xfId="0" applyNumberFormat="1" applyFont="1" applyFill="1" applyBorder="1"/>
    <xf numFmtId="4" fontId="25" fillId="0" borderId="8" xfId="0" applyNumberFormat="1" applyFont="1" applyFill="1" applyBorder="1" applyAlignment="1">
      <alignment vertical="center"/>
    </xf>
    <xf numFmtId="0" fontId="33" fillId="0" borderId="8" xfId="0" applyFont="1" applyFill="1" applyBorder="1"/>
    <xf numFmtId="0" fontId="34" fillId="0" borderId="8" xfId="0" applyFont="1" applyFill="1" applyBorder="1"/>
    <xf numFmtId="0" fontId="31" fillId="0" borderId="8" xfId="0" applyFont="1" applyFill="1" applyBorder="1"/>
    <xf numFmtId="0" fontId="36" fillId="0" borderId="8" xfId="0" applyFont="1" applyFill="1" applyBorder="1" applyAlignment="1">
      <alignment vertical="center"/>
    </xf>
    <xf numFmtId="0" fontId="17" fillId="0" borderId="8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2" fontId="22" fillId="0" borderId="8" xfId="0" applyNumberFormat="1" applyFont="1" applyFill="1" applyBorder="1" applyAlignment="1">
      <alignment horizontal="center" vertical="center"/>
    </xf>
    <xf numFmtId="2" fontId="22" fillId="13" borderId="8" xfId="0" applyNumberFormat="1" applyFont="1" applyFill="1" applyBorder="1" applyAlignment="1">
      <alignment horizontal="center" vertical="center"/>
    </xf>
    <xf numFmtId="2" fontId="22" fillId="14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/>
    <xf numFmtId="3" fontId="37" fillId="0" borderId="8" xfId="0" applyNumberFormat="1" applyFont="1" applyFill="1" applyBorder="1"/>
    <xf numFmtId="3" fontId="38" fillId="0" borderId="8" xfId="0" applyNumberFormat="1" applyFont="1" applyFill="1" applyBorder="1"/>
    <xf numFmtId="2" fontId="22" fillId="0" borderId="0" xfId="0" applyNumberFormat="1" applyFont="1"/>
    <xf numFmtId="2" fontId="1" fillId="13" borderId="8" xfId="0" applyNumberFormat="1" applyFont="1" applyFill="1" applyBorder="1"/>
    <xf numFmtId="4" fontId="0" fillId="0" borderId="0" xfId="0" applyNumberFormat="1"/>
    <xf numFmtId="3" fontId="39" fillId="0" borderId="8" xfId="0" applyNumberFormat="1" applyFont="1" applyFill="1" applyBorder="1"/>
    <xf numFmtId="3" fontId="40" fillId="0" borderId="8" xfId="0" applyNumberFormat="1" applyFont="1" applyFill="1" applyBorder="1"/>
    <xf numFmtId="4" fontId="41" fillId="0" borderId="8" xfId="0" applyNumberFormat="1" applyFont="1" applyFill="1" applyBorder="1" applyAlignment="1">
      <alignment vertical="center"/>
    </xf>
    <xf numFmtId="2" fontId="23" fillId="8" borderId="8" xfId="0" applyNumberFormat="1" applyFont="1" applyFill="1" applyBorder="1" applyAlignment="1">
      <alignment horizontal="center" vertical="center"/>
    </xf>
    <xf numFmtId="0" fontId="42" fillId="0" borderId="8" xfId="0" applyFont="1" applyFill="1" applyBorder="1"/>
    <xf numFmtId="0" fontId="43" fillId="0" borderId="8" xfId="0" applyFont="1" applyFill="1" applyBorder="1"/>
    <xf numFmtId="0" fontId="7" fillId="0" borderId="8" xfId="0" applyFont="1" applyFill="1" applyBorder="1"/>
    <xf numFmtId="0" fontId="7" fillId="0" borderId="8" xfId="0" applyFont="1" applyFill="1" applyBorder="1" applyAlignment="1">
      <alignment vertical="center"/>
    </xf>
    <xf numFmtId="0" fontId="44" fillId="0" borderId="8" xfId="0" applyFont="1" applyFill="1" applyBorder="1"/>
    <xf numFmtId="0" fontId="45" fillId="0" borderId="8" xfId="0" applyFont="1" applyFill="1" applyBorder="1"/>
    <xf numFmtId="0" fontId="46" fillId="0" borderId="8" xfId="0" applyFont="1" applyFill="1" applyBorder="1"/>
    <xf numFmtId="0" fontId="21" fillId="0" borderId="12" xfId="0" applyFont="1" applyFill="1" applyBorder="1"/>
    <xf numFmtId="4" fontId="24" fillId="0" borderId="8" xfId="0" applyNumberFormat="1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17" fillId="0" borderId="15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3" fontId="9" fillId="0" borderId="8" xfId="0" applyNumberFormat="1" applyFont="1" applyFill="1" applyBorder="1"/>
    <xf numFmtId="0" fontId="20" fillId="0" borderId="16" xfId="0" quotePrefix="1" applyFont="1" applyFill="1" applyBorder="1" applyAlignment="1">
      <alignment horizontal="center" vertical="center"/>
    </xf>
    <xf numFmtId="2" fontId="22" fillId="7" borderId="10" xfId="0" applyNumberFormat="1" applyFont="1" applyFill="1" applyBorder="1" applyAlignment="1">
      <alignment horizontal="right" vertical="center"/>
    </xf>
    <xf numFmtId="2" fontId="22" fillId="0" borderId="8" xfId="0" applyNumberFormat="1" applyFont="1" applyFill="1" applyBorder="1" applyAlignment="1">
      <alignment vertical="center"/>
    </xf>
    <xf numFmtId="3" fontId="47" fillId="0" borderId="8" xfId="0" applyNumberFormat="1" applyFont="1" applyFill="1" applyBorder="1"/>
    <xf numFmtId="0" fontId="48" fillId="0" borderId="8" xfId="0" applyFont="1" applyFill="1" applyBorder="1"/>
    <xf numFmtId="0" fontId="20" fillId="0" borderId="0" xfId="0" quotePrefix="1" applyFont="1" applyFill="1" applyBorder="1" applyAlignment="1">
      <alignment horizontal="center" vertical="center"/>
    </xf>
    <xf numFmtId="2" fontId="9" fillId="0" borderId="0" xfId="0" applyNumberFormat="1" applyFont="1" applyFill="1" applyBorder="1"/>
    <xf numFmtId="2" fontId="22" fillId="0" borderId="0" xfId="0" applyNumberFormat="1" applyFont="1" applyBorder="1" applyAlignment="1">
      <alignment horizontal="center" vertical="center"/>
    </xf>
    <xf numFmtId="2" fontId="9" fillId="13" borderId="0" xfId="0" applyNumberFormat="1" applyFont="1" applyFill="1" applyBorder="1"/>
    <xf numFmtId="0" fontId="0" fillId="0" borderId="0" xfId="0" applyFill="1" applyBorder="1"/>
    <xf numFmtId="4" fontId="39" fillId="0" borderId="19" xfId="0" applyNumberFormat="1" applyFont="1" applyFill="1" applyBorder="1"/>
    <xf numFmtId="4" fontId="19" fillId="0" borderId="19" xfId="0" applyNumberFormat="1" applyFont="1" applyFill="1" applyBorder="1"/>
    <xf numFmtId="4" fontId="4" fillId="0" borderId="19" xfId="0" applyNumberFormat="1" applyFont="1" applyFill="1" applyBorder="1"/>
    <xf numFmtId="0" fontId="22" fillId="0" borderId="0" xfId="0" applyFont="1" applyFill="1" applyBorder="1" applyAlignment="1">
      <alignment horizontal="left" vertical="center"/>
    </xf>
    <xf numFmtId="4" fontId="50" fillId="0" borderId="20" xfId="0" applyNumberFormat="1" applyFont="1" applyFill="1" applyBorder="1" applyAlignment="1">
      <alignment vertical="center"/>
    </xf>
    <xf numFmtId="4" fontId="50" fillId="0" borderId="0" xfId="0" applyNumberFormat="1" applyFont="1" applyFill="1" applyBorder="1" applyAlignment="1">
      <alignment vertical="center"/>
    </xf>
    <xf numFmtId="4" fontId="19" fillId="0" borderId="0" xfId="0" applyNumberFormat="1" applyFont="1" applyFill="1" applyBorder="1"/>
    <xf numFmtId="3" fontId="19" fillId="0" borderId="0" xfId="0" applyNumberFormat="1" applyFont="1" applyFill="1" applyBorder="1"/>
    <xf numFmtId="0" fontId="8" fillId="0" borderId="0" xfId="0" applyFont="1" applyFill="1"/>
    <xf numFmtId="0" fontId="13" fillId="0" borderId="6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/>
    </xf>
    <xf numFmtId="0" fontId="12" fillId="0" borderId="18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vertical="center" wrapText="1"/>
    </xf>
    <xf numFmtId="0" fontId="20" fillId="0" borderId="0" xfId="0" applyFont="1" applyFill="1" applyAlignment="1">
      <alignment vertical="center"/>
    </xf>
    <xf numFmtId="16" fontId="22" fillId="0" borderId="8" xfId="0" applyNumberFormat="1" applyFont="1" applyBorder="1" applyAlignment="1">
      <alignment horizontal="center" vertical="center"/>
    </xf>
    <xf numFmtId="0" fontId="0" fillId="17" borderId="8" xfId="0" applyFill="1" applyBorder="1"/>
    <xf numFmtId="4" fontId="9" fillId="0" borderId="8" xfId="0" applyNumberFormat="1" applyFont="1" applyFill="1" applyBorder="1"/>
    <xf numFmtId="4" fontId="22" fillId="0" borderId="10" xfId="0" applyNumberFormat="1" applyFont="1" applyFill="1" applyBorder="1" applyAlignment="1">
      <alignment vertical="center"/>
    </xf>
    <xf numFmtId="2" fontId="9" fillId="17" borderId="8" xfId="0" applyNumberFormat="1" applyFont="1" applyFill="1" applyBorder="1"/>
    <xf numFmtId="0" fontId="28" fillId="17" borderId="8" xfId="0" applyFont="1" applyFill="1" applyBorder="1"/>
    <xf numFmtId="0" fontId="31" fillId="17" borderId="8" xfId="0" applyFont="1" applyFill="1" applyBorder="1"/>
    <xf numFmtId="0" fontId="8" fillId="16" borderId="8" xfId="0" applyFont="1" applyFill="1" applyBorder="1"/>
    <xf numFmtId="0" fontId="24" fillId="17" borderId="8" xfId="0" applyFont="1" applyFill="1" applyBorder="1"/>
    <xf numFmtId="0" fontId="29" fillId="17" borderId="8" xfId="0" applyFont="1" applyFill="1" applyBorder="1"/>
    <xf numFmtId="0" fontId="22" fillId="17" borderId="8" xfId="0" applyFont="1" applyFill="1" applyBorder="1"/>
    <xf numFmtId="0" fontId="25" fillId="17" borderId="8" xfId="0" applyFont="1" applyFill="1" applyBorder="1"/>
    <xf numFmtId="2" fontId="0" fillId="14" borderId="8" xfId="0" applyNumberFormat="1" applyFill="1" applyBorder="1"/>
    <xf numFmtId="0" fontId="24" fillId="0" borderId="8" xfId="0" applyFont="1" applyFill="1" applyBorder="1"/>
    <xf numFmtId="0" fontId="20" fillId="0" borderId="3" xfId="0" quotePrefix="1" applyFont="1" applyFill="1" applyBorder="1" applyAlignment="1">
      <alignment horizontal="center" vertical="center"/>
    </xf>
    <xf numFmtId="0" fontId="53" fillId="17" borderId="8" xfId="0" applyFont="1" applyFill="1" applyBorder="1"/>
    <xf numFmtId="0" fontId="6" fillId="0" borderId="8" xfId="0" applyFont="1" applyFill="1" applyBorder="1"/>
    <xf numFmtId="0" fontId="9" fillId="17" borderId="8" xfId="0" applyFont="1" applyFill="1" applyBorder="1"/>
    <xf numFmtId="0" fontId="54" fillId="0" borderId="8" xfId="0" applyFont="1" applyBorder="1"/>
    <xf numFmtId="0" fontId="6" fillId="0" borderId="8" xfId="0" applyFont="1" applyBorder="1"/>
    <xf numFmtId="0" fontId="22" fillId="0" borderId="0" xfId="0" applyFont="1" applyBorder="1" applyAlignment="1">
      <alignment horizontal="left" vertical="center"/>
    </xf>
    <xf numFmtId="0" fontId="4" fillId="0" borderId="0" xfId="0" applyFont="1"/>
    <xf numFmtId="0" fontId="19" fillId="0" borderId="0" xfId="0" applyFont="1"/>
    <xf numFmtId="0" fontId="55" fillId="0" borderId="0" xfId="0" applyFont="1" applyFill="1"/>
    <xf numFmtId="0" fontId="56" fillId="0" borderId="0" xfId="0" applyFont="1" applyAlignment="1">
      <alignment horizontal="center"/>
    </xf>
    <xf numFmtId="2" fontId="57" fillId="0" borderId="19" xfId="0" applyNumberFormat="1" applyFont="1" applyFill="1" applyBorder="1"/>
    <xf numFmtId="2" fontId="57" fillId="0" borderId="0" xfId="0" applyNumberFormat="1" applyFont="1"/>
    <xf numFmtId="4" fontId="57" fillId="0" borderId="19" xfId="0" applyNumberFormat="1" applyFont="1" applyFill="1" applyBorder="1"/>
    <xf numFmtId="4" fontId="49" fillId="0" borderId="0" xfId="0" applyNumberFormat="1" applyFont="1" applyFill="1" applyBorder="1"/>
    <xf numFmtId="2" fontId="57" fillId="0" borderId="0" xfId="0" applyNumberFormat="1" applyFont="1" applyFill="1"/>
    <xf numFmtId="2" fontId="49" fillId="0" borderId="0" xfId="0" applyNumberFormat="1" applyFont="1" applyFill="1"/>
    <xf numFmtId="2" fontId="58" fillId="2" borderId="0" xfId="0" applyNumberFormat="1" applyFont="1" applyFill="1"/>
    <xf numFmtId="2" fontId="57" fillId="5" borderId="0" xfId="0" applyNumberFormat="1" applyFont="1" applyFill="1"/>
    <xf numFmtId="2" fontId="49" fillId="5" borderId="0" xfId="0" applyNumberFormat="1" applyFont="1" applyFill="1"/>
    <xf numFmtId="0" fontId="55" fillId="0" borderId="0" xfId="0" applyFont="1"/>
    <xf numFmtId="0" fontId="4" fillId="0" borderId="0" xfId="0" applyFont="1" applyAlignment="1">
      <alignment horizontal="center"/>
    </xf>
    <xf numFmtId="2" fontId="39" fillId="0" borderId="0" xfId="0" applyNumberFormat="1" applyFont="1" applyFill="1" applyBorder="1"/>
    <xf numFmtId="2" fontId="39" fillId="0" borderId="0" xfId="0" applyNumberFormat="1" applyFont="1"/>
    <xf numFmtId="4" fontId="39" fillId="0" borderId="0" xfId="0" applyNumberFormat="1" applyFont="1" applyFill="1" applyBorder="1"/>
    <xf numFmtId="2" fontId="39" fillId="0" borderId="0" xfId="0" applyNumberFormat="1" applyFont="1" applyFill="1"/>
    <xf numFmtId="2" fontId="19" fillId="0" borderId="0" xfId="0" applyNumberFormat="1" applyFont="1" applyFill="1"/>
    <xf numFmtId="2" fontId="2" fillId="0" borderId="0" xfId="0" applyNumberFormat="1" applyFont="1" applyFill="1"/>
    <xf numFmtId="0" fontId="10" fillId="3" borderId="0" xfId="0" applyFont="1" applyFill="1" applyBorder="1" applyAlignment="1">
      <alignment vertical="center"/>
    </xf>
    <xf numFmtId="0" fontId="35" fillId="2" borderId="5" xfId="0" applyFont="1" applyFill="1" applyBorder="1" applyAlignment="1">
      <alignment horizontal="center" vertical="center" wrapText="1"/>
    </xf>
    <xf numFmtId="166" fontId="0" fillId="0" borderId="0" xfId="0" applyNumberFormat="1"/>
    <xf numFmtId="4" fontId="8" fillId="0" borderId="0" xfId="0" applyNumberFormat="1" applyFont="1"/>
    <xf numFmtId="4" fontId="9" fillId="0" borderId="0" xfId="0" applyNumberFormat="1" applyFont="1"/>
    <xf numFmtId="0" fontId="60" fillId="0" borderId="0" xfId="0" applyFont="1"/>
    <xf numFmtId="0" fontId="59" fillId="15" borderId="8" xfId="0" applyFont="1" applyFill="1" applyBorder="1" applyAlignment="1">
      <alignment horizontal="center"/>
    </xf>
    <xf numFmtId="0" fontId="59" fillId="15" borderId="8" xfId="0" applyFont="1" applyFill="1" applyBorder="1"/>
    <xf numFmtId="0" fontId="59" fillId="15" borderId="10" xfId="2" applyFont="1" applyFill="1" applyBorder="1" applyAlignment="1">
      <alignment horizontal="center"/>
    </xf>
    <xf numFmtId="0" fontId="59" fillId="15" borderId="8" xfId="2" applyFont="1" applyFill="1" applyBorder="1" applyAlignment="1">
      <alignment horizontal="center"/>
    </xf>
    <xf numFmtId="2" fontId="20" fillId="0" borderId="0" xfId="0" applyNumberFormat="1" applyFont="1"/>
    <xf numFmtId="9" fontId="22" fillId="0" borderId="0" xfId="0" applyNumberFormat="1" applyFont="1"/>
    <xf numFmtId="2" fontId="59" fillId="15" borderId="8" xfId="0" applyNumberFormat="1" applyFont="1" applyFill="1" applyBorder="1" applyAlignment="1">
      <alignment horizontal="center"/>
    </xf>
    <xf numFmtId="2" fontId="22" fillId="15" borderId="8" xfId="0" applyNumberFormat="1" applyFont="1" applyFill="1" applyBorder="1" applyAlignment="1">
      <alignment horizontal="center"/>
    </xf>
    <xf numFmtId="2" fontId="22" fillId="15" borderId="8" xfId="0" applyNumberFormat="1" applyFont="1" applyFill="1" applyBorder="1"/>
    <xf numFmtId="2" fontId="59" fillId="15" borderId="8" xfId="0" applyNumberFormat="1" applyFont="1" applyFill="1" applyBorder="1"/>
    <xf numFmtId="49" fontId="20" fillId="15" borderId="8" xfId="2" applyNumberFormat="1" applyFont="1" applyFill="1" applyBorder="1" applyAlignment="1">
      <alignment horizontal="center"/>
    </xf>
    <xf numFmtId="0" fontId="22" fillId="15" borderId="8" xfId="2" applyFill="1" applyBorder="1" applyAlignment="1">
      <alignment horizontal="center"/>
    </xf>
    <xf numFmtId="0" fontId="8" fillId="15" borderId="8" xfId="2" applyFont="1" applyFill="1" applyBorder="1" applyAlignment="1">
      <alignment horizontal="center"/>
    </xf>
    <xf numFmtId="0" fontId="22" fillId="15" borderId="0" xfId="0" applyFont="1" applyFill="1"/>
    <xf numFmtId="2" fontId="41" fillId="0" borderId="0" xfId="0" applyNumberFormat="1" applyFont="1"/>
    <xf numFmtId="2" fontId="59" fillId="15" borderId="0" xfId="0" applyNumberFormat="1" applyFont="1" applyFill="1" applyBorder="1" applyAlignment="1">
      <alignment horizontal="center"/>
    </xf>
    <xf numFmtId="0" fontId="64" fillId="0" borderId="0" xfId="0" applyFont="1"/>
    <xf numFmtId="0" fontId="64" fillId="0" borderId="0" xfId="0" applyFont="1" applyBorder="1"/>
    <xf numFmtId="0" fontId="64" fillId="0" borderId="0" xfId="0" applyFont="1" applyFill="1" applyBorder="1"/>
    <xf numFmtId="0" fontId="65" fillId="0" borderId="0" xfId="0" applyFont="1"/>
    <xf numFmtId="0" fontId="66" fillId="0" borderId="0" xfId="0" applyFont="1"/>
    <xf numFmtId="0" fontId="64" fillId="0" borderId="0" xfId="0" applyFont="1" applyAlignment="1">
      <alignment horizontal="center"/>
    </xf>
    <xf numFmtId="0" fontId="21" fillId="0" borderId="12" xfId="0" applyFont="1" applyFill="1" applyBorder="1" applyAlignment="1"/>
    <xf numFmtId="0" fontId="21" fillId="0" borderId="13" xfId="0" applyFont="1" applyFill="1" applyBorder="1" applyAlignment="1">
      <alignment vertical="center"/>
    </xf>
    <xf numFmtId="4" fontId="22" fillId="0" borderId="15" xfId="0" applyNumberFormat="1" applyFont="1" applyFill="1" applyBorder="1" applyAlignment="1">
      <alignment vertical="center"/>
    </xf>
    <xf numFmtId="4" fontId="24" fillId="0" borderId="15" xfId="0" applyNumberFormat="1" applyFont="1" applyFill="1" applyBorder="1" applyAlignment="1">
      <alignment vertical="center"/>
    </xf>
    <xf numFmtId="4" fontId="22" fillId="9" borderId="15" xfId="0" applyNumberFormat="1" applyFont="1" applyFill="1" applyBorder="1" applyAlignment="1">
      <alignment vertical="center"/>
    </xf>
    <xf numFmtId="0" fontId="25" fillId="0" borderId="0" xfId="0" applyFont="1" applyFill="1" applyBorder="1"/>
    <xf numFmtId="0" fontId="21" fillId="0" borderId="5" xfId="0" applyFont="1" applyFill="1" applyBorder="1"/>
    <xf numFmtId="0" fontId="69" fillId="22" borderId="0" xfId="0" applyFont="1" applyFill="1" applyBorder="1"/>
    <xf numFmtId="0" fontId="70" fillId="22" borderId="0" xfId="0" applyFont="1" applyFill="1" applyBorder="1"/>
    <xf numFmtId="0" fontId="51" fillId="22" borderId="0" xfId="0" applyFont="1" applyFill="1" applyBorder="1"/>
    <xf numFmtId="168" fontId="51" fillId="22" borderId="0" xfId="1" applyNumberFormat="1" applyFont="1" applyFill="1" applyBorder="1"/>
    <xf numFmtId="0" fontId="51" fillId="0" borderId="0" xfId="0" applyFont="1" applyFill="1" applyBorder="1"/>
    <xf numFmtId="0" fontId="71" fillId="22" borderId="0" xfId="0" applyFont="1" applyFill="1" applyBorder="1" applyAlignment="1">
      <alignment horizontal="center" wrapText="1"/>
    </xf>
    <xf numFmtId="0" fontId="71" fillId="23" borderId="8" xfId="0" applyFont="1" applyFill="1" applyBorder="1" applyAlignment="1">
      <alignment horizontal="center" wrapText="1"/>
    </xf>
    <xf numFmtId="0" fontId="72" fillId="25" borderId="35" xfId="0" applyFont="1" applyFill="1" applyBorder="1" applyAlignment="1">
      <alignment horizontal="center" vertical="center"/>
    </xf>
    <xf numFmtId="0" fontId="72" fillId="25" borderId="28" xfId="0" applyFont="1" applyFill="1" applyBorder="1" applyAlignment="1">
      <alignment horizontal="center" vertical="center" wrapText="1"/>
    </xf>
    <xf numFmtId="0" fontId="52" fillId="0" borderId="26" xfId="0" applyFont="1" applyFill="1" applyBorder="1" applyAlignment="1">
      <alignment horizontal="center"/>
    </xf>
    <xf numFmtId="0" fontId="52" fillId="0" borderId="37" xfId="1" applyNumberFormat="1" applyFont="1" applyFill="1" applyBorder="1" applyAlignment="1">
      <alignment horizontal="center"/>
    </xf>
    <xf numFmtId="2" fontId="52" fillId="0" borderId="37" xfId="1" applyNumberFormat="1" applyFont="1" applyFill="1" applyBorder="1" applyAlignment="1">
      <alignment horizontal="center"/>
    </xf>
    <xf numFmtId="2" fontId="52" fillId="0" borderId="19" xfId="1" applyNumberFormat="1" applyFont="1" applyFill="1" applyBorder="1" applyAlignment="1">
      <alignment horizontal="center"/>
    </xf>
    <xf numFmtId="168" fontId="52" fillId="0" borderId="37" xfId="1" applyNumberFormat="1" applyFont="1" applyFill="1" applyBorder="1" applyAlignment="1">
      <alignment horizontal="center"/>
    </xf>
    <xf numFmtId="0" fontId="74" fillId="0" borderId="36" xfId="0" applyFont="1" applyFill="1" applyBorder="1" applyAlignment="1">
      <alignment horizontal="center" vertical="center"/>
    </xf>
    <xf numFmtId="0" fontId="51" fillId="0" borderId="19" xfId="0" applyFont="1" applyFill="1" applyBorder="1" applyAlignment="1">
      <alignment horizontal="left" vertical="center" wrapText="1"/>
    </xf>
    <xf numFmtId="0" fontId="52" fillId="0" borderId="19" xfId="0" applyFont="1" applyFill="1" applyBorder="1" applyAlignment="1">
      <alignment horizontal="center"/>
    </xf>
    <xf numFmtId="0" fontId="52" fillId="0" borderId="18" xfId="1" applyNumberFormat="1" applyFont="1" applyFill="1" applyBorder="1" applyAlignment="1">
      <alignment horizontal="center"/>
    </xf>
    <xf numFmtId="2" fontId="52" fillId="0" borderId="18" xfId="1" applyNumberFormat="1" applyFont="1" applyFill="1" applyBorder="1" applyAlignment="1">
      <alignment horizontal="center"/>
    </xf>
    <xf numFmtId="0" fontId="52" fillId="0" borderId="19" xfId="1" applyNumberFormat="1" applyFont="1" applyFill="1" applyBorder="1" applyAlignment="1">
      <alignment horizontal="center"/>
    </xf>
    <xf numFmtId="168" fontId="52" fillId="0" borderId="19" xfId="1" applyNumberFormat="1" applyFont="1" applyFill="1" applyBorder="1" applyAlignment="1">
      <alignment horizontal="center"/>
    </xf>
    <xf numFmtId="0" fontId="52" fillId="0" borderId="23" xfId="0" applyFont="1" applyFill="1" applyBorder="1" applyAlignment="1">
      <alignment horizontal="center"/>
    </xf>
    <xf numFmtId="2" fontId="52" fillId="0" borderId="23" xfId="1" applyNumberFormat="1" applyFont="1" applyFill="1" applyBorder="1" applyAlignment="1">
      <alignment horizontal="center"/>
    </xf>
    <xf numFmtId="0" fontId="51" fillId="0" borderId="23" xfId="0" applyFont="1" applyFill="1" applyBorder="1"/>
    <xf numFmtId="2" fontId="75" fillId="0" borderId="37" xfId="1" applyNumberFormat="1" applyFont="1" applyFill="1" applyBorder="1" applyAlignment="1">
      <alignment horizontal="center"/>
    </xf>
    <xf numFmtId="0" fontId="74" fillId="0" borderId="17" xfId="0" applyFont="1" applyFill="1" applyBorder="1" applyAlignment="1">
      <alignment horizontal="center" vertical="center"/>
    </xf>
    <xf numFmtId="0" fontId="52" fillId="0" borderId="17" xfId="0" applyFont="1" applyFill="1" applyBorder="1" applyAlignment="1">
      <alignment horizontal="left" vertical="center" wrapText="1"/>
    </xf>
    <xf numFmtId="0" fontId="0" fillId="0" borderId="19" xfId="0" applyFill="1" applyBorder="1"/>
    <xf numFmtId="0" fontId="0" fillId="0" borderId="0" xfId="0" applyFill="1" applyAlignment="1">
      <alignment horizontal="center" vertical="center"/>
    </xf>
    <xf numFmtId="2" fontId="78" fillId="0" borderId="18" xfId="0" applyNumberFormat="1" applyFont="1" applyFill="1" applyBorder="1" applyAlignment="1">
      <alignment horizontal="center"/>
    </xf>
    <xf numFmtId="2" fontId="77" fillId="0" borderId="23" xfId="0" applyNumberFormat="1" applyFont="1" applyFill="1" applyBorder="1" applyAlignment="1">
      <alignment horizontal="center"/>
    </xf>
    <xf numFmtId="0" fontId="81" fillId="0" borderId="41" xfId="0" applyFont="1" applyFill="1" applyBorder="1" applyAlignment="1">
      <alignment vertical="center" wrapText="1"/>
    </xf>
    <xf numFmtId="0" fontId="81" fillId="0" borderId="3" xfId="0" applyFont="1" applyFill="1" applyBorder="1" applyAlignment="1">
      <alignment vertical="center" wrapText="1"/>
    </xf>
    <xf numFmtId="0" fontId="81" fillId="0" borderId="3" xfId="0" applyFont="1" applyFill="1" applyBorder="1" applyAlignment="1">
      <alignment horizontal="center" vertical="center" wrapText="1"/>
    </xf>
    <xf numFmtId="0" fontId="81" fillId="0" borderId="34" xfId="0" applyFont="1" applyFill="1" applyBorder="1" applyAlignment="1">
      <alignment vertical="center" wrapText="1"/>
    </xf>
    <xf numFmtId="0" fontId="81" fillId="0" borderId="7" xfId="0" applyFont="1" applyFill="1" applyBorder="1" applyAlignment="1">
      <alignment vertical="center" wrapText="1"/>
    </xf>
    <xf numFmtId="0" fontId="81" fillId="0" borderId="0" xfId="0" applyFont="1" applyFill="1" applyBorder="1" applyAlignment="1">
      <alignment vertical="center" wrapText="1"/>
    </xf>
    <xf numFmtId="0" fontId="81" fillId="0" borderId="6" xfId="0" applyFont="1" applyFill="1" applyBorder="1" applyAlignment="1">
      <alignment vertical="center" wrapText="1"/>
    </xf>
    <xf numFmtId="0" fontId="82" fillId="0" borderId="0" xfId="0" applyFont="1" applyFill="1" applyBorder="1"/>
    <xf numFmtId="0" fontId="61" fillId="0" borderId="0" xfId="0" applyFont="1" applyFill="1" applyBorder="1"/>
    <xf numFmtId="0" fontId="20" fillId="0" borderId="0" xfId="0" applyFont="1" applyFill="1" applyBorder="1"/>
    <xf numFmtId="0" fontId="61" fillId="0" borderId="44" xfId="0" applyFont="1" applyFill="1" applyBorder="1" applyAlignment="1">
      <alignment horizontal="center"/>
    </xf>
    <xf numFmtId="0" fontId="61" fillId="0" borderId="30" xfId="0" applyFont="1" applyFill="1" applyBorder="1" applyAlignment="1">
      <alignment horizontal="center"/>
    </xf>
    <xf numFmtId="0" fontId="20" fillId="0" borderId="31" xfId="0" quotePrefix="1" applyFont="1" applyFill="1" applyBorder="1" applyAlignment="1">
      <alignment horizontal="center"/>
    </xf>
    <xf numFmtId="0" fontId="20" fillId="0" borderId="24" xfId="0" quotePrefix="1" applyFont="1" applyFill="1" applyBorder="1" applyAlignment="1">
      <alignment horizontal="center"/>
    </xf>
    <xf numFmtId="0" fontId="85" fillId="0" borderId="16" xfId="0" applyFont="1" applyFill="1" applyBorder="1" applyAlignment="1">
      <alignment horizontal="center"/>
    </xf>
    <xf numFmtId="2" fontId="20" fillId="0" borderId="16" xfId="0" applyNumberFormat="1" applyFont="1" applyFill="1" applyBorder="1" applyAlignment="1">
      <alignment horizontal="center"/>
    </xf>
    <xf numFmtId="169" fontId="20" fillId="26" borderId="45" xfId="0" applyNumberFormat="1" applyFont="1" applyFill="1" applyBorder="1" applyAlignment="1">
      <alignment horizontal="center"/>
    </xf>
    <xf numFmtId="2" fontId="20" fillId="27" borderId="29" xfId="0" applyNumberFormat="1" applyFont="1" applyFill="1" applyBorder="1" applyAlignment="1">
      <alignment horizontal="center"/>
    </xf>
    <xf numFmtId="2" fontId="20" fillId="21" borderId="16" xfId="0" applyNumberFormat="1" applyFont="1" applyFill="1" applyBorder="1" applyAlignment="1">
      <alignment horizontal="center"/>
    </xf>
    <xf numFmtId="2" fontId="86" fillId="6" borderId="14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0" fillId="5" borderId="16" xfId="0" applyNumberFormat="1" applyFont="1" applyFill="1" applyBorder="1" applyAlignment="1">
      <alignment horizontal="center"/>
    </xf>
    <xf numFmtId="0" fontId="20" fillId="0" borderId="24" xfId="0" applyFont="1" applyFill="1" applyBorder="1" applyAlignment="1">
      <alignment horizontal="center"/>
    </xf>
    <xf numFmtId="2" fontId="86" fillId="6" borderId="29" xfId="0" applyNumberFormat="1" applyFont="1" applyFill="1" applyBorder="1" applyAlignment="1">
      <alignment horizontal="center"/>
    </xf>
    <xf numFmtId="0" fontId="20" fillId="0" borderId="0" xfId="0" quotePrefix="1" applyFont="1" applyFill="1" applyBorder="1" applyAlignment="1">
      <alignment horizontal="center"/>
    </xf>
    <xf numFmtId="0" fontId="85" fillId="0" borderId="8" xfId="0" applyFont="1" applyFill="1" applyBorder="1" applyAlignment="1">
      <alignment horizontal="center"/>
    </xf>
    <xf numFmtId="2" fontId="61" fillId="0" borderId="12" xfId="0" applyNumberFormat="1" applyFont="1" applyFill="1" applyBorder="1" applyAlignment="1">
      <alignment horizontal="center"/>
    </xf>
    <xf numFmtId="4" fontId="61" fillId="28" borderId="0" xfId="0" applyNumberFormat="1" applyFont="1" applyFill="1" applyBorder="1" applyAlignment="1">
      <alignment horizontal="center"/>
    </xf>
    <xf numFmtId="4" fontId="83" fillId="0" borderId="23" xfId="0" applyNumberFormat="1" applyFont="1" applyFill="1" applyBorder="1" applyAlignment="1">
      <alignment horizontal="center"/>
    </xf>
    <xf numFmtId="167" fontId="20" fillId="0" borderId="7" xfId="0" applyNumberFormat="1" applyFont="1" applyFill="1" applyBorder="1" applyAlignment="1">
      <alignment horizontal="center"/>
    </xf>
    <xf numFmtId="0" fontId="79" fillId="0" borderId="0" xfId="0" applyFont="1"/>
    <xf numFmtId="2" fontId="86" fillId="0" borderId="7" xfId="0" applyNumberFormat="1" applyFont="1" applyFill="1" applyBorder="1" applyAlignment="1">
      <alignment horizontal="center"/>
    </xf>
    <xf numFmtId="0" fontId="0" fillId="0" borderId="8" xfId="0" applyBorder="1"/>
    <xf numFmtId="2" fontId="22" fillId="29" borderId="8" xfId="0" applyNumberFormat="1" applyFont="1" applyFill="1" applyBorder="1" applyAlignment="1">
      <alignment horizontal="right" vertical="center"/>
    </xf>
    <xf numFmtId="2" fontId="75" fillId="6" borderId="37" xfId="1" applyNumberFormat="1" applyFont="1" applyFill="1" applyBorder="1" applyAlignment="1">
      <alignment horizontal="center" vertical="center"/>
    </xf>
    <xf numFmtId="0" fontId="74" fillId="0" borderId="47" xfId="0" applyFont="1" applyFill="1" applyBorder="1" applyAlignment="1">
      <alignment horizontal="center" vertical="center"/>
    </xf>
    <xf numFmtId="0" fontId="51" fillId="0" borderId="47" xfId="0" applyFont="1" applyFill="1" applyBorder="1" applyAlignment="1">
      <alignment horizontal="left" vertical="center" wrapText="1"/>
    </xf>
    <xf numFmtId="0" fontId="52" fillId="30" borderId="37" xfId="1" applyNumberFormat="1" applyFont="1" applyFill="1" applyBorder="1" applyAlignment="1">
      <alignment horizontal="center"/>
    </xf>
    <xf numFmtId="0" fontId="52" fillId="30" borderId="18" xfId="1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left" vertical="center" wrapText="1"/>
    </xf>
    <xf numFmtId="0" fontId="9" fillId="0" borderId="8" xfId="0" applyFont="1" applyFill="1" applyBorder="1"/>
    <xf numFmtId="0" fontId="22" fillId="0" borderId="8" xfId="0" applyFont="1" applyFill="1" applyBorder="1" applyAlignment="1">
      <alignment horizontal="right"/>
    </xf>
    <xf numFmtId="0" fontId="9" fillId="0" borderId="8" xfId="0" applyFont="1" applyFill="1" applyBorder="1" applyAlignment="1">
      <alignment horizontal="right"/>
    </xf>
    <xf numFmtId="2" fontId="57" fillId="0" borderId="0" xfId="0" applyNumberFormat="1" applyFont="1" applyFill="1" applyBorder="1"/>
    <xf numFmtId="4" fontId="57" fillId="0" borderId="0" xfId="0" applyNumberFormat="1" applyFont="1" applyFill="1" applyBorder="1"/>
    <xf numFmtId="0" fontId="50" fillId="15" borderId="16" xfId="2" applyFont="1" applyFill="1" applyBorder="1" applyAlignment="1">
      <alignment horizontal="left"/>
    </xf>
    <xf numFmtId="0" fontId="50" fillId="15" borderId="24" xfId="2" applyFont="1" applyFill="1" applyBorder="1" applyAlignment="1">
      <alignment horizontal="left"/>
    </xf>
    <xf numFmtId="0" fontId="50" fillId="15" borderId="10" xfId="2" applyFont="1" applyFill="1" applyBorder="1" applyAlignment="1">
      <alignment horizontal="left"/>
    </xf>
    <xf numFmtId="2" fontId="22" fillId="15" borderId="0" xfId="0" applyNumberFormat="1" applyFont="1" applyFill="1"/>
    <xf numFmtId="2" fontId="0" fillId="0" borderId="0" xfId="0" applyNumberFormat="1" applyFont="1"/>
    <xf numFmtId="2" fontId="0" fillId="15" borderId="0" xfId="0" applyNumberFormat="1" applyFill="1"/>
    <xf numFmtId="2" fontId="26" fillId="0" borderId="8" xfId="0" applyNumberFormat="1" applyFont="1" applyFill="1" applyBorder="1"/>
    <xf numFmtId="14" fontId="87" fillId="25" borderId="23" xfId="0" applyNumberFormat="1" applyFont="1" applyFill="1" applyBorder="1" applyAlignment="1">
      <alignment horizontal="center" vertical="center" wrapText="1"/>
    </xf>
    <xf numFmtId="168" fontId="87" fillId="25" borderId="23" xfId="1" applyNumberFormat="1" applyFont="1" applyFill="1" applyBorder="1" applyAlignment="1">
      <alignment horizontal="center" vertical="center" wrapText="1"/>
    </xf>
    <xf numFmtId="168" fontId="87" fillId="25" borderId="27" xfId="1" applyNumberFormat="1" applyFont="1" applyFill="1" applyBorder="1" applyAlignment="1">
      <alignment horizontal="center" vertical="center" wrapText="1"/>
    </xf>
    <xf numFmtId="0" fontId="72" fillId="25" borderId="27" xfId="0" applyFont="1" applyFill="1" applyBorder="1" applyAlignment="1">
      <alignment horizontal="center" vertical="center"/>
    </xf>
    <xf numFmtId="0" fontId="73" fillId="25" borderId="20" xfId="0" applyFont="1" applyFill="1" applyBorder="1" applyAlignment="1">
      <alignment horizontal="center" vertical="center"/>
    </xf>
    <xf numFmtId="0" fontId="52" fillId="0" borderId="37" xfId="0" applyFont="1" applyFill="1" applyBorder="1" applyAlignment="1">
      <alignment horizontal="center"/>
    </xf>
    <xf numFmtId="0" fontId="51" fillId="32" borderId="19" xfId="0" applyFont="1" applyFill="1" applyBorder="1" applyAlignment="1">
      <alignment horizontal="left" vertical="center" wrapText="1"/>
    </xf>
    <xf numFmtId="2" fontId="75" fillId="32" borderId="37" xfId="1" applyNumberFormat="1" applyFont="1" applyFill="1" applyBorder="1" applyAlignment="1">
      <alignment horizontal="center"/>
    </xf>
    <xf numFmtId="2" fontId="75" fillId="32" borderId="19" xfId="1" applyNumberFormat="1" applyFont="1" applyFill="1" applyBorder="1" applyAlignment="1">
      <alignment horizontal="center"/>
    </xf>
    <xf numFmtId="0" fontId="7" fillId="32" borderId="17" xfId="0" applyFont="1" applyFill="1" applyBorder="1"/>
    <xf numFmtId="0" fontId="52" fillId="0" borderId="18" xfId="0" applyFont="1" applyFill="1" applyBorder="1" applyAlignment="1">
      <alignment horizontal="center"/>
    </xf>
    <xf numFmtId="2" fontId="76" fillId="0" borderId="23" xfId="0" applyNumberFormat="1" applyFont="1" applyFill="1" applyBorder="1" applyAlignment="1">
      <alignment horizontal="center"/>
    </xf>
    <xf numFmtId="2" fontId="76" fillId="0" borderId="40" xfId="0" applyNumberFormat="1" applyFont="1" applyFill="1" applyBorder="1" applyAlignment="1">
      <alignment horizontal="center"/>
    </xf>
    <xf numFmtId="0" fontId="56" fillId="0" borderId="8" xfId="0" applyFont="1" applyBorder="1" applyAlignment="1">
      <alignment vertical="center"/>
    </xf>
    <xf numFmtId="0" fontId="56" fillId="0" borderId="8" xfId="0" applyFont="1" applyBorder="1" applyAlignment="1">
      <alignment horizontal="center" vertical="center"/>
    </xf>
    <xf numFmtId="0" fontId="89" fillId="0" borderId="8" xfId="0" applyFont="1" applyBorder="1" applyAlignment="1">
      <alignment horizontal="center" vertical="center" wrapText="1"/>
    </xf>
    <xf numFmtId="0" fontId="90" fillId="32" borderId="8" xfId="0" applyFont="1" applyFill="1" applyBorder="1" applyAlignment="1">
      <alignment horizontal="center" vertical="center" wrapText="1"/>
    </xf>
    <xf numFmtId="0" fontId="91" fillId="0" borderId="8" xfId="0" applyFont="1" applyBorder="1" applyAlignment="1">
      <alignment horizontal="center" vertical="center" wrapText="1"/>
    </xf>
    <xf numFmtId="0" fontId="2" fillId="33" borderId="8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center" vertical="center"/>
    </xf>
    <xf numFmtId="0" fontId="93" fillId="0" borderId="8" xfId="0" applyFont="1" applyBorder="1"/>
    <xf numFmtId="0" fontId="93" fillId="0" borderId="8" xfId="0" applyFont="1" applyBorder="1" applyAlignment="1">
      <alignment horizontal="center"/>
    </xf>
    <xf numFmtId="2" fontId="93" fillId="34" borderId="8" xfId="0" applyNumberFormat="1" applyFont="1" applyFill="1" applyBorder="1"/>
    <xf numFmtId="1" fontId="93" fillId="0" borderId="8" xfId="0" applyNumberFormat="1" applyFont="1" applyBorder="1" applyAlignment="1">
      <alignment horizontal="center"/>
    </xf>
    <xf numFmtId="2" fontId="56" fillId="16" borderId="8" xfId="0" applyNumberFormat="1" applyFont="1" applyFill="1" applyBorder="1"/>
    <xf numFmtId="0" fontId="93" fillId="0" borderId="0" xfId="0" applyFont="1"/>
    <xf numFmtId="0" fontId="56" fillId="0" borderId="8" xfId="0" applyFont="1" applyBorder="1"/>
    <xf numFmtId="0" fontId="4" fillId="0" borderId="8" xfId="0" applyFont="1" applyBorder="1"/>
    <xf numFmtId="0" fontId="94" fillId="0" borderId="8" xfId="0" applyFont="1" applyBorder="1"/>
    <xf numFmtId="0" fontId="90" fillId="0" borderId="8" xfId="0" applyFont="1" applyBorder="1"/>
    <xf numFmtId="1" fontId="93" fillId="0" borderId="8" xfId="0" applyNumberFormat="1" applyFont="1" applyBorder="1" applyAlignment="1">
      <alignment vertical="center"/>
    </xf>
    <xf numFmtId="0" fontId="72" fillId="25" borderId="48" xfId="0" applyFont="1" applyFill="1" applyBorder="1" applyAlignment="1">
      <alignment horizontal="center" vertical="center" wrapText="1"/>
    </xf>
    <xf numFmtId="0" fontId="72" fillId="25" borderId="19" xfId="0" applyFont="1" applyFill="1" applyBorder="1" applyAlignment="1">
      <alignment horizontal="center" vertical="center" textRotation="90"/>
    </xf>
    <xf numFmtId="0" fontId="52" fillId="31" borderId="37" xfId="1" applyNumberFormat="1" applyFont="1" applyFill="1" applyBorder="1" applyAlignment="1">
      <alignment horizontal="center"/>
    </xf>
    <xf numFmtId="2" fontId="75" fillId="6" borderId="19" xfId="1" applyNumberFormat="1" applyFont="1" applyFill="1" applyBorder="1" applyAlignment="1">
      <alignment horizontal="center" vertical="center"/>
    </xf>
    <xf numFmtId="0" fontId="74" fillId="18" borderId="35" xfId="0" applyFont="1" applyFill="1" applyBorder="1" applyAlignment="1">
      <alignment horizontal="center" vertical="center"/>
    </xf>
    <xf numFmtId="0" fontId="52" fillId="18" borderId="32" xfId="0" applyFont="1" applyFill="1" applyBorder="1" applyAlignment="1">
      <alignment horizontal="left" vertical="center" wrapText="1"/>
    </xf>
    <xf numFmtId="2" fontId="78" fillId="22" borderId="23" xfId="0" applyNumberFormat="1" applyFont="1" applyFill="1" applyBorder="1" applyAlignment="1">
      <alignment horizontal="center"/>
    </xf>
    <xf numFmtId="0" fontId="4" fillId="21" borderId="8" xfId="0" applyFont="1" applyFill="1" applyBorder="1"/>
    <xf numFmtId="0" fontId="4" fillId="0" borderId="8" xfId="0" applyFont="1" applyBorder="1" applyAlignment="1">
      <alignment horizontal="center"/>
    </xf>
    <xf numFmtId="44" fontId="4" fillId="35" borderId="8" xfId="1" applyFont="1" applyFill="1" applyBorder="1" applyAlignment="1">
      <alignment horizontal="center"/>
    </xf>
    <xf numFmtId="0" fontId="4" fillId="0" borderId="8" xfId="0" applyFont="1" applyFill="1" applyBorder="1"/>
    <xf numFmtId="0" fontId="61" fillId="36" borderId="8" xfId="0" applyFont="1" applyFill="1" applyBorder="1"/>
    <xf numFmtId="2" fontId="20" fillId="14" borderId="16" xfId="0" applyNumberFormat="1" applyFont="1" applyFill="1" applyBorder="1" applyAlignment="1">
      <alignment horizontal="center"/>
    </xf>
    <xf numFmtId="2" fontId="20" fillId="15" borderId="16" xfId="0" applyNumberFormat="1" applyFont="1" applyFill="1" applyBorder="1" applyAlignment="1">
      <alignment horizontal="center"/>
    </xf>
    <xf numFmtId="2" fontId="85" fillId="0" borderId="16" xfId="0" applyNumberFormat="1" applyFont="1" applyFill="1" applyBorder="1" applyAlignment="1">
      <alignment horizontal="center"/>
    </xf>
    <xf numFmtId="0" fontId="61" fillId="30" borderId="8" xfId="0" applyFont="1" applyFill="1" applyBorder="1"/>
    <xf numFmtId="0" fontId="61" fillId="5" borderId="8" xfId="0" applyFont="1" applyFill="1" applyBorder="1"/>
    <xf numFmtId="0" fontId="95" fillId="30" borderId="8" xfId="0" applyFont="1" applyFill="1" applyBorder="1"/>
    <xf numFmtId="2" fontId="20" fillId="13" borderId="16" xfId="0" applyNumberFormat="1" applyFont="1" applyFill="1" applyBorder="1" applyAlignment="1">
      <alignment horizontal="center"/>
    </xf>
    <xf numFmtId="0" fontId="95" fillId="36" borderId="8" xfId="0" applyFont="1" applyFill="1" applyBorder="1"/>
    <xf numFmtId="0" fontId="61" fillId="36" borderId="0" xfId="0" applyFont="1" applyFill="1" applyBorder="1"/>
    <xf numFmtId="0" fontId="95" fillId="36" borderId="0" xfId="0" applyFont="1" applyFill="1" applyBorder="1"/>
    <xf numFmtId="2" fontId="20" fillId="0" borderId="14" xfId="0" applyNumberFormat="1" applyFont="1" applyFill="1" applyBorder="1" applyAlignment="1">
      <alignment horizontal="center"/>
    </xf>
    <xf numFmtId="0" fontId="96" fillId="25" borderId="8" xfId="0" applyFont="1" applyFill="1" applyBorder="1" applyAlignment="1">
      <alignment horizontal="center" textRotation="90"/>
    </xf>
    <xf numFmtId="2" fontId="52" fillId="37" borderId="19" xfId="1" applyNumberFormat="1" applyFont="1" applyFill="1" applyBorder="1" applyAlignment="1">
      <alignment horizontal="center"/>
    </xf>
    <xf numFmtId="0" fontId="52" fillId="20" borderId="26" xfId="0" applyFont="1" applyFill="1" applyBorder="1" applyAlignment="1">
      <alignment horizontal="center"/>
    </xf>
    <xf numFmtId="0" fontId="52" fillId="20" borderId="37" xfId="1" applyNumberFormat="1" applyFont="1" applyFill="1" applyBorder="1" applyAlignment="1">
      <alignment horizontal="center"/>
    </xf>
    <xf numFmtId="0" fontId="52" fillId="0" borderId="17" xfId="0" applyFont="1" applyFill="1" applyBorder="1" applyAlignment="1">
      <alignment horizontal="center"/>
    </xf>
    <xf numFmtId="0" fontId="52" fillId="0" borderId="33" xfId="1" applyNumberFormat="1" applyFont="1" applyFill="1" applyBorder="1" applyAlignment="1">
      <alignment horizontal="center"/>
    </xf>
    <xf numFmtId="2" fontId="52" fillId="0" borderId="33" xfId="1" applyNumberFormat="1" applyFont="1" applyFill="1" applyBorder="1" applyAlignment="1">
      <alignment horizontal="center"/>
    </xf>
    <xf numFmtId="0" fontId="51" fillId="21" borderId="19" xfId="0" applyFont="1" applyFill="1" applyBorder="1" applyAlignment="1">
      <alignment horizontal="left" vertical="center" wrapText="1"/>
    </xf>
    <xf numFmtId="0" fontId="51" fillId="21" borderId="17" xfId="0" applyFont="1" applyFill="1" applyBorder="1" applyAlignment="1">
      <alignment horizontal="left" vertical="center" wrapText="1"/>
    </xf>
    <xf numFmtId="0" fontId="81" fillId="0" borderId="0" xfId="0" applyFont="1" applyFill="1" applyBorder="1" applyAlignment="1">
      <alignment horizontal="center" vertical="center" wrapText="1"/>
    </xf>
    <xf numFmtId="2" fontId="3" fillId="0" borderId="0" xfId="0" applyNumberFormat="1" applyFont="1"/>
    <xf numFmtId="2" fontId="39" fillId="0" borderId="0" xfId="0" applyNumberFormat="1" applyFont="1" applyAlignment="1">
      <alignment horizontal="center"/>
    </xf>
    <xf numFmtId="0" fontId="20" fillId="0" borderId="50" xfId="0" quotePrefix="1" applyFont="1" applyFill="1" applyBorder="1" applyAlignment="1">
      <alignment horizontal="center"/>
    </xf>
    <xf numFmtId="0" fontId="20" fillId="0" borderId="8" xfId="0" quotePrefix="1" applyFont="1" applyFill="1" applyBorder="1" applyAlignment="1">
      <alignment horizontal="center"/>
    </xf>
    <xf numFmtId="2" fontId="20" fillId="38" borderId="16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0" xfId="0" applyBorder="1" applyAlignme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Fill="1" applyBorder="1"/>
    <xf numFmtId="0" fontId="0" fillId="0" borderId="0" xfId="0" applyFill="1" applyAlignment="1">
      <alignment horizontal="left"/>
    </xf>
    <xf numFmtId="4" fontId="22" fillId="29" borderId="8" xfId="0" applyNumberFormat="1" applyFont="1" applyFill="1" applyBorder="1" applyAlignment="1">
      <alignment vertical="center"/>
    </xf>
    <xf numFmtId="0" fontId="21" fillId="0" borderId="8" xfId="0" applyFont="1" applyFill="1" applyBorder="1" applyAlignment="1">
      <alignment horizontal="left" vertical="center" wrapText="1"/>
    </xf>
    <xf numFmtId="0" fontId="99" fillId="0" borderId="8" xfId="0" applyFont="1" applyBorder="1" applyAlignment="1">
      <alignment horizontal="left" vertical="center"/>
    </xf>
    <xf numFmtId="0" fontId="100" fillId="0" borderId="2" xfId="0" applyFont="1" applyFill="1" applyBorder="1" applyAlignment="1">
      <alignment vertical="center"/>
    </xf>
    <xf numFmtId="0" fontId="4" fillId="19" borderId="8" xfId="0" applyFont="1" applyFill="1" applyBorder="1"/>
    <xf numFmtId="0" fontId="4" fillId="32" borderId="8" xfId="0" applyFont="1" applyFill="1" applyBorder="1" applyAlignment="1">
      <alignment horizontal="center"/>
    </xf>
    <xf numFmtId="44" fontId="4" fillId="32" borderId="8" xfId="1" applyFont="1" applyFill="1" applyBorder="1" applyAlignment="1">
      <alignment horizontal="center"/>
    </xf>
    <xf numFmtId="44" fontId="4" fillId="35" borderId="8" xfId="1" applyFont="1" applyFill="1" applyBorder="1"/>
    <xf numFmtId="0" fontId="4" fillId="32" borderId="8" xfId="0" applyFont="1" applyFill="1" applyBorder="1"/>
    <xf numFmtId="44" fontId="4" fillId="32" borderId="8" xfId="1" applyFont="1" applyFill="1" applyBorder="1"/>
    <xf numFmtId="0" fontId="101" fillId="0" borderId="8" xfId="0" applyFont="1" applyBorder="1"/>
    <xf numFmtId="0" fontId="0" fillId="32" borderId="8" xfId="0" applyFill="1" applyBorder="1"/>
    <xf numFmtId="0" fontId="4" fillId="0" borderId="11" xfId="0" applyFont="1" applyFill="1" applyBorder="1"/>
    <xf numFmtId="44" fontId="0" fillId="0" borderId="0" xfId="0" applyNumberFormat="1"/>
    <xf numFmtId="0" fontId="11" fillId="0" borderId="20" xfId="0" applyFont="1" applyFill="1" applyBorder="1" applyAlignment="1">
      <alignment vertical="center"/>
    </xf>
    <xf numFmtId="2" fontId="4" fillId="32" borderId="8" xfId="1" applyNumberFormat="1" applyFont="1" applyFill="1" applyBorder="1"/>
    <xf numFmtId="0" fontId="4" fillId="0" borderId="11" xfId="0" applyFont="1" applyBorder="1"/>
    <xf numFmtId="0" fontId="4" fillId="0" borderId="0" xfId="0" applyFont="1" applyBorder="1" applyAlignment="1">
      <alignment horizontal="center"/>
    </xf>
    <xf numFmtId="44" fontId="4" fillId="35" borderId="0" xfId="1" applyFont="1" applyFill="1" applyBorder="1" applyAlignment="1">
      <alignment horizontal="center"/>
    </xf>
    <xf numFmtId="0" fontId="4" fillId="32" borderId="0" xfId="0" applyFont="1" applyFill="1" applyBorder="1" applyAlignment="1">
      <alignment horizontal="center"/>
    </xf>
    <xf numFmtId="44" fontId="4" fillId="32" borderId="0" xfId="1" applyFont="1" applyFill="1" applyBorder="1" applyAlignment="1">
      <alignment horizontal="center"/>
    </xf>
    <xf numFmtId="0" fontId="4" fillId="0" borderId="0" xfId="0" applyFont="1" applyBorder="1"/>
    <xf numFmtId="44" fontId="4" fillId="35" borderId="0" xfId="1" applyFont="1" applyFill="1" applyBorder="1"/>
    <xf numFmtId="0" fontId="4" fillId="32" borderId="0" xfId="0" applyFont="1" applyFill="1" applyBorder="1"/>
    <xf numFmtId="44" fontId="4" fillId="32" borderId="0" xfId="1" applyFont="1" applyFill="1" applyBorder="1"/>
    <xf numFmtId="2" fontId="4" fillId="32" borderId="0" xfId="1" applyNumberFormat="1" applyFont="1" applyFill="1" applyBorder="1"/>
    <xf numFmtId="44" fontId="3" fillId="0" borderId="0" xfId="0" applyNumberFormat="1" applyFont="1"/>
    <xf numFmtId="0" fontId="103" fillId="0" borderId="52" xfId="0" applyFont="1" applyFill="1" applyBorder="1" applyAlignment="1">
      <alignment vertical="center"/>
    </xf>
    <xf numFmtId="0" fontId="64" fillId="0" borderId="52" xfId="0" applyFont="1" applyBorder="1"/>
    <xf numFmtId="0" fontId="65" fillId="0" borderId="52" xfId="0" applyFont="1" applyBorder="1"/>
    <xf numFmtId="0" fontId="64" fillId="0" borderId="52" xfId="0" applyFont="1" applyBorder="1" applyAlignment="1">
      <alignment vertical="center"/>
    </xf>
    <xf numFmtId="0" fontId="64" fillId="0" borderId="52" xfId="0" applyFont="1" applyFill="1" applyBorder="1"/>
    <xf numFmtId="0" fontId="104" fillId="0" borderId="52" xfId="0" applyFont="1" applyBorder="1" applyAlignment="1">
      <alignment vertical="center"/>
    </xf>
    <xf numFmtId="0" fontId="64" fillId="0" borderId="0" xfId="0" applyFont="1" applyFill="1"/>
    <xf numFmtId="0" fontId="103" fillId="0" borderId="0" xfId="0" applyFont="1" applyFill="1" applyBorder="1" applyAlignment="1">
      <alignment vertical="center"/>
    </xf>
    <xf numFmtId="0" fontId="65" fillId="0" borderId="0" xfId="0" applyFont="1" applyBorder="1"/>
    <xf numFmtId="0" fontId="65" fillId="0" borderId="0" xfId="0" applyFont="1" applyBorder="1" applyAlignment="1">
      <alignment vertical="center"/>
    </xf>
    <xf numFmtId="0" fontId="64" fillId="0" borderId="0" xfId="0" applyFont="1" applyBorder="1" applyAlignment="1">
      <alignment vertical="center"/>
    </xf>
    <xf numFmtId="2" fontId="65" fillId="0" borderId="0" xfId="0" applyNumberFormat="1" applyFont="1" applyBorder="1"/>
    <xf numFmtId="0" fontId="64" fillId="0" borderId="0" xfId="0" applyFont="1" applyFill="1" applyBorder="1" applyAlignment="1">
      <alignment vertical="center"/>
    </xf>
    <xf numFmtId="0" fontId="104" fillId="0" borderId="0" xfId="0" applyFont="1" applyBorder="1" applyAlignment="1">
      <alignment vertical="center"/>
    </xf>
    <xf numFmtId="2" fontId="64" fillId="0" borderId="0" xfId="0" applyNumberFormat="1" applyFont="1" applyBorder="1"/>
    <xf numFmtId="170" fontId="64" fillId="0" borderId="0" xfId="0" applyNumberFormat="1" applyFont="1" applyBorder="1" applyAlignment="1">
      <alignment vertical="center"/>
    </xf>
    <xf numFmtId="4" fontId="64" fillId="0" borderId="0" xfId="0" applyNumberFormat="1" applyFont="1" applyBorder="1"/>
    <xf numFmtId="170" fontId="64" fillId="0" borderId="0" xfId="0" applyNumberFormat="1" applyFont="1" applyBorder="1" applyAlignment="1">
      <alignment horizontal="center" vertical="center"/>
    </xf>
    <xf numFmtId="170" fontId="65" fillId="0" borderId="0" xfId="0" applyNumberFormat="1" applyFont="1" applyBorder="1"/>
    <xf numFmtId="171" fontId="64" fillId="0" borderId="0" xfId="0" applyNumberFormat="1" applyFont="1" applyBorder="1"/>
    <xf numFmtId="172" fontId="65" fillId="0" borderId="0" xfId="0" applyNumberFormat="1" applyFont="1" applyBorder="1"/>
    <xf numFmtId="172" fontId="64" fillId="0" borderId="0" xfId="0" applyNumberFormat="1" applyFont="1" applyFill="1" applyBorder="1"/>
    <xf numFmtId="170" fontId="64" fillId="0" borderId="0" xfId="0" applyNumberFormat="1" applyFont="1" applyFill="1" applyBorder="1"/>
    <xf numFmtId="170" fontId="64" fillId="0" borderId="0" xfId="0" applyNumberFormat="1" applyFont="1" applyBorder="1"/>
    <xf numFmtId="173" fontId="64" fillId="0" borderId="0" xfId="0" applyNumberFormat="1" applyFont="1" applyBorder="1"/>
    <xf numFmtId="170" fontId="65" fillId="0" borderId="0" xfId="0" applyNumberFormat="1" applyFont="1" applyBorder="1" applyAlignment="1">
      <alignment vertical="center"/>
    </xf>
    <xf numFmtId="172" fontId="64" fillId="0" borderId="0" xfId="0" applyNumberFormat="1" applyFont="1" applyBorder="1"/>
    <xf numFmtId="174" fontId="64" fillId="0" borderId="0" xfId="0" applyNumberFormat="1" applyFont="1" applyBorder="1"/>
    <xf numFmtId="0" fontId="103" fillId="0" borderId="1" xfId="0" applyFont="1" applyFill="1" applyBorder="1" applyAlignment="1">
      <alignment vertical="center"/>
    </xf>
    <xf numFmtId="167" fontId="64" fillId="0" borderId="0" xfId="0" applyNumberFormat="1" applyFont="1" applyBorder="1"/>
    <xf numFmtId="175" fontId="65" fillId="0" borderId="0" xfId="0" applyNumberFormat="1" applyFont="1" applyBorder="1"/>
    <xf numFmtId="4" fontId="65" fillId="0" borderId="0" xfId="0" applyNumberFormat="1" applyFont="1" applyBorder="1"/>
    <xf numFmtId="0" fontId="65" fillId="0" borderId="0" xfId="0" applyFont="1" applyFill="1"/>
    <xf numFmtId="0" fontId="64" fillId="13" borderId="79" xfId="0" applyFont="1" applyFill="1" applyBorder="1" applyAlignment="1">
      <alignment horizontal="center" vertical="center"/>
    </xf>
    <xf numFmtId="0" fontId="64" fillId="13" borderId="80" xfId="0" applyFont="1" applyFill="1" applyBorder="1" applyAlignment="1">
      <alignment horizontal="center" vertical="center"/>
    </xf>
    <xf numFmtId="43" fontId="116" fillId="13" borderId="80" xfId="3" applyFont="1" applyFill="1" applyBorder="1" applyAlignment="1">
      <alignment horizontal="center" vertical="center" wrapText="1"/>
    </xf>
    <xf numFmtId="0" fontId="64" fillId="21" borderId="80" xfId="0" applyFont="1" applyFill="1" applyBorder="1" applyAlignment="1">
      <alignment horizontal="center" vertical="center"/>
    </xf>
    <xf numFmtId="43" fontId="116" fillId="21" borderId="80" xfId="3" applyFont="1" applyFill="1" applyBorder="1" applyAlignment="1">
      <alignment horizontal="center" vertical="center" wrapText="1"/>
    </xf>
    <xf numFmtId="0" fontId="32" fillId="0" borderId="8" xfId="0" applyFont="1" applyBorder="1"/>
    <xf numFmtId="0" fontId="117" fillId="48" borderId="8" xfId="0" applyFont="1" applyFill="1" applyBorder="1"/>
    <xf numFmtId="0" fontId="117" fillId="49" borderId="8" xfId="0" applyFont="1" applyFill="1" applyBorder="1"/>
    <xf numFmtId="49" fontId="117" fillId="40" borderId="84" xfId="0" applyNumberFormat="1" applyFont="1" applyFill="1" applyBorder="1" applyAlignment="1">
      <alignment horizontal="center"/>
    </xf>
    <xf numFmtId="0" fontId="117" fillId="50" borderId="85" xfId="0" applyFont="1" applyFill="1" applyBorder="1" applyAlignment="1">
      <alignment horizontal="center"/>
    </xf>
    <xf numFmtId="2" fontId="118" fillId="0" borderId="8" xfId="0" applyNumberFormat="1" applyFont="1" applyBorder="1" applyAlignment="1">
      <alignment vertical="center"/>
    </xf>
    <xf numFmtId="44" fontId="118" fillId="0" borderId="12" xfId="1" applyFont="1" applyBorder="1" applyAlignment="1">
      <alignment vertical="center"/>
    </xf>
    <xf numFmtId="2" fontId="118" fillId="0" borderId="12" xfId="1" applyNumberFormat="1" applyFont="1" applyBorder="1" applyAlignment="1">
      <alignment vertical="center"/>
    </xf>
    <xf numFmtId="4" fontId="66" fillId="13" borderId="71" xfId="0" applyNumberFormat="1" applyFont="1" applyFill="1" applyBorder="1"/>
    <xf numFmtId="44" fontId="118" fillId="51" borderId="71" xfId="1" applyFont="1" applyFill="1" applyBorder="1" applyAlignment="1">
      <alignment vertical="center" wrapText="1"/>
    </xf>
    <xf numFmtId="44" fontId="118" fillId="51" borderId="71" xfId="1" applyFont="1" applyFill="1" applyBorder="1"/>
    <xf numFmtId="44" fontId="66" fillId="20" borderId="71" xfId="1" applyFont="1" applyFill="1" applyBorder="1"/>
    <xf numFmtId="44" fontId="66" fillId="13" borderId="86" xfId="1" applyFont="1" applyFill="1" applyBorder="1"/>
    <xf numFmtId="4" fontId="66" fillId="19" borderId="87" xfId="0" applyNumberFormat="1" applyFont="1" applyFill="1" applyBorder="1"/>
    <xf numFmtId="44" fontId="118" fillId="7" borderId="15" xfId="1" applyFont="1" applyFill="1" applyBorder="1" applyAlignment="1">
      <alignment vertical="center" wrapText="1"/>
    </xf>
    <xf numFmtId="44" fontId="118" fillId="7" borderId="12" xfId="1" applyFont="1" applyFill="1" applyBorder="1"/>
    <xf numFmtId="44" fontId="66" fillId="20" borderId="8" xfId="1" applyFont="1" applyFill="1" applyBorder="1"/>
    <xf numFmtId="44" fontId="66" fillId="19" borderId="12" xfId="1" applyFont="1" applyFill="1" applyBorder="1"/>
    <xf numFmtId="4" fontId="66" fillId="52" borderId="12" xfId="0" applyNumberFormat="1" applyFont="1" applyFill="1" applyBorder="1"/>
    <xf numFmtId="44" fontId="66" fillId="53" borderId="12" xfId="1" applyFont="1" applyFill="1" applyBorder="1"/>
    <xf numFmtId="44" fontId="66" fillId="54" borderId="12" xfId="1" applyFont="1" applyFill="1" applyBorder="1"/>
    <xf numFmtId="44" fontId="119" fillId="51" borderId="12" xfId="1" applyFont="1" applyFill="1" applyBorder="1" applyAlignment="1">
      <alignment horizontal="center"/>
    </xf>
    <xf numFmtId="0" fontId="118" fillId="0" borderId="0" xfId="0" applyFont="1"/>
    <xf numFmtId="0" fontId="118" fillId="0" borderId="0" xfId="0" applyFont="1" applyFill="1"/>
    <xf numFmtId="0" fontId="64" fillId="0" borderId="8" xfId="0" applyFont="1" applyBorder="1"/>
    <xf numFmtId="0" fontId="120" fillId="48" borderId="11" xfId="0" applyFont="1" applyFill="1" applyBorder="1"/>
    <xf numFmtId="0" fontId="120" fillId="49" borderId="5" xfId="0" applyFont="1" applyFill="1" applyBorder="1"/>
    <xf numFmtId="49" fontId="120" fillId="40" borderId="88" xfId="0" applyNumberFormat="1" applyFont="1" applyFill="1" applyBorder="1" applyAlignment="1">
      <alignment horizontal="center"/>
    </xf>
    <xf numFmtId="0" fontId="120" fillId="50" borderId="88" xfId="0" applyFont="1" applyFill="1" applyBorder="1" applyAlignment="1">
      <alignment horizontal="center"/>
    </xf>
    <xf numFmtId="2" fontId="64" fillId="0" borderId="5" xfId="0" applyNumberFormat="1" applyFont="1" applyBorder="1" applyAlignment="1">
      <alignment vertical="center"/>
    </xf>
    <xf numFmtId="44" fontId="64" fillId="0" borderId="11" xfId="1" applyFont="1" applyBorder="1" applyAlignment="1">
      <alignment vertical="center"/>
    </xf>
    <xf numFmtId="44" fontId="64" fillId="0" borderId="5" xfId="1" applyFont="1" applyBorder="1"/>
    <xf numFmtId="2" fontId="64" fillId="0" borderId="11" xfId="1" applyNumberFormat="1" applyFont="1" applyBorder="1" applyAlignment="1">
      <alignment vertical="center"/>
    </xf>
    <xf numFmtId="4" fontId="65" fillId="13" borderId="8" xfId="0" applyNumberFormat="1" applyFont="1" applyFill="1" applyBorder="1"/>
    <xf numFmtId="44" fontId="64" fillId="51" borderId="8" xfId="1" applyFont="1" applyFill="1" applyBorder="1" applyAlignment="1">
      <alignment vertical="center" wrapText="1"/>
    </xf>
    <xf numFmtId="44" fontId="64" fillId="51" borderId="8" xfId="1" applyFont="1" applyFill="1" applyBorder="1"/>
    <xf numFmtId="44" fontId="65" fillId="20" borderId="8" xfId="1" applyFont="1" applyFill="1" applyBorder="1"/>
    <xf numFmtId="44" fontId="65" fillId="13" borderId="89" xfId="1" applyFont="1" applyFill="1" applyBorder="1"/>
    <xf numFmtId="2" fontId="64" fillId="0" borderId="5" xfId="0" applyNumberFormat="1" applyFont="1" applyBorder="1" applyAlignment="1">
      <alignment vertical="center" wrapText="1"/>
    </xf>
    <xf numFmtId="4" fontId="65" fillId="19" borderId="90" xfId="0" applyNumberFormat="1" applyFont="1" applyFill="1" applyBorder="1"/>
    <xf numFmtId="44" fontId="64" fillId="7" borderId="6" xfId="1" applyFont="1" applyFill="1" applyBorder="1" applyAlignment="1">
      <alignment vertical="center" wrapText="1"/>
    </xf>
    <xf numFmtId="44" fontId="64" fillId="7" borderId="11" xfId="1" applyFont="1" applyFill="1" applyBorder="1"/>
    <xf numFmtId="44" fontId="65" fillId="20" borderId="5" xfId="1" applyFont="1" applyFill="1" applyBorder="1"/>
    <xf numFmtId="44" fontId="65" fillId="19" borderId="11" xfId="1" applyFont="1" applyFill="1" applyBorder="1"/>
    <xf numFmtId="4" fontId="65" fillId="52" borderId="11" xfId="0" applyNumberFormat="1" applyFont="1" applyFill="1" applyBorder="1"/>
    <xf numFmtId="44" fontId="65" fillId="53" borderId="11" xfId="1" applyFont="1" applyFill="1" applyBorder="1"/>
    <xf numFmtId="44" fontId="65" fillId="54" borderId="11" xfId="1" applyFont="1" applyFill="1" applyBorder="1"/>
    <xf numFmtId="44" fontId="121" fillId="51" borderId="11" xfId="1" applyFont="1" applyFill="1" applyBorder="1" applyAlignment="1">
      <alignment horizontal="center"/>
    </xf>
    <xf numFmtId="0" fontId="120" fillId="49" borderId="80" xfId="0" applyFont="1" applyFill="1" applyBorder="1" applyAlignment="1">
      <alignment horizontal="left"/>
    </xf>
    <xf numFmtId="0" fontId="120" fillId="49" borderId="80" xfId="0" applyFont="1" applyFill="1" applyBorder="1"/>
    <xf numFmtId="49" fontId="120" fillId="40" borderId="91" xfId="0" applyNumberFormat="1" applyFont="1" applyFill="1" applyBorder="1" applyAlignment="1">
      <alignment horizontal="center"/>
    </xf>
    <xf numFmtId="0" fontId="123" fillId="50" borderId="91" xfId="4" applyFont="1" applyFill="1" applyBorder="1" applyAlignment="1">
      <alignment horizontal="center"/>
    </xf>
    <xf numFmtId="2" fontId="64" fillId="0" borderId="80" xfId="0" applyNumberFormat="1" applyFont="1" applyBorder="1" applyAlignment="1">
      <alignment vertical="center"/>
    </xf>
    <xf numFmtId="44" fontId="64" fillId="0" borderId="80" xfId="1" applyFont="1" applyBorder="1" applyAlignment="1">
      <alignment vertical="center"/>
    </xf>
    <xf numFmtId="2" fontId="64" fillId="0" borderId="80" xfId="1" applyNumberFormat="1" applyFont="1" applyBorder="1" applyAlignment="1">
      <alignment vertical="center"/>
    </xf>
    <xf numFmtId="44" fontId="64" fillId="0" borderId="80" xfId="1" applyFont="1" applyBorder="1"/>
    <xf numFmtId="4" fontId="65" fillId="13" borderId="80" xfId="0" applyNumberFormat="1" applyFont="1" applyFill="1" applyBorder="1"/>
    <xf numFmtId="44" fontId="64" fillId="51" borderId="80" xfId="1" applyFont="1" applyFill="1" applyBorder="1" applyAlignment="1">
      <alignment vertical="center" wrapText="1"/>
    </xf>
    <xf numFmtId="44" fontId="64" fillId="51" borderId="80" xfId="1" applyFont="1" applyFill="1" applyBorder="1"/>
    <xf numFmtId="44" fontId="65" fillId="20" borderId="80" xfId="1" applyFont="1" applyFill="1" applyBorder="1"/>
    <xf numFmtId="44" fontId="65" fillId="13" borderId="91" xfId="1" applyFont="1" applyFill="1" applyBorder="1"/>
    <xf numFmtId="2" fontId="64" fillId="0" borderId="92" xfId="0" applyNumberFormat="1" applyFont="1" applyBorder="1" applyAlignment="1">
      <alignment vertical="center"/>
    </xf>
    <xf numFmtId="44" fontId="64" fillId="0" borderId="8" xfId="1" applyFont="1" applyBorder="1" applyAlignment="1">
      <alignment vertical="center"/>
    </xf>
    <xf numFmtId="2" fontId="64" fillId="0" borderId="8" xfId="0" applyNumberFormat="1" applyFont="1" applyBorder="1" applyAlignment="1">
      <alignment vertical="center"/>
    </xf>
    <xf numFmtId="44" fontId="64" fillId="0" borderId="89" xfId="1" applyFont="1" applyBorder="1" applyAlignment="1">
      <alignment vertical="center"/>
    </xf>
    <xf numFmtId="4" fontId="65" fillId="19" borderId="93" xfId="0" applyNumberFormat="1" applyFont="1" applyFill="1" applyBorder="1"/>
    <xf numFmtId="44" fontId="64" fillId="7" borderId="94" xfId="1" applyFont="1" applyFill="1" applyBorder="1" applyAlignment="1">
      <alignment vertical="center" wrapText="1"/>
    </xf>
    <xf numFmtId="44" fontId="64" fillId="7" borderId="80" xfId="1" applyFont="1" applyFill="1" applyBorder="1"/>
    <xf numFmtId="44" fontId="65" fillId="19" borderId="80" xfId="1" applyFont="1" applyFill="1" applyBorder="1"/>
    <xf numFmtId="4" fontId="65" fillId="52" borderId="80" xfId="0" applyNumberFormat="1" applyFont="1" applyFill="1" applyBorder="1"/>
    <xf numFmtId="44" fontId="65" fillId="53" borderId="80" xfId="1" applyFont="1" applyFill="1" applyBorder="1"/>
    <xf numFmtId="44" fontId="65" fillId="54" borderId="80" xfId="1" applyFont="1" applyFill="1" applyBorder="1"/>
    <xf numFmtId="44" fontId="121" fillId="51" borderId="80" xfId="1" applyFont="1" applyFill="1" applyBorder="1" applyAlignment="1">
      <alignment horizontal="center"/>
    </xf>
    <xf numFmtId="0" fontId="117" fillId="21" borderId="12" xfId="0" applyFont="1" applyFill="1" applyBorder="1"/>
    <xf numFmtId="0" fontId="117" fillId="21" borderId="85" xfId="0" applyFont="1" applyFill="1" applyBorder="1"/>
    <xf numFmtId="49" fontId="117" fillId="40" borderId="85" xfId="0" applyNumberFormat="1" applyFont="1" applyFill="1" applyBorder="1" applyAlignment="1">
      <alignment horizontal="center"/>
    </xf>
    <xf numFmtId="0" fontId="124" fillId="50" borderId="85" xfId="4" applyFont="1" applyFill="1" applyBorder="1" applyAlignment="1">
      <alignment horizontal="center"/>
    </xf>
    <xf numFmtId="2" fontId="118" fillId="0" borderId="12" xfId="0" applyNumberFormat="1" applyFont="1" applyBorder="1" applyAlignment="1">
      <alignment vertical="center"/>
    </xf>
    <xf numFmtId="2" fontId="32" fillId="0" borderId="12" xfId="0" applyNumberFormat="1" applyFont="1" applyBorder="1" applyAlignment="1">
      <alignment vertical="center"/>
    </xf>
    <xf numFmtId="44" fontId="32" fillId="0" borderId="12" xfId="1" applyFont="1" applyBorder="1"/>
    <xf numFmtId="0" fontId="120" fillId="21" borderId="12" xfId="0" applyFont="1" applyFill="1" applyBorder="1"/>
    <xf numFmtId="0" fontId="120" fillId="21" borderId="88" xfId="0" applyFont="1" applyFill="1" applyBorder="1"/>
    <xf numFmtId="49" fontId="120" fillId="40" borderId="85" xfId="0" applyNumberFormat="1" applyFont="1" applyFill="1" applyBorder="1" applyAlignment="1">
      <alignment horizontal="center"/>
    </xf>
    <xf numFmtId="0" fontId="120" fillId="50" borderId="85" xfId="0" applyFont="1" applyFill="1" applyBorder="1" applyAlignment="1">
      <alignment horizontal="center"/>
    </xf>
    <xf numFmtId="44" fontId="64" fillId="0" borderId="12" xfId="1" applyFont="1" applyBorder="1" applyAlignment="1">
      <alignment vertical="center"/>
    </xf>
    <xf numFmtId="2" fontId="64" fillId="0" borderId="12" xfId="1" applyNumberFormat="1" applyFont="1" applyBorder="1" applyAlignment="1">
      <alignment vertical="center"/>
    </xf>
    <xf numFmtId="2" fontId="64" fillId="0" borderId="12" xfId="0" applyNumberFormat="1" applyFont="1" applyBorder="1" applyAlignment="1">
      <alignment vertical="center"/>
    </xf>
    <xf numFmtId="44" fontId="64" fillId="0" borderId="8" xfId="1" applyFont="1" applyBorder="1"/>
    <xf numFmtId="0" fontId="120" fillId="21" borderId="80" xfId="0" applyFont="1" applyFill="1" applyBorder="1" applyAlignment="1">
      <alignment horizontal="left"/>
    </xf>
    <xf numFmtId="0" fontId="120" fillId="21" borderId="91" xfId="0" applyFont="1" applyFill="1" applyBorder="1"/>
    <xf numFmtId="2" fontId="64" fillId="0" borderId="12" xfId="0" applyNumberFormat="1" applyFont="1" applyBorder="1" applyAlignment="1">
      <alignment vertical="center" wrapText="1"/>
    </xf>
    <xf numFmtId="0" fontId="117" fillId="48" borderId="12" xfId="0" applyFont="1" applyFill="1" applyBorder="1"/>
    <xf numFmtId="0" fontId="117" fillId="49" borderId="89" xfId="0" applyFont="1" applyFill="1" applyBorder="1"/>
    <xf numFmtId="49" fontId="117" fillId="40" borderId="89" xfId="0" applyNumberFormat="1" applyFont="1" applyFill="1" applyBorder="1" applyAlignment="1">
      <alignment horizontal="center"/>
    </xf>
    <xf numFmtId="0" fontId="124" fillId="50" borderId="89" xfId="4" applyFont="1" applyFill="1" applyBorder="1" applyAlignment="1">
      <alignment horizontal="center"/>
    </xf>
    <xf numFmtId="44" fontId="118" fillId="0" borderId="8" xfId="1" applyFont="1" applyBorder="1"/>
    <xf numFmtId="44" fontId="118" fillId="0" borderId="14" xfId="1" applyFont="1" applyBorder="1"/>
    <xf numFmtId="2" fontId="118" fillId="0" borderId="8" xfId="1" applyNumberFormat="1" applyFont="1" applyBorder="1"/>
    <xf numFmtId="44" fontId="118" fillId="0" borderId="0" xfId="1" applyFont="1" applyFill="1"/>
    <xf numFmtId="49" fontId="125" fillId="40" borderId="91" xfId="0" applyNumberFormat="1" applyFont="1" applyFill="1" applyBorder="1" applyAlignment="1">
      <alignment horizontal="center"/>
    </xf>
    <xf numFmtId="0" fontId="120" fillId="50" borderId="91" xfId="0" applyFont="1" applyFill="1" applyBorder="1" applyAlignment="1">
      <alignment horizontal="center"/>
    </xf>
    <xf numFmtId="2" fontId="32" fillId="0" borderId="8" xfId="0" applyNumberFormat="1" applyFont="1" applyBorder="1" applyAlignment="1">
      <alignment vertical="center"/>
    </xf>
    <xf numFmtId="44" fontId="32" fillId="0" borderId="8" xfId="1" applyFont="1" applyBorder="1"/>
    <xf numFmtId="2" fontId="32" fillId="0" borderId="8" xfId="1" applyNumberFormat="1" applyFont="1" applyBorder="1"/>
    <xf numFmtId="2" fontId="64" fillId="0" borderId="8" xfId="0" applyNumberFormat="1" applyFont="1" applyBorder="1" applyAlignment="1">
      <alignment vertical="center" wrapText="1"/>
    </xf>
    <xf numFmtId="0" fontId="64" fillId="42" borderId="0" xfId="0" applyFont="1" applyFill="1"/>
    <xf numFmtId="49" fontId="120" fillId="40" borderId="95" xfId="0" applyNumberFormat="1" applyFont="1" applyFill="1" applyBorder="1" applyAlignment="1">
      <alignment horizontal="center"/>
    </xf>
    <xf numFmtId="2" fontId="64" fillId="0" borderId="8" xfId="1" applyNumberFormat="1" applyFont="1" applyBorder="1"/>
    <xf numFmtId="2" fontId="32" fillId="0" borderId="12" xfId="0" applyNumberFormat="1" applyFont="1" applyBorder="1" applyAlignment="1">
      <alignment vertical="center" wrapText="1"/>
    </xf>
    <xf numFmtId="0" fontId="117" fillId="21" borderId="11" xfId="0" applyFont="1" applyFill="1" applyBorder="1" applyAlignment="1">
      <alignment horizontal="left"/>
    </xf>
    <xf numFmtId="0" fontId="117" fillId="21" borderId="96" xfId="0" applyFont="1" applyFill="1" applyBorder="1"/>
    <xf numFmtId="2" fontId="118" fillId="0" borderId="8" xfId="0" applyNumberFormat="1" applyFont="1" applyBorder="1" applyAlignment="1">
      <alignment vertical="center" wrapText="1"/>
    </xf>
    <xf numFmtId="49" fontId="125" fillId="40" borderId="89" xfId="0" applyNumberFormat="1" applyFont="1" applyFill="1" applyBorder="1" applyAlignment="1">
      <alignment horizontal="center"/>
    </xf>
    <xf numFmtId="44" fontId="64" fillId="0" borderId="14" xfId="1" applyFont="1" applyBorder="1"/>
    <xf numFmtId="2" fontId="64" fillId="0" borderId="14" xfId="1" applyNumberFormat="1" applyFont="1" applyBorder="1"/>
    <xf numFmtId="2" fontId="32" fillId="0" borderId="5" xfId="0" applyNumberFormat="1" applyFont="1" applyBorder="1" applyAlignment="1">
      <alignment vertical="center"/>
    </xf>
    <xf numFmtId="44" fontId="32" fillId="0" borderId="5" xfId="1" applyFont="1" applyBorder="1"/>
    <xf numFmtId="0" fontId="120" fillId="0" borderId="5" xfId="0" applyFont="1" applyFill="1" applyBorder="1"/>
    <xf numFmtId="0" fontId="126" fillId="0" borderId="8" xfId="0" applyFont="1" applyFill="1" applyBorder="1"/>
    <xf numFmtId="49" fontId="125" fillId="40" borderId="66" xfId="0" applyNumberFormat="1" applyFont="1" applyFill="1" applyBorder="1" applyAlignment="1">
      <alignment horizontal="center"/>
    </xf>
    <xf numFmtId="0" fontId="125" fillId="50" borderId="97" xfId="0" applyFont="1" applyFill="1" applyBorder="1" applyAlignment="1">
      <alignment horizontal="center"/>
    </xf>
    <xf numFmtId="4" fontId="65" fillId="19" borderId="98" xfId="0" applyNumberFormat="1" applyFont="1" applyFill="1" applyBorder="1"/>
    <xf numFmtId="44" fontId="64" fillId="7" borderId="10" xfId="1" applyFont="1" applyFill="1" applyBorder="1" applyAlignment="1">
      <alignment vertical="center" wrapText="1"/>
    </xf>
    <xf numFmtId="44" fontId="64" fillId="7" borderId="8" xfId="1" applyFont="1" applyFill="1" applyBorder="1"/>
    <xf numFmtId="44" fontId="65" fillId="19" borderId="8" xfId="1" applyFont="1" applyFill="1" applyBorder="1"/>
    <xf numFmtId="4" fontId="65" fillId="52" borderId="8" xfId="0" applyNumberFormat="1" applyFont="1" applyFill="1" applyBorder="1"/>
    <xf numFmtId="44" fontId="65" fillId="53" borderId="8" xfId="1" applyFont="1" applyFill="1" applyBorder="1"/>
    <xf numFmtId="44" fontId="65" fillId="54" borderId="8" xfId="1" applyFont="1" applyFill="1" applyBorder="1"/>
    <xf numFmtId="44" fontId="121" fillId="51" borderId="8" xfId="1" applyFont="1" applyFill="1" applyBorder="1" applyAlignment="1">
      <alignment horizontal="center"/>
    </xf>
    <xf numFmtId="4" fontId="128" fillId="41" borderId="12" xfId="0" applyNumberFormat="1" applyFont="1" applyFill="1" applyBorder="1" applyAlignment="1">
      <alignment vertical="center"/>
    </xf>
    <xf numFmtId="44" fontId="129" fillId="42" borderId="12" xfId="1" applyFont="1" applyFill="1" applyBorder="1" applyAlignment="1">
      <alignment vertical="center" wrapText="1"/>
    </xf>
    <xf numFmtId="44" fontId="129" fillId="20" borderId="12" xfId="1" applyFont="1" applyFill="1" applyBorder="1" applyAlignment="1">
      <alignment vertical="center" wrapText="1"/>
    </xf>
    <xf numFmtId="44" fontId="128" fillId="41" borderId="12" xfId="1" applyFont="1" applyFill="1" applyBorder="1" applyAlignment="1">
      <alignment vertical="center"/>
    </xf>
    <xf numFmtId="4" fontId="128" fillId="43" borderId="12" xfId="0" applyNumberFormat="1" applyFont="1" applyFill="1" applyBorder="1" applyAlignment="1">
      <alignment vertical="center"/>
    </xf>
    <xf numFmtId="44" fontId="129" fillId="44" borderId="12" xfId="1" applyFont="1" applyFill="1" applyBorder="1" applyAlignment="1">
      <alignment vertical="center" wrapText="1"/>
    </xf>
    <xf numFmtId="44" fontId="128" fillId="43" borderId="12" xfId="1" applyFont="1" applyFill="1" applyBorder="1" applyAlignment="1">
      <alignment vertical="center"/>
    </xf>
    <xf numFmtId="4" fontId="130" fillId="56" borderId="12" xfId="0" applyNumberFormat="1" applyFont="1" applyFill="1" applyBorder="1" applyAlignment="1">
      <alignment vertical="center"/>
    </xf>
    <xf numFmtId="44" fontId="129" fillId="46" borderId="12" xfId="1" applyFont="1" applyFill="1" applyBorder="1" applyAlignment="1">
      <alignment vertical="center" wrapText="1"/>
    </xf>
    <xf numFmtId="44" fontId="129" fillId="47" borderId="12" xfId="1" applyFont="1" applyFill="1" applyBorder="1" applyAlignment="1">
      <alignment vertical="center" wrapText="1"/>
    </xf>
    <xf numFmtId="44" fontId="130" fillId="42" borderId="48" xfId="1" applyFont="1" applyFill="1" applyBorder="1" applyAlignment="1">
      <alignment vertical="center"/>
    </xf>
    <xf numFmtId="0" fontId="32" fillId="0" borderId="0" xfId="0" applyFont="1" applyFill="1"/>
    <xf numFmtId="0" fontId="32" fillId="0" borderId="0" xfId="0" applyFont="1"/>
    <xf numFmtId="0" fontId="64" fillId="0" borderId="103" xfId="0" applyFont="1" applyFill="1" applyBorder="1"/>
    <xf numFmtId="0" fontId="120" fillId="49" borderId="29" xfId="0" applyFont="1" applyFill="1" applyBorder="1" applyAlignment="1"/>
    <xf numFmtId="49" fontId="126" fillId="40" borderId="8" xfId="0" applyNumberFormat="1" applyFont="1" applyFill="1" applyBorder="1" applyAlignment="1">
      <alignment horizontal="center"/>
    </xf>
    <xf numFmtId="0" fontId="131" fillId="50" borderId="8" xfId="4" applyFont="1" applyFill="1" applyBorder="1" applyAlignment="1">
      <alignment horizontal="center"/>
    </xf>
    <xf numFmtId="4" fontId="32" fillId="0" borderId="8" xfId="0" applyNumberFormat="1" applyFont="1" applyBorder="1"/>
    <xf numFmtId="44" fontId="32" fillId="0" borderId="8" xfId="1" applyFont="1" applyFill="1" applyBorder="1"/>
    <xf numFmtId="2" fontId="32" fillId="0" borderId="8" xfId="0" applyNumberFormat="1" applyFont="1" applyBorder="1"/>
    <xf numFmtId="4" fontId="64" fillId="0" borderId="8" xfId="0" applyNumberFormat="1" applyFont="1" applyBorder="1"/>
    <xf numFmtId="44" fontId="64" fillId="57" borderId="8" xfId="1" applyFont="1" applyFill="1" applyBorder="1"/>
    <xf numFmtId="4" fontId="132" fillId="13" borderId="8" xfId="0" applyNumberFormat="1" applyFont="1" applyFill="1" applyBorder="1"/>
    <xf numFmtId="44" fontId="32" fillId="51" borderId="8" xfId="1" applyFont="1" applyFill="1" applyBorder="1" applyAlignment="1">
      <alignment vertical="center" wrapText="1"/>
    </xf>
    <xf numFmtId="44" fontId="132" fillId="20" borderId="12" xfId="1" applyFont="1" applyFill="1" applyBorder="1"/>
    <xf numFmtId="44" fontId="132" fillId="13" borderId="85" xfId="1" applyFont="1" applyFill="1" applyBorder="1"/>
    <xf numFmtId="44" fontId="64" fillId="20" borderId="8" xfId="1" applyFont="1" applyFill="1" applyBorder="1"/>
    <xf numFmtId="44" fontId="32" fillId="20" borderId="8" xfId="1" applyFont="1" applyFill="1" applyBorder="1"/>
    <xf numFmtId="44" fontId="132" fillId="20" borderId="8" xfId="1" applyFont="1" applyFill="1" applyBorder="1"/>
    <xf numFmtId="4" fontId="65" fillId="52" borderId="12" xfId="0" applyNumberFormat="1" applyFont="1" applyFill="1" applyBorder="1"/>
    <xf numFmtId="44" fontId="65" fillId="53" borderId="12" xfId="1" applyFont="1" applyFill="1" applyBorder="1"/>
    <xf numFmtId="44" fontId="65" fillId="54" borderId="12" xfId="1" applyFont="1" applyFill="1" applyBorder="1"/>
    <xf numFmtId="44" fontId="121" fillId="51" borderId="12" xfId="1" applyFont="1" applyFill="1" applyBorder="1" applyAlignment="1">
      <alignment horizontal="center"/>
    </xf>
    <xf numFmtId="0" fontId="118" fillId="0" borderId="103" xfId="0" applyFont="1" applyFill="1" applyBorder="1"/>
    <xf numFmtId="0" fontId="117" fillId="21" borderId="14" xfId="0" applyFont="1" applyFill="1" applyBorder="1" applyAlignment="1"/>
    <xf numFmtId="0" fontId="117" fillId="21" borderId="29" xfId="0" applyFont="1" applyFill="1" applyBorder="1" applyAlignment="1"/>
    <xf numFmtId="49" fontId="133" fillId="40" borderId="29" xfId="0" applyNumberFormat="1" applyFont="1" applyFill="1" applyBorder="1" applyAlignment="1">
      <alignment horizontal="center"/>
    </xf>
    <xf numFmtId="0" fontId="133" fillId="50" borderId="29" xfId="0" applyFont="1" applyFill="1" applyBorder="1" applyAlignment="1">
      <alignment horizontal="center"/>
    </xf>
    <xf numFmtId="4" fontId="118" fillId="0" borderId="8" xfId="0" applyNumberFormat="1" applyFont="1" applyBorder="1"/>
    <xf numFmtId="44" fontId="118" fillId="0" borderId="8" xfId="1" applyFont="1" applyFill="1" applyBorder="1"/>
    <xf numFmtId="44" fontId="118" fillId="57" borderId="8" xfId="1" applyFont="1" applyFill="1" applyBorder="1"/>
    <xf numFmtId="2" fontId="66" fillId="0" borderId="8" xfId="0" applyNumberFormat="1" applyFont="1" applyBorder="1"/>
    <xf numFmtId="44" fontId="66" fillId="57" borderId="8" xfId="1" applyFont="1" applyFill="1" applyBorder="1"/>
    <xf numFmtId="4" fontId="118" fillId="57" borderId="8" xfId="0" applyNumberFormat="1" applyFont="1" applyFill="1" applyBorder="1"/>
    <xf numFmtId="4" fontId="66" fillId="13" borderId="8" xfId="0" applyNumberFormat="1" applyFont="1" applyFill="1" applyBorder="1"/>
    <xf numFmtId="44" fontId="118" fillId="51" borderId="8" xfId="1" applyFont="1" applyFill="1" applyBorder="1" applyAlignment="1">
      <alignment vertical="center" wrapText="1"/>
    </xf>
    <xf numFmtId="44" fontId="118" fillId="51" borderId="8" xfId="1" applyFont="1" applyFill="1" applyBorder="1"/>
    <xf numFmtId="44" fontId="66" fillId="13" borderId="85" xfId="1" applyFont="1" applyFill="1" applyBorder="1"/>
    <xf numFmtId="2" fontId="118" fillId="57" borderId="8" xfId="0" applyNumberFormat="1" applyFont="1" applyFill="1" applyBorder="1"/>
    <xf numFmtId="44" fontId="118" fillId="20" borderId="8" xfId="1" applyFont="1" applyFill="1" applyBorder="1"/>
    <xf numFmtId="2" fontId="118" fillId="0" borderId="8" xfId="0" applyNumberFormat="1" applyFont="1" applyBorder="1"/>
    <xf numFmtId="44" fontId="66" fillId="7" borderId="15" xfId="1" applyFont="1" applyFill="1" applyBorder="1" applyAlignment="1">
      <alignment vertical="center" wrapText="1"/>
    </xf>
    <xf numFmtId="44" fontId="66" fillId="7" borderId="12" xfId="1" applyFont="1" applyFill="1" applyBorder="1"/>
    <xf numFmtId="44" fontId="66" fillId="20" borderId="12" xfId="1" applyFont="1" applyFill="1" applyBorder="1"/>
    <xf numFmtId="0" fontId="66" fillId="0" borderId="0" xfId="0" applyFont="1" applyFill="1"/>
    <xf numFmtId="0" fontId="126" fillId="21" borderId="12" xfId="0" applyFont="1" applyFill="1" applyBorder="1" applyAlignment="1"/>
    <xf numFmtId="0" fontId="126" fillId="21" borderId="29" xfId="0" applyFont="1" applyFill="1" applyBorder="1"/>
    <xf numFmtId="49" fontId="126" fillId="40" borderId="29" xfId="0" applyNumberFormat="1" applyFont="1" applyFill="1" applyBorder="1" applyAlignment="1">
      <alignment horizontal="center"/>
    </xf>
    <xf numFmtId="0" fontId="126" fillId="50" borderId="29" xfId="0" applyFont="1" applyFill="1" applyBorder="1" applyAlignment="1">
      <alignment horizontal="center"/>
    </xf>
    <xf numFmtId="4" fontId="32" fillId="57" borderId="8" xfId="0" applyNumberFormat="1" applyFont="1" applyFill="1" applyBorder="1"/>
    <xf numFmtId="44" fontId="32" fillId="57" borderId="8" xfId="1" applyFont="1" applyFill="1" applyBorder="1"/>
    <xf numFmtId="2" fontId="64" fillId="0" borderId="8" xfId="0" applyNumberFormat="1" applyFont="1" applyBorder="1"/>
    <xf numFmtId="4" fontId="118" fillId="0" borderId="8" xfId="1" applyNumberFormat="1" applyFont="1" applyBorder="1"/>
    <xf numFmtId="4" fontId="132" fillId="19" borderId="98" xfId="0" applyNumberFormat="1" applyFont="1" applyFill="1" applyBorder="1"/>
    <xf numFmtId="44" fontId="32" fillId="7" borderId="10" xfId="1" applyFont="1" applyFill="1" applyBorder="1" applyAlignment="1">
      <alignment vertical="center" wrapText="1"/>
    </xf>
    <xf numFmtId="44" fontId="32" fillId="7" borderId="8" xfId="1" applyFont="1" applyFill="1" applyBorder="1"/>
    <xf numFmtId="44" fontId="132" fillId="19" borderId="8" xfId="1" applyFont="1" applyFill="1" applyBorder="1"/>
    <xf numFmtId="4" fontId="132" fillId="52" borderId="12" xfId="0" applyNumberFormat="1" applyFont="1" applyFill="1" applyBorder="1"/>
    <xf numFmtId="44" fontId="132" fillId="53" borderId="12" xfId="1" applyFont="1" applyFill="1" applyBorder="1"/>
    <xf numFmtId="44" fontId="132" fillId="54" borderId="12" xfId="1" applyFont="1" applyFill="1" applyBorder="1"/>
    <xf numFmtId="44" fontId="134" fillId="51" borderId="12" xfId="1" applyFont="1" applyFill="1" applyBorder="1" applyAlignment="1">
      <alignment horizontal="center"/>
    </xf>
    <xf numFmtId="0" fontId="117" fillId="49" borderId="104" xfId="0" applyFont="1" applyFill="1" applyBorder="1" applyAlignment="1"/>
    <xf numFmtId="0" fontId="117" fillId="49" borderId="105" xfId="0" applyFont="1" applyFill="1" applyBorder="1" applyAlignment="1"/>
    <xf numFmtId="49" fontId="117" fillId="40" borderId="106" xfId="0" applyNumberFormat="1" applyFont="1" applyFill="1" applyBorder="1" applyAlignment="1">
      <alignment horizontal="center"/>
    </xf>
    <xf numFmtId="0" fontId="124" fillId="50" borderId="106" xfId="4" applyFont="1" applyFill="1" applyBorder="1" applyAlignment="1">
      <alignment horizontal="center"/>
    </xf>
    <xf numFmtId="0" fontId="120" fillId="49" borderId="8" xfId="0" applyFont="1" applyFill="1" applyBorder="1" applyAlignment="1"/>
    <xf numFmtId="49" fontId="125" fillId="40" borderId="105" xfId="0" applyNumberFormat="1" applyFont="1" applyFill="1" applyBorder="1" applyAlignment="1">
      <alignment horizontal="center"/>
    </xf>
    <xf numFmtId="0" fontId="127" fillId="50" borderId="105" xfId="4" applyFont="1" applyFill="1" applyBorder="1" applyAlignment="1">
      <alignment horizontal="center"/>
    </xf>
    <xf numFmtId="44" fontId="132" fillId="13" borderId="89" xfId="1" applyFont="1" applyFill="1" applyBorder="1"/>
    <xf numFmtId="0" fontId="126" fillId="49" borderId="8" xfId="0" applyFont="1" applyFill="1" applyBorder="1" applyAlignment="1"/>
    <xf numFmtId="0" fontId="120" fillId="49" borderId="105" xfId="0" applyFont="1" applyFill="1" applyBorder="1" applyAlignment="1"/>
    <xf numFmtId="0" fontId="120" fillId="49" borderId="80" xfId="0" applyFont="1" applyFill="1" applyBorder="1" applyAlignment="1"/>
    <xf numFmtId="0" fontId="126" fillId="49" borderId="30" xfId="0" applyFont="1" applyFill="1" applyBorder="1" applyAlignment="1"/>
    <xf numFmtId="49" fontId="125" fillId="40" borderId="30" xfId="0" applyNumberFormat="1" applyFont="1" applyFill="1" applyBorder="1" applyAlignment="1">
      <alignment horizontal="center"/>
    </xf>
    <xf numFmtId="0" fontId="127" fillId="50" borderId="30" xfId="4" applyFont="1" applyFill="1" applyBorder="1" applyAlignment="1">
      <alignment horizontal="center"/>
    </xf>
    <xf numFmtId="4" fontId="132" fillId="13" borderId="80" xfId="0" applyNumberFormat="1" applyFont="1" applyFill="1" applyBorder="1"/>
    <xf numFmtId="44" fontId="32" fillId="51" borderId="80" xfId="1" applyFont="1" applyFill="1" applyBorder="1" applyAlignment="1">
      <alignment vertical="center" wrapText="1"/>
    </xf>
    <xf numFmtId="44" fontId="132" fillId="20" borderId="80" xfId="1" applyFont="1" applyFill="1" applyBorder="1"/>
    <xf numFmtId="44" fontId="132" fillId="13" borderId="91" xfId="1" applyFont="1" applyFill="1" applyBorder="1"/>
    <xf numFmtId="0" fontId="117" fillId="21" borderId="12" xfId="0" applyFont="1" applyFill="1" applyBorder="1" applyAlignment="1"/>
    <xf numFmtId="49" fontId="117" fillId="40" borderId="29" xfId="0" applyNumberFormat="1" applyFont="1" applyFill="1" applyBorder="1" applyAlignment="1">
      <alignment horizontal="center"/>
    </xf>
    <xf numFmtId="0" fontId="124" fillId="50" borderId="29" xfId="4" applyFont="1" applyFill="1" applyBorder="1" applyAlignment="1">
      <alignment horizontal="center"/>
    </xf>
    <xf numFmtId="4" fontId="66" fillId="13" borderId="12" xfId="0" applyNumberFormat="1" applyFont="1" applyFill="1" applyBorder="1"/>
    <xf numFmtId="0" fontId="120" fillId="21" borderId="12" xfId="0" applyFont="1" applyFill="1" applyBorder="1" applyAlignment="1"/>
    <xf numFmtId="0" fontId="120" fillId="21" borderId="105" xfId="0" applyFont="1" applyFill="1" applyBorder="1" applyAlignment="1"/>
    <xf numFmtId="2" fontId="32" fillId="57" borderId="8" xfId="0" applyNumberFormat="1" applyFont="1" applyFill="1" applyBorder="1"/>
    <xf numFmtId="0" fontId="117" fillId="50" borderId="106" xfId="0" applyFont="1" applyFill="1" applyBorder="1" applyAlignment="1">
      <alignment horizontal="center"/>
    </xf>
    <xf numFmtId="0" fontId="120" fillId="49" borderId="12" xfId="0" applyFont="1" applyFill="1" applyBorder="1" applyAlignment="1"/>
    <xf numFmtId="0" fontId="126" fillId="49" borderId="105" xfId="0" applyFont="1" applyFill="1" applyBorder="1" applyAlignment="1"/>
    <xf numFmtId="49" fontId="125" fillId="40" borderId="29" xfId="0" applyNumberFormat="1" applyFont="1" applyFill="1" applyBorder="1" applyAlignment="1">
      <alignment horizontal="center"/>
    </xf>
    <xf numFmtId="0" fontId="127" fillId="50" borderId="29" xfId="4" applyFont="1" applyFill="1" applyBorder="1" applyAlignment="1">
      <alignment horizontal="center"/>
    </xf>
    <xf numFmtId="44" fontId="64" fillId="0" borderId="8" xfId="1" applyFont="1" applyFill="1" applyBorder="1"/>
    <xf numFmtId="4" fontId="32" fillId="0" borderId="12" xfId="0" applyNumberFormat="1" applyFont="1" applyBorder="1"/>
    <xf numFmtId="44" fontId="64" fillId="14" borderId="8" xfId="1" applyFont="1" applyFill="1" applyBorder="1"/>
    <xf numFmtId="0" fontId="117" fillId="21" borderId="106" xfId="0" applyFont="1" applyFill="1" applyBorder="1" applyAlignment="1"/>
    <xf numFmtId="44" fontId="118" fillId="51" borderId="12" xfId="1" applyFont="1" applyFill="1" applyBorder="1" applyAlignment="1">
      <alignment vertical="center" wrapText="1"/>
    </xf>
    <xf numFmtId="44" fontId="118" fillId="51" borderId="12" xfId="1" applyFont="1" applyFill="1" applyBorder="1"/>
    <xf numFmtId="0" fontId="126" fillId="21" borderId="8" xfId="0" applyFont="1" applyFill="1" applyBorder="1" applyAlignment="1"/>
    <xf numFmtId="0" fontId="126" fillId="21" borderId="30" xfId="0" applyFont="1" applyFill="1" applyBorder="1" applyAlignment="1"/>
    <xf numFmtId="49" fontId="125" fillId="40" borderId="107" xfId="0" applyNumberFormat="1" applyFont="1" applyFill="1" applyBorder="1" applyAlignment="1">
      <alignment horizontal="center"/>
    </xf>
    <xf numFmtId="0" fontId="117" fillId="49" borderId="29" xfId="0" applyFont="1" applyFill="1" applyBorder="1" applyAlignment="1"/>
    <xf numFmtId="0" fontId="120" fillId="49" borderId="105" xfId="0" applyFont="1" applyFill="1" applyBorder="1"/>
    <xf numFmtId="44" fontId="64" fillId="0" borderId="12" xfId="1" applyFont="1" applyBorder="1"/>
    <xf numFmtId="0" fontId="117" fillId="21" borderId="8" xfId="0" applyFont="1" applyFill="1" applyBorder="1" applyAlignment="1"/>
    <xf numFmtId="0" fontId="120" fillId="21" borderId="29" xfId="0" applyFont="1" applyFill="1" applyBorder="1" applyAlignment="1"/>
    <xf numFmtId="0" fontId="117" fillId="49" borderId="8" xfId="0" applyFont="1" applyFill="1" applyBorder="1" applyAlignment="1"/>
    <xf numFmtId="49" fontId="117" fillId="40" borderId="105" xfId="0" applyNumberFormat="1" applyFont="1" applyFill="1" applyBorder="1" applyAlignment="1">
      <alignment horizontal="center"/>
    </xf>
    <xf numFmtId="0" fontId="124" fillId="50" borderId="105" xfId="4" applyFont="1" applyFill="1" applyBorder="1" applyAlignment="1">
      <alignment horizontal="center"/>
    </xf>
    <xf numFmtId="4" fontId="66" fillId="19" borderId="98" xfId="0" applyNumberFormat="1" applyFont="1" applyFill="1" applyBorder="1"/>
    <xf numFmtId="44" fontId="118" fillId="7" borderId="10" xfId="1" applyFont="1" applyFill="1" applyBorder="1" applyAlignment="1">
      <alignment vertical="center" wrapText="1"/>
    </xf>
    <xf numFmtId="44" fontId="118" fillId="7" borderId="8" xfId="1" applyFont="1" applyFill="1" applyBorder="1"/>
    <xf numFmtId="44" fontId="66" fillId="19" borderId="8" xfId="1" applyFont="1" applyFill="1" applyBorder="1"/>
    <xf numFmtId="2" fontId="66" fillId="0" borderId="0" xfId="0" applyNumberFormat="1" applyFont="1" applyFill="1"/>
    <xf numFmtId="44" fontId="66" fillId="0" borderId="0" xfId="1" applyFont="1" applyFill="1"/>
    <xf numFmtId="2" fontId="132" fillId="0" borderId="0" xfId="0" applyNumberFormat="1" applyFont="1" applyFill="1"/>
    <xf numFmtId="44" fontId="132" fillId="0" borderId="0" xfId="1" applyFont="1" applyFill="1"/>
    <xf numFmtId="4" fontId="118" fillId="0" borderId="8" xfId="0" applyNumberFormat="1" applyFont="1" applyFill="1" applyBorder="1"/>
    <xf numFmtId="2" fontId="118" fillId="0" borderId="8" xfId="0" applyNumberFormat="1" applyFont="1" applyFill="1" applyBorder="1"/>
    <xf numFmtId="0" fontId="135" fillId="0" borderId="14" xfId="0" applyFont="1" applyFill="1" applyBorder="1" applyAlignment="1"/>
    <xf numFmtId="0" fontId="135" fillId="0" borderId="29" xfId="0" applyFont="1" applyFill="1" applyBorder="1" applyAlignment="1"/>
    <xf numFmtId="49" fontId="136" fillId="40" borderId="29" xfId="0" applyNumberFormat="1" applyFont="1" applyFill="1" applyBorder="1" applyAlignment="1">
      <alignment horizontal="center"/>
    </xf>
    <xf numFmtId="0" fontId="136" fillId="50" borderId="29" xfId="0" applyFont="1" applyFill="1" applyBorder="1" applyAlignment="1">
      <alignment horizontal="center"/>
    </xf>
    <xf numFmtId="4" fontId="132" fillId="57" borderId="8" xfId="0" applyNumberFormat="1" applyFont="1" applyFill="1" applyBorder="1"/>
    <xf numFmtId="44" fontId="65" fillId="0" borderId="8" xfId="1" applyFont="1" applyBorder="1"/>
    <xf numFmtId="44" fontId="132" fillId="57" borderId="8" xfId="1" applyFont="1" applyFill="1" applyBorder="1"/>
    <xf numFmtId="4" fontId="132" fillId="13" borderId="12" xfId="0" applyNumberFormat="1" applyFont="1" applyFill="1" applyBorder="1"/>
    <xf numFmtId="44" fontId="32" fillId="51" borderId="12" xfId="1" applyFont="1" applyFill="1" applyBorder="1" applyAlignment="1">
      <alignment vertical="center" wrapText="1"/>
    </xf>
    <xf numFmtId="44" fontId="32" fillId="51" borderId="12" xfId="1" applyFont="1" applyFill="1" applyBorder="1"/>
    <xf numFmtId="2" fontId="132" fillId="57" borderId="8" xfId="0" applyNumberFormat="1" applyFont="1" applyFill="1" applyBorder="1"/>
    <xf numFmtId="4" fontId="65" fillId="19" borderId="87" xfId="0" applyNumberFormat="1" applyFont="1" applyFill="1" applyBorder="1"/>
    <xf numFmtId="44" fontId="64" fillId="7" borderId="15" xfId="1" applyFont="1" applyFill="1" applyBorder="1" applyAlignment="1">
      <alignment vertical="center" wrapText="1"/>
    </xf>
    <xf numFmtId="44" fontId="64" fillId="7" borderId="12" xfId="1" applyFont="1" applyFill="1" applyBorder="1"/>
    <xf numFmtId="44" fontId="65" fillId="19" borderId="12" xfId="1" applyFont="1" applyFill="1" applyBorder="1"/>
    <xf numFmtId="4" fontId="132" fillId="0" borderId="8" xfId="0" applyNumberFormat="1" applyFont="1" applyBorder="1"/>
    <xf numFmtId="44" fontId="132" fillId="0" borderId="8" xfId="1" applyFont="1" applyBorder="1"/>
    <xf numFmtId="2" fontId="132" fillId="0" borderId="8" xfId="0" applyNumberFormat="1" applyFont="1" applyBorder="1"/>
    <xf numFmtId="44" fontId="132" fillId="14" borderId="8" xfId="1" applyFont="1" applyFill="1" applyBorder="1"/>
    <xf numFmtId="0" fontId="132" fillId="0" borderId="0" xfId="0" applyFont="1" applyFill="1"/>
    <xf numFmtId="0" fontId="132" fillId="0" borderId="0" xfId="0" applyFont="1"/>
    <xf numFmtId="0" fontId="135" fillId="0" borderId="12" xfId="0" applyFont="1" applyFill="1" applyBorder="1" applyAlignment="1"/>
    <xf numFmtId="44" fontId="65" fillId="57" borderId="8" xfId="1" applyFont="1" applyFill="1" applyBorder="1"/>
    <xf numFmtId="0" fontId="135" fillId="0" borderId="8" xfId="0" applyFont="1" applyFill="1" applyBorder="1" applyAlignment="1">
      <alignment vertical="center"/>
    </xf>
    <xf numFmtId="2" fontId="132" fillId="0" borderId="16" xfId="0" applyNumberFormat="1" applyFont="1" applyBorder="1"/>
    <xf numFmtId="44" fontId="132" fillId="0" borderId="8" xfId="1" applyFont="1" applyFill="1" applyBorder="1" applyAlignment="1">
      <alignment horizontal="center"/>
    </xf>
    <xf numFmtId="2" fontId="132" fillId="19" borderId="98" xfId="0" applyNumberFormat="1" applyFont="1" applyFill="1" applyBorder="1"/>
    <xf numFmtId="2" fontId="132" fillId="52" borderId="12" xfId="0" applyNumberFormat="1" applyFont="1" applyFill="1" applyBorder="1"/>
    <xf numFmtId="44" fontId="32" fillId="0" borderId="0" xfId="0" applyNumberFormat="1" applyFont="1"/>
    <xf numFmtId="0" fontId="135" fillId="0" borderId="8" xfId="0" applyFont="1" applyFill="1" applyBorder="1" applyAlignment="1"/>
    <xf numFmtId="49" fontId="136" fillId="40" borderId="105" xfId="0" applyNumberFormat="1" applyFont="1" applyFill="1" applyBorder="1" applyAlignment="1">
      <alignment horizontal="center"/>
    </xf>
    <xf numFmtId="0" fontId="136" fillId="50" borderId="105" xfId="0" applyFont="1" applyFill="1" applyBorder="1" applyAlignment="1">
      <alignment horizontal="center"/>
    </xf>
    <xf numFmtId="4" fontId="65" fillId="0" borderId="8" xfId="0" applyNumberFormat="1" applyFont="1" applyBorder="1"/>
    <xf numFmtId="2" fontId="65" fillId="0" borderId="8" xfId="0" applyNumberFormat="1" applyFont="1" applyBorder="1"/>
    <xf numFmtId="0" fontId="64" fillId="0" borderId="108" xfId="0" applyFont="1" applyBorder="1"/>
    <xf numFmtId="0" fontId="137" fillId="21" borderId="8" xfId="0" applyFont="1" applyFill="1" applyBorder="1" applyAlignment="1">
      <alignment vertical="center"/>
    </xf>
    <xf numFmtId="0" fontId="137" fillId="0" borderId="105" xfId="0" applyFont="1" applyFill="1" applyBorder="1"/>
    <xf numFmtId="49" fontId="120" fillId="40" borderId="105" xfId="0" applyNumberFormat="1" applyFont="1" applyFill="1" applyBorder="1" applyAlignment="1">
      <alignment horizontal="center"/>
    </xf>
    <xf numFmtId="0" fontId="120" fillId="50" borderId="105" xfId="0" applyFont="1" applyFill="1" applyBorder="1" applyAlignment="1">
      <alignment horizontal="center"/>
    </xf>
    <xf numFmtId="0" fontId="131" fillId="50" borderId="29" xfId="4" applyFont="1" applyFill="1" applyBorder="1" applyAlignment="1">
      <alignment horizontal="center"/>
    </xf>
    <xf numFmtId="44" fontId="32" fillId="51" borderId="8" xfId="1" applyFont="1" applyFill="1" applyBorder="1"/>
    <xf numFmtId="0" fontId="137" fillId="21" borderId="8" xfId="0" applyFont="1" applyFill="1" applyBorder="1"/>
    <xf numFmtId="0" fontId="137" fillId="13" borderId="12" xfId="0" applyFont="1" applyFill="1" applyBorder="1" applyAlignment="1"/>
    <xf numFmtId="0" fontId="137" fillId="0" borderId="29" xfId="0" applyFont="1" applyBorder="1"/>
    <xf numFmtId="0" fontId="125" fillId="50" borderId="29" xfId="0" applyFont="1" applyFill="1" applyBorder="1" applyAlignment="1">
      <alignment horizontal="center"/>
    </xf>
    <xf numFmtId="4" fontId="132" fillId="0" borderId="12" xfId="0" applyNumberFormat="1" applyFont="1" applyBorder="1"/>
    <xf numFmtId="44" fontId="132" fillId="0" borderId="12" xfId="1" applyFont="1" applyBorder="1"/>
    <xf numFmtId="44" fontId="65" fillId="0" borderId="12" xfId="1" applyFont="1" applyBorder="1"/>
    <xf numFmtId="4" fontId="65" fillId="13" borderId="12" xfId="0" applyNumberFormat="1" applyFont="1" applyFill="1" applyBorder="1"/>
    <xf numFmtId="44" fontId="64" fillId="51" borderId="12" xfId="1" applyFont="1" applyFill="1" applyBorder="1" applyAlignment="1">
      <alignment vertical="center" wrapText="1"/>
    </xf>
    <xf numFmtId="44" fontId="64" fillId="51" borderId="12" xfId="1" applyFont="1" applyFill="1" applyBorder="1"/>
    <xf numFmtId="2" fontId="132" fillId="0" borderId="12" xfId="0" applyNumberFormat="1" applyFont="1" applyBorder="1"/>
    <xf numFmtId="0" fontId="137" fillId="13" borderId="15" xfId="0" applyFont="1" applyFill="1" applyBorder="1" applyAlignment="1"/>
    <xf numFmtId="0" fontId="125" fillId="50" borderId="105" xfId="0" applyFont="1" applyFill="1" applyBorder="1" applyAlignment="1">
      <alignment horizontal="center"/>
    </xf>
    <xf numFmtId="44" fontId="130" fillId="42" borderId="12" xfId="1" applyFont="1" applyFill="1" applyBorder="1" applyAlignment="1">
      <alignment vertical="center"/>
    </xf>
    <xf numFmtId="0" fontId="126" fillId="13" borderId="12" xfId="0" applyFont="1" applyFill="1" applyBorder="1"/>
    <xf numFmtId="0" fontId="120" fillId="0" borderId="29" xfId="0" applyFont="1" applyFill="1" applyBorder="1"/>
    <xf numFmtId="49" fontId="126" fillId="10" borderId="104" xfId="0" applyNumberFormat="1" applyFont="1" applyFill="1" applyBorder="1" applyAlignment="1">
      <alignment horizontal="center"/>
    </xf>
    <xf numFmtId="0" fontId="131" fillId="10" borderId="104" xfId="4" applyFont="1" applyFill="1" applyBorder="1" applyAlignment="1">
      <alignment horizontal="center"/>
    </xf>
    <xf numFmtId="2" fontId="32" fillId="0" borderId="8" xfId="0" applyNumberFormat="1" applyFont="1" applyFill="1" applyBorder="1"/>
    <xf numFmtId="0" fontId="120" fillId="13" borderId="12" xfId="0" applyFont="1" applyFill="1" applyBorder="1" applyAlignment="1"/>
    <xf numFmtId="0" fontId="120" fillId="0" borderId="29" xfId="0" applyFont="1" applyFill="1" applyBorder="1" applyAlignment="1"/>
    <xf numFmtId="0" fontId="120" fillId="13" borderId="14" xfId="0" applyFont="1" applyFill="1" applyBorder="1" applyAlignment="1"/>
    <xf numFmtId="0" fontId="120" fillId="0" borderId="105" xfId="0" applyFont="1" applyFill="1" applyBorder="1" applyAlignment="1"/>
    <xf numFmtId="49" fontId="120" fillId="40" borderId="29" xfId="0" applyNumberFormat="1" applyFont="1" applyFill="1" applyBorder="1" applyAlignment="1">
      <alignment horizontal="center"/>
    </xf>
    <xf numFmtId="0" fontId="120" fillId="50" borderId="29" xfId="0" applyFont="1" applyFill="1" applyBorder="1" applyAlignment="1">
      <alignment horizontal="center"/>
    </xf>
    <xf numFmtId="4" fontId="64" fillId="57" borderId="8" xfId="0" applyNumberFormat="1" applyFont="1" applyFill="1" applyBorder="1"/>
    <xf numFmtId="0" fontId="120" fillId="13" borderId="8" xfId="0" applyFont="1" applyFill="1" applyBorder="1" applyAlignment="1"/>
    <xf numFmtId="0" fontId="123" fillId="50" borderId="105" xfId="4" applyFont="1" applyFill="1" applyBorder="1" applyAlignment="1">
      <alignment horizontal="center"/>
    </xf>
    <xf numFmtId="0" fontId="123" fillId="50" borderId="29" xfId="4" applyFont="1" applyFill="1" applyBorder="1" applyAlignment="1">
      <alignment horizontal="center"/>
    </xf>
    <xf numFmtId="4" fontId="64" fillId="0" borderId="12" xfId="0" applyNumberFormat="1" applyFont="1" applyBorder="1"/>
    <xf numFmtId="2" fontId="64" fillId="0" borderId="12" xfId="0" applyNumberFormat="1" applyFont="1" applyBorder="1"/>
    <xf numFmtId="44" fontId="65" fillId="20" borderId="12" xfId="1" applyFont="1" applyFill="1" applyBorder="1"/>
    <xf numFmtId="44" fontId="65" fillId="13" borderId="85" xfId="1" applyFont="1" applyFill="1" applyBorder="1"/>
    <xf numFmtId="0" fontId="120" fillId="13" borderId="10" xfId="0" applyFont="1" applyFill="1" applyBorder="1" applyAlignment="1"/>
    <xf numFmtId="2" fontId="64" fillId="57" borderId="8" xfId="0" applyNumberFormat="1" applyFont="1" applyFill="1" applyBorder="1"/>
    <xf numFmtId="49" fontId="120" fillId="40" borderId="109" xfId="0" applyNumberFormat="1" applyFont="1" applyFill="1" applyBorder="1" applyAlignment="1">
      <alignment horizontal="center"/>
    </xf>
    <xf numFmtId="0" fontId="123" fillId="50" borderId="109" xfId="4" applyFont="1" applyFill="1" applyBorder="1" applyAlignment="1">
      <alignment horizontal="center"/>
    </xf>
    <xf numFmtId="2" fontId="65" fillId="0" borderId="0" xfId="0" applyNumberFormat="1" applyFont="1" applyFill="1"/>
    <xf numFmtId="44" fontId="65" fillId="0" borderId="0" xfId="1" applyFont="1" applyFill="1"/>
    <xf numFmtId="49" fontId="120" fillId="40" borderId="31" xfId="0" applyNumberFormat="1" applyFont="1" applyFill="1" applyBorder="1" applyAlignment="1">
      <alignment horizontal="center"/>
    </xf>
    <xf numFmtId="0" fontId="126" fillId="13" borderId="8" xfId="0" applyFont="1" applyFill="1" applyBorder="1"/>
    <xf numFmtId="49" fontId="125" fillId="40" borderId="8" xfId="0" applyNumberFormat="1" applyFont="1" applyFill="1" applyBorder="1" applyAlignment="1">
      <alignment horizontal="center"/>
    </xf>
    <xf numFmtId="0" fontId="127" fillId="50" borderId="8" xfId="4" applyFont="1" applyFill="1" applyBorder="1" applyAlignment="1">
      <alignment horizontal="center"/>
    </xf>
    <xf numFmtId="44" fontId="64" fillId="0" borderId="12" xfId="1" applyFont="1" applyFill="1" applyBorder="1"/>
    <xf numFmtId="0" fontId="120" fillId="13" borderId="15" xfId="0" applyFont="1" applyFill="1" applyBorder="1" applyAlignment="1"/>
    <xf numFmtId="0" fontId="64" fillId="0" borderId="110" xfId="0" applyFont="1" applyBorder="1"/>
    <xf numFmtId="0" fontId="120" fillId="13" borderId="111" xfId="0" applyFont="1" applyFill="1" applyBorder="1" applyAlignment="1"/>
    <xf numFmtId="0" fontId="120" fillId="0" borderId="30" xfId="0" applyFont="1" applyFill="1" applyBorder="1" applyAlignment="1"/>
    <xf numFmtId="0" fontId="120" fillId="58" borderId="8" xfId="0" applyFont="1" applyFill="1" applyBorder="1"/>
    <xf numFmtId="0" fontId="120" fillId="58" borderId="105" xfId="0" applyFont="1" applyFill="1" applyBorder="1"/>
    <xf numFmtId="4" fontId="64" fillId="58" borderId="8" xfId="0" applyNumberFormat="1" applyFont="1" applyFill="1" applyBorder="1"/>
    <xf numFmtId="44" fontId="64" fillId="58" borderId="8" xfId="1" applyFont="1" applyFill="1" applyBorder="1"/>
    <xf numFmtId="2" fontId="64" fillId="58" borderId="8" xfId="0" applyNumberFormat="1" applyFont="1" applyFill="1" applyBorder="1"/>
    <xf numFmtId="4" fontId="65" fillId="58" borderId="8" xfId="0" applyNumberFormat="1" applyFont="1" applyFill="1" applyBorder="1"/>
    <xf numFmtId="44" fontId="64" fillId="58" borderId="8" xfId="1" applyFont="1" applyFill="1" applyBorder="1" applyAlignment="1">
      <alignment vertical="center" wrapText="1"/>
    </xf>
    <xf numFmtId="44" fontId="132" fillId="58" borderId="8" xfId="1" applyFont="1" applyFill="1" applyBorder="1"/>
    <xf numFmtId="44" fontId="132" fillId="58" borderId="89" xfId="1" applyFont="1" applyFill="1" applyBorder="1"/>
    <xf numFmtId="2" fontId="65" fillId="58" borderId="98" xfId="0" applyNumberFormat="1" applyFont="1" applyFill="1" applyBorder="1"/>
    <xf numFmtId="44" fontId="64" fillId="58" borderId="10" xfId="1" applyFont="1" applyFill="1" applyBorder="1" applyAlignment="1">
      <alignment vertical="center" wrapText="1"/>
    </xf>
    <xf numFmtId="44" fontId="65" fillId="58" borderId="8" xfId="1" applyFont="1" applyFill="1" applyBorder="1"/>
    <xf numFmtId="2" fontId="65" fillId="58" borderId="12" xfId="0" applyNumberFormat="1" applyFont="1" applyFill="1" applyBorder="1"/>
    <xf numFmtId="44" fontId="65" fillId="58" borderId="12" xfId="1" applyFont="1" applyFill="1" applyBorder="1"/>
    <xf numFmtId="44" fontId="121" fillId="58" borderId="12" xfId="1" applyFont="1" applyFill="1" applyBorder="1" applyAlignment="1">
      <alignment horizontal="center"/>
    </xf>
    <xf numFmtId="0" fontId="64" fillId="58" borderId="0" xfId="0" applyFont="1" applyFill="1"/>
    <xf numFmtId="0" fontId="120" fillId="58" borderId="12" xfId="0" applyFont="1" applyFill="1" applyBorder="1" applyAlignment="1"/>
    <xf numFmtId="0" fontId="120" fillId="58" borderId="29" xfId="0" applyFont="1" applyFill="1" applyBorder="1"/>
    <xf numFmtId="49" fontId="125" fillId="58" borderId="29" xfId="0" applyNumberFormat="1" applyFont="1" applyFill="1" applyBorder="1" applyAlignment="1">
      <alignment horizontal="center"/>
    </xf>
    <xf numFmtId="0" fontId="127" fillId="58" borderId="29" xfId="4" applyFont="1" applyFill="1" applyBorder="1" applyAlignment="1">
      <alignment horizontal="center"/>
    </xf>
    <xf numFmtId="4" fontId="32" fillId="58" borderId="8" xfId="0" applyNumberFormat="1" applyFont="1" applyFill="1" applyBorder="1"/>
    <xf numFmtId="44" fontId="32" fillId="58" borderId="8" xfId="1" applyFont="1" applyFill="1" applyBorder="1"/>
    <xf numFmtId="2" fontId="32" fillId="58" borderId="8" xfId="0" applyNumberFormat="1" applyFont="1" applyFill="1" applyBorder="1"/>
    <xf numFmtId="4" fontId="65" fillId="58" borderId="98" xfId="0" applyNumberFormat="1" applyFont="1" applyFill="1" applyBorder="1"/>
    <xf numFmtId="4" fontId="65" fillId="58" borderId="12" xfId="0" applyNumberFormat="1" applyFont="1" applyFill="1" applyBorder="1"/>
    <xf numFmtId="0" fontId="126" fillId="59" borderId="8" xfId="0" applyFont="1" applyFill="1" applyBorder="1"/>
    <xf numFmtId="49" fontId="125" fillId="59" borderId="8" xfId="0" applyNumberFormat="1" applyFont="1" applyFill="1" applyBorder="1" applyAlignment="1">
      <alignment horizontal="center"/>
    </xf>
    <xf numFmtId="0" fontId="127" fillId="59" borderId="8" xfId="4" applyFont="1" applyFill="1" applyBorder="1" applyAlignment="1">
      <alignment horizontal="center"/>
    </xf>
    <xf numFmtId="4" fontId="32" fillId="59" borderId="8" xfId="0" applyNumberFormat="1" applyFont="1" applyFill="1" applyBorder="1"/>
    <xf numFmtId="44" fontId="64" fillId="59" borderId="8" xfId="1" applyFont="1" applyFill="1" applyBorder="1"/>
    <xf numFmtId="44" fontId="118" fillId="59" borderId="8" xfId="1" applyFont="1" applyFill="1" applyBorder="1"/>
    <xf numFmtId="2" fontId="32" fillId="59" borderId="8" xfId="0" applyNumberFormat="1" applyFont="1" applyFill="1" applyBorder="1"/>
    <xf numFmtId="4" fontId="65" fillId="59" borderId="8" xfId="0" applyNumberFormat="1" applyFont="1" applyFill="1" applyBorder="1"/>
    <xf numFmtId="44" fontId="64" fillId="59" borderId="8" xfId="1" applyFont="1" applyFill="1" applyBorder="1" applyAlignment="1">
      <alignment vertical="center" wrapText="1"/>
    </xf>
    <xf numFmtId="44" fontId="132" fillId="59" borderId="8" xfId="1" applyFont="1" applyFill="1" applyBorder="1"/>
    <xf numFmtId="44" fontId="132" fillId="59" borderId="89" xfId="1" applyFont="1" applyFill="1" applyBorder="1"/>
    <xf numFmtId="2" fontId="65" fillId="59" borderId="98" xfId="0" applyNumberFormat="1" applyFont="1" applyFill="1" applyBorder="1"/>
    <xf numFmtId="44" fontId="64" fillId="59" borderId="10" xfId="1" applyFont="1" applyFill="1" applyBorder="1" applyAlignment="1">
      <alignment vertical="center" wrapText="1"/>
    </xf>
    <xf numFmtId="44" fontId="65" fillId="59" borderId="8" xfId="1" applyFont="1" applyFill="1" applyBorder="1"/>
    <xf numFmtId="2" fontId="65" fillId="59" borderId="12" xfId="0" applyNumberFormat="1" applyFont="1" applyFill="1" applyBorder="1"/>
    <xf numFmtId="44" fontId="65" fillId="59" borderId="12" xfId="1" applyFont="1" applyFill="1" applyBorder="1"/>
    <xf numFmtId="44" fontId="121" fillId="59" borderId="12" xfId="1" applyFont="1" applyFill="1" applyBorder="1" applyAlignment="1">
      <alignment horizontal="center"/>
    </xf>
    <xf numFmtId="0" fontId="64" fillId="59" borderId="0" xfId="0" applyFont="1" applyFill="1"/>
    <xf numFmtId="0" fontId="126" fillId="59" borderId="12" xfId="0" applyFont="1" applyFill="1" applyBorder="1"/>
    <xf numFmtId="44" fontId="32" fillId="59" borderId="8" xfId="1" applyFont="1" applyFill="1" applyBorder="1"/>
    <xf numFmtId="44" fontId="130" fillId="20" borderId="12" xfId="1" applyFont="1" applyFill="1" applyBorder="1" applyAlignment="1">
      <alignment vertical="center"/>
    </xf>
    <xf numFmtId="0" fontId="118" fillId="0" borderId="108" xfId="0" applyFont="1" applyFill="1" applyBorder="1"/>
    <xf numFmtId="0" fontId="117" fillId="49" borderId="12" xfId="0" applyFont="1" applyFill="1" applyBorder="1"/>
    <xf numFmtId="49" fontId="125" fillId="40" borderId="12" xfId="0" applyNumberFormat="1" applyFont="1" applyFill="1" applyBorder="1" applyAlignment="1">
      <alignment horizontal="center"/>
    </xf>
    <xf numFmtId="0" fontId="127" fillId="50" borderId="12" xfId="4" applyFont="1" applyFill="1" applyBorder="1" applyAlignment="1">
      <alignment horizontal="center"/>
    </xf>
    <xf numFmtId="2" fontId="66" fillId="13" borderId="8" xfId="0" applyNumberFormat="1" applyFont="1" applyFill="1" applyBorder="1"/>
    <xf numFmtId="44" fontId="66" fillId="13" borderId="89" xfId="1" applyFont="1" applyFill="1" applyBorder="1"/>
    <xf numFmtId="0" fontId="64" fillId="0" borderId="108" xfId="0" applyFont="1" applyFill="1" applyBorder="1"/>
    <xf numFmtId="0" fontId="117" fillId="13" borderId="8" xfId="0" applyFont="1" applyFill="1" applyBorder="1" applyAlignment="1"/>
    <xf numFmtId="0" fontId="117" fillId="13" borderId="8" xfId="0" applyFont="1" applyFill="1" applyBorder="1"/>
    <xf numFmtId="0" fontId="125" fillId="50" borderId="8" xfId="0" applyFont="1" applyFill="1" applyBorder="1" applyAlignment="1">
      <alignment horizontal="center"/>
    </xf>
    <xf numFmtId="0" fontId="138" fillId="21" borderId="13" xfId="0" applyFont="1" applyFill="1" applyBorder="1" applyAlignment="1"/>
    <xf numFmtId="0" fontId="126" fillId="21" borderId="8" xfId="0" applyFont="1" applyFill="1" applyBorder="1"/>
    <xf numFmtId="0" fontId="120" fillId="21" borderId="13" xfId="0" applyFont="1" applyFill="1" applyBorder="1" applyAlignment="1"/>
    <xf numFmtId="0" fontId="126" fillId="21" borderId="12" xfId="0" applyFont="1" applyFill="1" applyBorder="1"/>
    <xf numFmtId="44" fontId="32" fillId="0" borderId="12" xfId="1" applyFont="1" applyFill="1" applyBorder="1"/>
    <xf numFmtId="44" fontId="115" fillId="46" borderId="12" xfId="1" applyFont="1" applyFill="1" applyBorder="1" applyAlignment="1">
      <alignment vertical="center" wrapText="1"/>
    </xf>
    <xf numFmtId="44" fontId="115" fillId="47" borderId="12" xfId="1" applyFont="1" applyFill="1" applyBorder="1" applyAlignment="1">
      <alignment vertical="center" wrapText="1"/>
    </xf>
    <xf numFmtId="0" fontId="118" fillId="0" borderId="108" xfId="0" applyFont="1" applyBorder="1"/>
    <xf numFmtId="0" fontId="117" fillId="49" borderId="13" xfId="0" applyFont="1" applyFill="1" applyBorder="1" applyAlignment="1">
      <alignment vertical="center"/>
    </xf>
    <xf numFmtId="49" fontId="117" fillId="40" borderId="8" xfId="0" applyNumberFormat="1" applyFont="1" applyFill="1" applyBorder="1" applyAlignment="1">
      <alignment horizontal="center"/>
    </xf>
    <xf numFmtId="0" fontId="117" fillId="50" borderId="8" xfId="0" applyFont="1" applyFill="1" applyBorder="1" applyAlignment="1">
      <alignment horizontal="center"/>
    </xf>
    <xf numFmtId="2" fontId="118" fillId="0" borderId="12" xfId="0" applyNumberFormat="1" applyFont="1" applyBorder="1" applyAlignment="1">
      <alignment vertical="center" wrapText="1"/>
    </xf>
    <xf numFmtId="0" fontId="133" fillId="50" borderId="8" xfId="0" applyFont="1" applyFill="1" applyBorder="1" applyAlignment="1">
      <alignment horizontal="center"/>
    </xf>
    <xf numFmtId="0" fontId="124" fillId="50" borderId="8" xfId="4" applyFont="1" applyFill="1" applyBorder="1" applyAlignment="1">
      <alignment horizontal="center"/>
    </xf>
    <xf numFmtId="0" fontId="120" fillId="49" borderId="8" xfId="0" applyFont="1" applyFill="1" applyBorder="1" applyAlignment="1">
      <alignment vertical="center"/>
    </xf>
    <xf numFmtId="0" fontId="120" fillId="49" borderId="8" xfId="0" applyFont="1" applyFill="1" applyBorder="1"/>
    <xf numFmtId="49" fontId="120" fillId="40" borderId="8" xfId="0" applyNumberFormat="1" applyFont="1" applyFill="1" applyBorder="1" applyAlignment="1">
      <alignment horizontal="center"/>
    </xf>
    <xf numFmtId="0" fontId="120" fillId="50" borderId="8" xfId="0" applyFont="1" applyFill="1" applyBorder="1" applyAlignment="1">
      <alignment horizontal="center"/>
    </xf>
    <xf numFmtId="0" fontId="120" fillId="49" borderId="12" xfId="0" applyFont="1" applyFill="1" applyBorder="1" applyAlignment="1">
      <alignment vertical="center"/>
    </xf>
    <xf numFmtId="0" fontId="123" fillId="50" borderId="89" xfId="4" applyFont="1" applyFill="1" applyBorder="1" applyAlignment="1">
      <alignment horizontal="center"/>
    </xf>
    <xf numFmtId="4" fontId="65" fillId="13" borderId="11" xfId="0" applyNumberFormat="1" applyFont="1" applyFill="1" applyBorder="1"/>
    <xf numFmtId="44" fontId="64" fillId="51" borderId="11" xfId="1" applyFont="1" applyFill="1" applyBorder="1" applyAlignment="1">
      <alignment vertical="center" wrapText="1"/>
    </xf>
    <xf numFmtId="44" fontId="64" fillId="51" borderId="11" xfId="1" applyFont="1" applyFill="1" applyBorder="1"/>
    <xf numFmtId="44" fontId="65" fillId="20" borderId="11" xfId="1" applyFont="1" applyFill="1" applyBorder="1"/>
    <xf numFmtId="44" fontId="65" fillId="13" borderId="96" xfId="1" applyFont="1" applyFill="1" applyBorder="1"/>
    <xf numFmtId="0" fontId="120" fillId="49" borderId="13" xfId="0" applyFont="1" applyFill="1" applyBorder="1" applyAlignment="1">
      <alignment vertical="center"/>
    </xf>
    <xf numFmtId="0" fontId="123" fillId="50" borderId="8" xfId="4" applyFont="1" applyFill="1" applyBorder="1" applyAlignment="1">
      <alignment horizontal="center"/>
    </xf>
    <xf numFmtId="0" fontId="120" fillId="49" borderId="24" xfId="0" applyFont="1" applyFill="1" applyBorder="1" applyAlignment="1">
      <alignment vertical="center"/>
    </xf>
    <xf numFmtId="0" fontId="137" fillId="50" borderId="8" xfId="0" applyFont="1" applyFill="1" applyBorder="1" applyAlignment="1">
      <alignment horizontal="center"/>
    </xf>
    <xf numFmtId="49" fontId="120" fillId="59" borderId="8" xfId="0" applyNumberFormat="1" applyFont="1" applyFill="1" applyBorder="1" applyAlignment="1">
      <alignment horizontal="center"/>
    </xf>
    <xf numFmtId="0" fontId="120" fillId="59" borderId="8" xfId="0" applyFont="1" applyFill="1" applyBorder="1" applyAlignment="1">
      <alignment horizontal="center"/>
    </xf>
    <xf numFmtId="2" fontId="32" fillId="0" borderId="8" xfId="0" applyNumberFormat="1" applyFont="1" applyBorder="1" applyAlignment="1">
      <alignment vertical="center" wrapText="1"/>
    </xf>
    <xf numFmtId="0" fontId="120" fillId="42" borderId="13" xfId="0" applyFont="1" applyFill="1" applyBorder="1" applyAlignment="1">
      <alignment vertical="center"/>
    </xf>
    <xf numFmtId="0" fontId="126" fillId="42" borderId="12" xfId="0" applyFont="1" applyFill="1" applyBorder="1"/>
    <xf numFmtId="49" fontId="125" fillId="42" borderId="8" xfId="0" applyNumberFormat="1" applyFont="1" applyFill="1" applyBorder="1" applyAlignment="1">
      <alignment horizontal="center"/>
    </xf>
    <xf numFmtId="0" fontId="127" fillId="42" borderId="8" xfId="4" applyFont="1" applyFill="1" applyBorder="1" applyAlignment="1">
      <alignment horizontal="center"/>
    </xf>
    <xf numFmtId="2" fontId="32" fillId="42" borderId="8" xfId="0" applyNumberFormat="1" applyFont="1" applyFill="1" applyBorder="1" applyAlignment="1">
      <alignment vertical="center" wrapText="1"/>
    </xf>
    <xf numFmtId="44" fontId="32" fillId="42" borderId="8" xfId="1" applyFont="1" applyFill="1" applyBorder="1"/>
    <xf numFmtId="4" fontId="65" fillId="42" borderId="8" xfId="0" applyNumberFormat="1" applyFont="1" applyFill="1" applyBorder="1"/>
    <xf numFmtId="44" fontId="64" fillId="42" borderId="8" xfId="1" applyFont="1" applyFill="1" applyBorder="1" applyAlignment="1">
      <alignment vertical="center" wrapText="1"/>
    </xf>
    <xf numFmtId="44" fontId="64" fillId="42" borderId="8" xfId="1" applyFont="1" applyFill="1" applyBorder="1"/>
    <xf numFmtId="44" fontId="132" fillId="42" borderId="8" xfId="1" applyFont="1" applyFill="1" applyBorder="1"/>
    <xf numFmtId="44" fontId="132" fillId="42" borderId="89" xfId="1" applyFont="1" applyFill="1" applyBorder="1"/>
    <xf numFmtId="4" fontId="65" fillId="42" borderId="98" xfId="0" applyNumberFormat="1" applyFont="1" applyFill="1" applyBorder="1"/>
    <xf numFmtId="44" fontId="64" fillId="42" borderId="10" xfId="1" applyFont="1" applyFill="1" applyBorder="1" applyAlignment="1">
      <alignment vertical="center" wrapText="1"/>
    </xf>
    <xf numFmtId="44" fontId="65" fillId="42" borderId="8" xfId="1" applyFont="1" applyFill="1" applyBorder="1"/>
    <xf numFmtId="4" fontId="65" fillId="42" borderId="12" xfId="0" applyNumberFormat="1" applyFont="1" applyFill="1" applyBorder="1"/>
    <xf numFmtId="44" fontId="65" fillId="42" borderId="12" xfId="1" applyFont="1" applyFill="1" applyBorder="1"/>
    <xf numFmtId="44" fontId="121" fillId="42" borderId="12" xfId="1" applyFont="1" applyFill="1" applyBorder="1" applyAlignment="1">
      <alignment horizontal="center"/>
    </xf>
    <xf numFmtId="0" fontId="120" fillId="60" borderId="12" xfId="0" applyFont="1" applyFill="1" applyBorder="1" applyAlignment="1">
      <alignment vertical="center"/>
    </xf>
    <xf numFmtId="0" fontId="126" fillId="60" borderId="12" xfId="0" applyFont="1" applyFill="1" applyBorder="1"/>
    <xf numFmtId="49" fontId="120" fillId="40" borderId="12" xfId="0" applyNumberFormat="1" applyFont="1" applyFill="1" applyBorder="1" applyAlignment="1">
      <alignment horizontal="center"/>
    </xf>
    <xf numFmtId="0" fontId="137" fillId="50" borderId="12" xfId="0" applyFont="1" applyFill="1" applyBorder="1" applyAlignment="1">
      <alignment horizontal="center"/>
    </xf>
    <xf numFmtId="0" fontId="66" fillId="0" borderId="103" xfId="0" applyFont="1" applyBorder="1"/>
    <xf numFmtId="0" fontId="133" fillId="21" borderId="8" xfId="0" applyFont="1" applyFill="1" applyBorder="1"/>
    <xf numFmtId="44" fontId="66" fillId="0" borderId="8" xfId="1" applyFont="1" applyFill="1" applyBorder="1" applyAlignment="1">
      <alignment horizontal="center"/>
    </xf>
    <xf numFmtId="2" fontId="66" fillId="0" borderId="16" xfId="0" applyNumberFormat="1" applyFont="1" applyBorder="1"/>
    <xf numFmtId="44" fontId="66" fillId="0" borderId="16" xfId="1" applyFont="1" applyBorder="1"/>
    <xf numFmtId="44" fontId="66" fillId="51" borderId="8" xfId="1" applyFont="1" applyFill="1" applyBorder="1" applyAlignment="1">
      <alignment vertical="center" wrapText="1"/>
    </xf>
    <xf numFmtId="44" fontId="66" fillId="51" borderId="8" xfId="1" applyFont="1" applyFill="1" applyBorder="1"/>
    <xf numFmtId="44" fontId="64" fillId="0" borderId="0" xfId="0" applyNumberFormat="1" applyFont="1"/>
    <xf numFmtId="44" fontId="118" fillId="0" borderId="0" xfId="0" applyNumberFormat="1" applyFont="1" applyFill="1"/>
    <xf numFmtId="0" fontId="64" fillId="0" borderId="103" xfId="0" applyFont="1" applyBorder="1"/>
    <xf numFmtId="49" fontId="125" fillId="61" borderId="8" xfId="0" applyNumberFormat="1" applyFont="1" applyFill="1" applyBorder="1" applyAlignment="1">
      <alignment horizontal="center"/>
    </xf>
    <xf numFmtId="0" fontId="127" fillId="61" borderId="8" xfId="4" applyFont="1" applyFill="1" applyBorder="1" applyAlignment="1">
      <alignment horizontal="center"/>
    </xf>
    <xf numFmtId="2" fontId="32" fillId="61" borderId="8" xfId="0" applyNumberFormat="1" applyFont="1" applyFill="1" applyBorder="1"/>
    <xf numFmtId="44" fontId="32" fillId="61" borderId="8" xfId="1" applyFont="1" applyFill="1" applyBorder="1" applyAlignment="1">
      <alignment horizontal="center"/>
    </xf>
    <xf numFmtId="2" fontId="32" fillId="61" borderId="16" xfId="0" applyNumberFormat="1" applyFont="1" applyFill="1" applyBorder="1"/>
    <xf numFmtId="44" fontId="32" fillId="61" borderId="16" xfId="1" applyFont="1" applyFill="1" applyBorder="1"/>
    <xf numFmtId="44" fontId="65" fillId="51" borderId="8" xfId="1" applyFont="1" applyFill="1" applyBorder="1"/>
    <xf numFmtId="44" fontId="32" fillId="0" borderId="8" xfId="1" applyFont="1" applyFill="1" applyBorder="1" applyAlignment="1">
      <alignment horizontal="center"/>
    </xf>
    <xf numFmtId="2" fontId="32" fillId="0" borderId="16" xfId="0" applyNumberFormat="1" applyFont="1" applyBorder="1"/>
    <xf numFmtId="0" fontId="64" fillId="50" borderId="0" xfId="0" applyFont="1" applyFill="1"/>
    <xf numFmtId="44" fontId="32" fillId="0" borderId="16" xfId="1" applyFont="1" applyBorder="1"/>
    <xf numFmtId="44" fontId="65" fillId="7" borderId="10" xfId="1" applyFont="1" applyFill="1" applyBorder="1" applyAlignment="1">
      <alignment vertical="center" wrapText="1"/>
    </xf>
    <xf numFmtId="44" fontId="65" fillId="7" borderId="8" xfId="1" applyFont="1" applyFill="1" applyBorder="1"/>
    <xf numFmtId="49" fontId="125" fillId="40" borderId="80" xfId="0" applyNumberFormat="1" applyFont="1" applyFill="1" applyBorder="1" applyAlignment="1">
      <alignment horizontal="center"/>
    </xf>
    <xf numFmtId="0" fontId="127" fillId="50" borderId="80" xfId="4" applyFont="1" applyFill="1" applyBorder="1" applyAlignment="1">
      <alignment horizontal="center"/>
    </xf>
    <xf numFmtId="44" fontId="65" fillId="51" borderId="80" xfId="1" applyFont="1" applyFill="1" applyBorder="1"/>
    <xf numFmtId="2" fontId="32" fillId="42" borderId="8" xfId="0" applyNumberFormat="1" applyFont="1" applyFill="1" applyBorder="1"/>
    <xf numFmtId="44" fontId="32" fillId="42" borderId="8" xfId="1" applyFont="1" applyFill="1" applyBorder="1" applyAlignment="1">
      <alignment horizontal="center"/>
    </xf>
    <xf numFmtId="2" fontId="32" fillId="42" borderId="16" xfId="0" applyNumberFormat="1" applyFont="1" applyFill="1" applyBorder="1"/>
    <xf numFmtId="44" fontId="32" fillId="42" borderId="16" xfId="1" applyFont="1" applyFill="1" applyBorder="1"/>
    <xf numFmtId="0" fontId="32" fillId="0" borderId="0" xfId="0" applyFont="1" applyFill="1" applyAlignment="1">
      <alignment vertical="center"/>
    </xf>
    <xf numFmtId="44" fontId="65" fillId="0" borderId="1" xfId="1" applyFont="1" applyBorder="1"/>
    <xf numFmtId="44" fontId="141" fillId="0" borderId="0" xfId="1" applyFont="1"/>
    <xf numFmtId="0" fontId="120" fillId="0" borderId="8" xfId="0" applyFont="1" applyFill="1" applyBorder="1"/>
    <xf numFmtId="0" fontId="126" fillId="0" borderId="29" xfId="0" applyFont="1" applyFill="1" applyBorder="1"/>
    <xf numFmtId="0" fontId="64" fillId="5" borderId="0" xfId="0" applyFont="1" applyFill="1"/>
    <xf numFmtId="0" fontId="126" fillId="0" borderId="105" xfId="0" applyFont="1" applyFill="1" applyBorder="1"/>
    <xf numFmtId="0" fontId="120" fillId="0" borderId="80" xfId="0" applyFont="1" applyFill="1" applyBorder="1"/>
    <xf numFmtId="44" fontId="32" fillId="0" borderId="80" xfId="1" applyFont="1" applyBorder="1"/>
    <xf numFmtId="2" fontId="32" fillId="0" borderId="80" xfId="1" applyNumberFormat="1" applyFont="1" applyBorder="1"/>
    <xf numFmtId="0" fontId="120" fillId="0" borderId="12" xfId="0" applyFont="1" applyFill="1" applyBorder="1" applyAlignment="1">
      <alignment vertical="center"/>
    </xf>
    <xf numFmtId="0" fontId="120" fillId="0" borderId="8" xfId="0" applyFont="1" applyFill="1" applyBorder="1" applyAlignment="1">
      <alignment vertical="center"/>
    </xf>
    <xf numFmtId="0" fontId="120" fillId="0" borderId="105" xfId="0" applyFont="1" applyFill="1" applyBorder="1"/>
    <xf numFmtId="0" fontId="120" fillId="0" borderId="12" xfId="0" applyFont="1" applyFill="1" applyBorder="1"/>
    <xf numFmtId="2" fontId="120" fillId="0" borderId="8" xfId="0" applyNumberFormat="1" applyFont="1" applyFill="1" applyBorder="1" applyAlignment="1">
      <alignment vertical="center"/>
    </xf>
    <xf numFmtId="4" fontId="65" fillId="61" borderId="12" xfId="0" applyNumberFormat="1" applyFont="1" applyFill="1" applyBorder="1"/>
    <xf numFmtId="44" fontId="65" fillId="61" borderId="12" xfId="1" applyFont="1" applyFill="1" applyBorder="1"/>
    <xf numFmtId="44" fontId="121" fillId="61" borderId="12" xfId="1" applyFont="1" applyFill="1" applyBorder="1" applyAlignment="1">
      <alignment horizontal="center"/>
    </xf>
    <xf numFmtId="0" fontId="64" fillId="61" borderId="0" xfId="0" applyFont="1" applyFill="1"/>
    <xf numFmtId="0" fontId="120" fillId="61" borderId="105" xfId="0" applyFont="1" applyFill="1" applyBorder="1"/>
    <xf numFmtId="2" fontId="64" fillId="61" borderId="8" xfId="0" applyNumberFormat="1" applyFont="1" applyFill="1" applyBorder="1" applyAlignment="1">
      <alignment vertical="center" wrapText="1"/>
    </xf>
    <xf numFmtId="44" fontId="64" fillId="61" borderId="8" xfId="1" applyFont="1" applyFill="1" applyBorder="1"/>
    <xf numFmtId="4" fontId="65" fillId="61" borderId="8" xfId="0" applyNumberFormat="1" applyFont="1" applyFill="1" applyBorder="1"/>
    <xf numFmtId="44" fontId="64" fillId="61" borderId="8" xfId="1" applyFont="1" applyFill="1" applyBorder="1" applyAlignment="1">
      <alignment vertical="center" wrapText="1"/>
    </xf>
    <xf numFmtId="44" fontId="65" fillId="61" borderId="8" xfId="1" applyFont="1" applyFill="1" applyBorder="1"/>
    <xf numFmtId="2" fontId="118" fillId="61" borderId="8" xfId="0" applyNumberFormat="1" applyFont="1" applyFill="1" applyBorder="1" applyAlignment="1">
      <alignment vertical="center" wrapText="1"/>
    </xf>
    <xf numFmtId="4" fontId="65" fillId="61" borderId="98" xfId="0" applyNumberFormat="1" applyFont="1" applyFill="1" applyBorder="1"/>
    <xf numFmtId="44" fontId="64" fillId="61" borderId="10" xfId="1" applyFont="1" applyFill="1" applyBorder="1" applyAlignment="1">
      <alignment vertical="center" wrapText="1"/>
    </xf>
    <xf numFmtId="49" fontId="125" fillId="61" borderId="105" xfId="0" applyNumberFormat="1" applyFont="1" applyFill="1" applyBorder="1" applyAlignment="1">
      <alignment horizontal="center"/>
    </xf>
    <xf numFmtId="2" fontId="32" fillId="61" borderId="8" xfId="0" applyNumberFormat="1" applyFont="1" applyFill="1" applyBorder="1" applyAlignment="1">
      <alignment vertical="center" wrapText="1"/>
    </xf>
    <xf numFmtId="44" fontId="32" fillId="61" borderId="8" xfId="1" applyFont="1" applyFill="1" applyBorder="1"/>
    <xf numFmtId="44" fontId="132" fillId="61" borderId="8" xfId="1" applyFont="1" applyFill="1" applyBorder="1"/>
    <xf numFmtId="44" fontId="132" fillId="61" borderId="89" xfId="1" applyFont="1" applyFill="1" applyBorder="1"/>
    <xf numFmtId="44" fontId="121" fillId="61" borderId="8" xfId="1" applyFont="1" applyFill="1" applyBorder="1" applyAlignment="1">
      <alignment horizontal="center"/>
    </xf>
    <xf numFmtId="49" fontId="125" fillId="61" borderId="80" xfId="0" applyNumberFormat="1" applyFont="1" applyFill="1" applyBorder="1" applyAlignment="1">
      <alignment horizontal="center"/>
    </xf>
    <xf numFmtId="0" fontId="136" fillId="61" borderId="80" xfId="0" applyFont="1" applyFill="1" applyBorder="1" applyAlignment="1">
      <alignment horizontal="center"/>
    </xf>
    <xf numFmtId="2" fontId="32" fillId="61" borderId="80" xfId="0" applyNumberFormat="1" applyFont="1" applyFill="1" applyBorder="1" applyAlignment="1">
      <alignment vertical="center" wrapText="1"/>
    </xf>
    <xf numFmtId="44" fontId="32" fillId="61" borderId="80" xfId="1" applyFont="1" applyFill="1" applyBorder="1"/>
    <xf numFmtId="4" fontId="65" fillId="61" borderId="80" xfId="0" applyNumberFormat="1" applyFont="1" applyFill="1" applyBorder="1"/>
    <xf numFmtId="44" fontId="64" fillId="61" borderId="80" xfId="1" applyFont="1" applyFill="1" applyBorder="1" applyAlignment="1">
      <alignment vertical="center" wrapText="1"/>
    </xf>
    <xf numFmtId="44" fontId="64" fillId="61" borderId="80" xfId="1" applyFont="1" applyFill="1" applyBorder="1"/>
    <xf numFmtId="44" fontId="132" fillId="61" borderId="80" xfId="1" applyFont="1" applyFill="1" applyBorder="1"/>
    <xf numFmtId="44" fontId="132" fillId="61" borderId="91" xfId="1" applyFont="1" applyFill="1" applyBorder="1"/>
    <xf numFmtId="4" fontId="65" fillId="61" borderId="93" xfId="0" applyNumberFormat="1" applyFont="1" applyFill="1" applyBorder="1"/>
    <xf numFmtId="44" fontId="64" fillId="61" borderId="94" xfId="1" applyFont="1" applyFill="1" applyBorder="1" applyAlignment="1">
      <alignment vertical="center" wrapText="1"/>
    </xf>
    <xf numFmtId="44" fontId="65" fillId="61" borderId="80" xfId="1" applyFont="1" applyFill="1" applyBorder="1"/>
    <xf numFmtId="44" fontId="121" fillId="61" borderId="80" xfId="1" applyFont="1" applyFill="1" applyBorder="1" applyAlignment="1">
      <alignment horizontal="center"/>
    </xf>
    <xf numFmtId="0" fontId="120" fillId="0" borderId="12" xfId="0" applyFont="1" applyFill="1" applyBorder="1" applyAlignment="1"/>
    <xf numFmtId="49" fontId="120" fillId="40" borderId="96" xfId="0" applyNumberFormat="1" applyFont="1" applyFill="1" applyBorder="1" applyAlignment="1">
      <alignment horizontal="center"/>
    </xf>
    <xf numFmtId="44" fontId="64" fillId="57" borderId="12" xfId="1" applyFont="1" applyFill="1" applyBorder="1"/>
    <xf numFmtId="0" fontId="120" fillId="0" borderId="8" xfId="0" applyFont="1" applyFill="1" applyBorder="1" applyAlignment="1"/>
    <xf numFmtId="0" fontId="127" fillId="50" borderId="89" xfId="4" applyFont="1" applyFill="1" applyBorder="1" applyAlignment="1">
      <alignment horizontal="center"/>
    </xf>
    <xf numFmtId="4" fontId="32" fillId="57" borderId="12" xfId="0" applyNumberFormat="1" applyFont="1" applyFill="1" applyBorder="1"/>
    <xf numFmtId="2" fontId="32" fillId="0" borderId="12" xfId="0" applyNumberFormat="1" applyFont="1" applyBorder="1"/>
    <xf numFmtId="2" fontId="32" fillId="0" borderId="14" xfId="0" applyNumberFormat="1" applyFont="1" applyBorder="1"/>
    <xf numFmtId="2" fontId="64" fillId="0" borderId="0" xfId="0" applyNumberFormat="1" applyFont="1" applyFill="1"/>
    <xf numFmtId="2" fontId="64" fillId="0" borderId="0" xfId="0" applyNumberFormat="1" applyFont="1"/>
    <xf numFmtId="0" fontId="126" fillId="0" borderId="8" xfId="0" applyFont="1" applyFill="1" applyBorder="1" applyAlignment="1"/>
    <xf numFmtId="0" fontId="126" fillId="0" borderId="12" xfId="0" applyFont="1" applyFill="1" applyBorder="1" applyAlignment="1"/>
    <xf numFmtId="0" fontId="126" fillId="0" borderId="105" xfId="0" applyFont="1" applyFill="1" applyBorder="1" applyAlignment="1"/>
    <xf numFmtId="49" fontId="126" fillId="40" borderId="105" xfId="0" applyNumberFormat="1" applyFont="1" applyFill="1" applyBorder="1" applyAlignment="1">
      <alignment horizontal="center"/>
    </xf>
    <xf numFmtId="0" fontId="131" fillId="50" borderId="105" xfId="4" applyFont="1" applyFill="1" applyBorder="1" applyAlignment="1">
      <alignment horizontal="center"/>
    </xf>
    <xf numFmtId="44" fontId="32" fillId="57" borderId="12" xfId="1" applyFont="1" applyFill="1" applyBorder="1"/>
    <xf numFmtId="49" fontId="126" fillId="40" borderId="106" xfId="0" applyNumberFormat="1" applyFont="1" applyFill="1" applyBorder="1" applyAlignment="1">
      <alignment horizontal="center"/>
    </xf>
    <xf numFmtId="44" fontId="64" fillId="20" borderId="12" xfId="1" applyFont="1" applyFill="1" applyBorder="1"/>
    <xf numFmtId="0" fontId="126" fillId="0" borderId="29" xfId="0" applyFont="1" applyFill="1" applyBorder="1" applyAlignment="1"/>
    <xf numFmtId="4" fontId="132" fillId="19" borderId="87" xfId="0" applyNumberFormat="1" applyFont="1" applyFill="1" applyBorder="1"/>
    <xf numFmtId="44" fontId="32" fillId="7" borderId="15" xfId="1" applyFont="1" applyFill="1" applyBorder="1" applyAlignment="1">
      <alignment vertical="center" wrapText="1"/>
    </xf>
    <xf numFmtId="44" fontId="32" fillId="7" borderId="12" xfId="1" applyFont="1" applyFill="1" applyBorder="1"/>
    <xf numFmtId="44" fontId="132" fillId="19" borderId="12" xfId="1" applyFont="1" applyFill="1" applyBorder="1"/>
    <xf numFmtId="4" fontId="65" fillId="13" borderId="5" xfId="0" applyNumberFormat="1" applyFont="1" applyFill="1" applyBorder="1"/>
    <xf numFmtId="44" fontId="64" fillId="51" borderId="5" xfId="1" applyFont="1" applyFill="1" applyBorder="1" applyAlignment="1">
      <alignment vertical="center" wrapText="1"/>
    </xf>
    <xf numFmtId="44" fontId="64" fillId="51" borderId="5" xfId="1" applyFont="1" applyFill="1" applyBorder="1"/>
    <xf numFmtId="0" fontId="32" fillId="5" borderId="0" xfId="0" applyFont="1" applyFill="1"/>
    <xf numFmtId="0" fontId="126" fillId="0" borderId="13" xfId="0" applyFont="1" applyFill="1" applyBorder="1" applyAlignment="1"/>
    <xf numFmtId="2" fontId="32" fillId="57" borderId="12" xfId="0" applyNumberFormat="1" applyFont="1" applyFill="1" applyBorder="1"/>
    <xf numFmtId="0" fontId="120" fillId="61" borderId="29" xfId="0" applyFont="1" applyFill="1" applyBorder="1"/>
    <xf numFmtId="49" fontId="125" fillId="61" borderId="29" xfId="0" applyNumberFormat="1" applyFont="1" applyFill="1" applyBorder="1" applyAlignment="1">
      <alignment horizontal="center"/>
    </xf>
    <xf numFmtId="0" fontId="127" fillId="61" borderId="29" xfId="4" applyFont="1" applyFill="1" applyBorder="1" applyAlignment="1">
      <alignment horizontal="center"/>
    </xf>
    <xf numFmtId="0" fontId="32" fillId="61" borderId="0" xfId="0" applyFont="1" applyFill="1"/>
    <xf numFmtId="4" fontId="32" fillId="61" borderId="8" xfId="0" applyNumberFormat="1" applyFont="1" applyFill="1" applyBorder="1"/>
    <xf numFmtId="0" fontId="120" fillId="61" borderId="8" xfId="0" applyFont="1" applyFill="1" applyBorder="1" applyAlignment="1"/>
    <xf numFmtId="4" fontId="64" fillId="61" borderId="8" xfId="0" applyNumberFormat="1" applyFont="1" applyFill="1" applyBorder="1"/>
    <xf numFmtId="2" fontId="64" fillId="61" borderId="8" xfId="0" applyNumberFormat="1" applyFont="1" applyFill="1" applyBorder="1"/>
    <xf numFmtId="4" fontId="132" fillId="61" borderId="8" xfId="0" applyNumberFormat="1" applyFont="1" applyFill="1" applyBorder="1"/>
    <xf numFmtId="44" fontId="32" fillId="61" borderId="8" xfId="1" applyFont="1" applyFill="1" applyBorder="1" applyAlignment="1">
      <alignment vertical="center" wrapText="1"/>
    </xf>
    <xf numFmtId="0" fontId="120" fillId="61" borderId="80" xfId="0" applyFont="1" applyFill="1" applyBorder="1" applyAlignment="1"/>
    <xf numFmtId="4" fontId="64" fillId="61" borderId="80" xfId="0" applyNumberFormat="1" applyFont="1" applyFill="1" applyBorder="1"/>
    <xf numFmtId="2" fontId="64" fillId="61" borderId="80" xfId="0" applyNumberFormat="1" applyFont="1" applyFill="1" applyBorder="1"/>
    <xf numFmtId="0" fontId="118" fillId="61" borderId="0" xfId="0" applyFont="1" applyFill="1"/>
    <xf numFmtId="0" fontId="126" fillId="0" borderId="80" xfId="0" applyFont="1" applyFill="1" applyBorder="1" applyAlignment="1">
      <alignment horizontal="left"/>
    </xf>
    <xf numFmtId="0" fontId="126" fillId="0" borderId="80" xfId="0" applyFont="1" applyFill="1" applyBorder="1"/>
    <xf numFmtId="49" fontId="126" fillId="40" borderId="80" xfId="0" applyNumberFormat="1" applyFont="1" applyFill="1" applyBorder="1" applyAlignment="1">
      <alignment horizontal="center"/>
    </xf>
    <xf numFmtId="0" fontId="131" fillId="50" borderId="80" xfId="4" applyFont="1" applyFill="1" applyBorder="1" applyAlignment="1">
      <alignment horizontal="center"/>
    </xf>
    <xf numFmtId="2" fontId="32" fillId="0" borderId="80" xfId="0" applyNumberFormat="1" applyFont="1" applyBorder="1"/>
    <xf numFmtId="44" fontId="32" fillId="57" borderId="80" xfId="1" applyFont="1" applyFill="1" applyBorder="1"/>
    <xf numFmtId="2" fontId="132" fillId="13" borderId="80" xfId="0" applyNumberFormat="1" applyFont="1" applyFill="1" applyBorder="1"/>
    <xf numFmtId="44" fontId="32" fillId="51" borderId="80" xfId="1" applyFont="1" applyFill="1" applyBorder="1"/>
    <xf numFmtId="4" fontId="32" fillId="0" borderId="80" xfId="0" applyNumberFormat="1" applyFont="1" applyBorder="1"/>
    <xf numFmtId="4" fontId="132" fillId="19" borderId="93" xfId="0" applyNumberFormat="1" applyFont="1" applyFill="1" applyBorder="1"/>
    <xf numFmtId="44" fontId="32" fillId="7" borderId="94" xfId="1" applyFont="1" applyFill="1" applyBorder="1" applyAlignment="1">
      <alignment vertical="center" wrapText="1"/>
    </xf>
    <xf numFmtId="44" fontId="32" fillId="7" borderId="80" xfId="1" applyFont="1" applyFill="1" applyBorder="1"/>
    <xf numFmtId="44" fontId="132" fillId="19" borderId="80" xfId="1" applyFont="1" applyFill="1" applyBorder="1"/>
    <xf numFmtId="4" fontId="132" fillId="52" borderId="80" xfId="0" applyNumberFormat="1" applyFont="1" applyFill="1" applyBorder="1"/>
    <xf numFmtId="44" fontId="132" fillId="53" borderId="80" xfId="1" applyFont="1" applyFill="1" applyBorder="1"/>
    <xf numFmtId="44" fontId="132" fillId="54" borderId="80" xfId="1" applyFont="1" applyFill="1" applyBorder="1"/>
    <xf numFmtId="44" fontId="134" fillId="51" borderId="80" xfId="1" applyFont="1" applyFill="1" applyBorder="1" applyAlignment="1">
      <alignment horizontal="center"/>
    </xf>
    <xf numFmtId="49" fontId="126" fillId="40" borderId="115" xfId="0" applyNumberFormat="1" applyFont="1" applyFill="1" applyBorder="1" applyAlignment="1">
      <alignment horizontal="center"/>
    </xf>
    <xf numFmtId="0" fontId="126" fillId="0" borderId="101" xfId="0" applyFont="1" applyFill="1" applyBorder="1" applyAlignment="1"/>
    <xf numFmtId="2" fontId="32" fillId="57" borderId="80" xfId="0" applyNumberFormat="1" applyFont="1" applyFill="1" applyBorder="1"/>
    <xf numFmtId="44" fontId="32" fillId="0" borderId="80" xfId="1" applyFont="1" applyFill="1" applyBorder="1"/>
    <xf numFmtId="44" fontId="32" fillId="0" borderId="0" xfId="1" applyFont="1" applyFill="1"/>
    <xf numFmtId="44" fontId="32" fillId="0" borderId="104" xfId="1" applyFont="1" applyBorder="1"/>
    <xf numFmtId="44" fontId="132" fillId="13" borderId="116" xfId="1" applyFont="1" applyFill="1" applyBorder="1"/>
    <xf numFmtId="0" fontId="126" fillId="0" borderId="12" xfId="0" applyFont="1" applyFill="1" applyBorder="1"/>
    <xf numFmtId="44" fontId="32" fillId="0" borderId="12" xfId="1" applyFont="1" applyFill="1" applyBorder="1" applyAlignment="1">
      <alignment horizontal="center"/>
    </xf>
    <xf numFmtId="44" fontId="32" fillId="20" borderId="12" xfId="1" applyFont="1" applyFill="1" applyBorder="1" applyAlignment="1">
      <alignment horizontal="center"/>
    </xf>
    <xf numFmtId="0" fontId="126" fillId="61" borderId="80" xfId="0" applyFont="1" applyFill="1" applyBorder="1"/>
    <xf numFmtId="0" fontId="142" fillId="0" borderId="8" xfId="0" quotePrefix="1" applyFont="1" applyFill="1" applyBorder="1" applyAlignment="1">
      <alignment horizontal="left" vertical="center"/>
    </xf>
    <xf numFmtId="0" fontId="102" fillId="0" borderId="8" xfId="0" applyFont="1" applyFill="1" applyBorder="1" applyAlignment="1">
      <alignment horizontal="left"/>
    </xf>
    <xf numFmtId="2" fontId="17" fillId="0" borderId="8" xfId="0" applyNumberFormat="1" applyFont="1" applyFill="1" applyBorder="1" applyAlignment="1">
      <alignment horizontal="center" vertical="center" wrapText="1"/>
    </xf>
    <xf numFmtId="4" fontId="24" fillId="29" borderId="8" xfId="0" applyNumberFormat="1" applyFont="1" applyFill="1" applyBorder="1" applyAlignment="1">
      <alignment vertical="center"/>
    </xf>
    <xf numFmtId="2" fontId="57" fillId="16" borderId="8" xfId="0" applyNumberFormat="1" applyFont="1" applyFill="1" applyBorder="1"/>
    <xf numFmtId="0" fontId="93" fillId="0" borderId="8" xfId="0" applyFont="1" applyBorder="1" applyAlignment="1">
      <alignment horizontal="center" vertical="center"/>
    </xf>
    <xf numFmtId="2" fontId="93" fillId="34" borderId="8" xfId="0" applyNumberFormat="1" applyFont="1" applyFill="1" applyBorder="1" applyAlignment="1">
      <alignment vertical="center"/>
    </xf>
    <xf numFmtId="1" fontId="93" fillId="0" borderId="8" xfId="0" applyNumberFormat="1" applyFont="1" applyBorder="1" applyAlignment="1">
      <alignment horizontal="center" vertical="center"/>
    </xf>
    <xf numFmtId="2" fontId="57" fillId="16" borderId="8" xfId="0" applyNumberFormat="1" applyFont="1" applyFill="1" applyBorder="1" applyAlignment="1">
      <alignment vertical="center"/>
    </xf>
    <xf numFmtId="0" fontId="4" fillId="0" borderId="8" xfId="0" applyFont="1" applyBorder="1" applyAlignment="1">
      <alignment wrapText="1"/>
    </xf>
    <xf numFmtId="2" fontId="22" fillId="0" borderId="8" xfId="0" applyNumberFormat="1" applyFont="1" applyFill="1" applyBorder="1"/>
    <xf numFmtId="0" fontId="2" fillId="2" borderId="7" xfId="0" applyFont="1" applyFill="1" applyBorder="1" applyAlignment="1">
      <alignment horizontal="center" vertical="center" wrapText="1"/>
    </xf>
    <xf numFmtId="4" fontId="19" fillId="0" borderId="19" xfId="0" applyNumberFormat="1" applyFont="1" applyFill="1" applyBorder="1" applyAlignment="1">
      <alignment horizontal="center"/>
    </xf>
    <xf numFmtId="4" fontId="19" fillId="0" borderId="19" xfId="0" applyNumberFormat="1" applyFont="1" applyFill="1" applyBorder="1" applyAlignment="1">
      <alignment horizontal="right"/>
    </xf>
    <xf numFmtId="0" fontId="22" fillId="0" borderId="8" xfId="0" applyFont="1" applyFill="1" applyBorder="1" applyAlignment="1">
      <alignment horizontal="center" vertical="center"/>
    </xf>
    <xf numFmtId="0" fontId="22" fillId="0" borderId="8" xfId="0" quotePrefix="1" applyFont="1" applyFill="1" applyBorder="1" applyAlignment="1">
      <alignment horizontal="center" vertical="center"/>
    </xf>
    <xf numFmtId="0" fontId="83" fillId="0" borderId="20" xfId="0" applyFont="1" applyFill="1" applyBorder="1" applyAlignment="1">
      <alignment horizontal="center" vertical="center"/>
    </xf>
    <xf numFmtId="0" fontId="83" fillId="0" borderId="0" xfId="0" applyFont="1" applyFill="1" applyBorder="1" applyAlignment="1">
      <alignment horizontal="center" vertical="center"/>
    </xf>
    <xf numFmtId="0" fontId="61" fillId="0" borderId="3" xfId="0" applyFont="1" applyFill="1" applyBorder="1" applyAlignment="1">
      <alignment horizontal="center"/>
    </xf>
    <xf numFmtId="0" fontId="61" fillId="0" borderId="41" xfId="0" applyFont="1" applyFill="1" applyBorder="1" applyAlignment="1">
      <alignment horizontal="center"/>
    </xf>
    <xf numFmtId="0" fontId="61" fillId="0" borderId="20" xfId="0" applyFont="1" applyFill="1" applyBorder="1" applyAlignment="1">
      <alignment horizontal="center" vertical="center"/>
    </xf>
    <xf numFmtId="0" fontId="61" fillId="10" borderId="49" xfId="0" applyFont="1" applyFill="1" applyBorder="1" applyAlignment="1">
      <alignment horizontal="center" vertical="center" wrapText="1"/>
    </xf>
    <xf numFmtId="0" fontId="84" fillId="3" borderId="0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vertical="center"/>
    </xf>
    <xf numFmtId="0" fontId="51" fillId="21" borderId="47" xfId="0" applyFont="1" applyFill="1" applyBorder="1" applyAlignment="1">
      <alignment horizontal="left" vertical="center" wrapText="1"/>
    </xf>
    <xf numFmtId="2" fontId="75" fillId="6" borderId="38" xfId="1" applyNumberFormat="1" applyFont="1" applyFill="1" applyBorder="1" applyAlignment="1">
      <alignment horizontal="center" vertical="center"/>
    </xf>
    <xf numFmtId="0" fontId="52" fillId="0" borderId="119" xfId="0" applyFont="1" applyFill="1" applyBorder="1" applyAlignment="1">
      <alignment horizontal="center"/>
    </xf>
    <xf numFmtId="0" fontId="52" fillId="0" borderId="28" xfId="1" applyNumberFormat="1" applyFont="1" applyFill="1" applyBorder="1" applyAlignment="1">
      <alignment horizontal="center"/>
    </xf>
    <xf numFmtId="2" fontId="52" fillId="0" borderId="28" xfId="1" applyNumberFormat="1" applyFont="1" applyFill="1" applyBorder="1" applyAlignment="1">
      <alignment horizontal="center"/>
    </xf>
    <xf numFmtId="2" fontId="52" fillId="0" borderId="120" xfId="1" applyNumberFormat="1" applyFont="1" applyFill="1" applyBorder="1" applyAlignment="1">
      <alignment horizontal="center"/>
    </xf>
    <xf numFmtId="0" fontId="0" fillId="0" borderId="0" xfId="0" applyBorder="1"/>
    <xf numFmtId="0" fontId="101" fillId="21" borderId="8" xfId="0" applyFont="1" applyFill="1" applyBorder="1"/>
    <xf numFmtId="167" fontId="65" fillId="0" borderId="0" xfId="0" applyNumberFormat="1" applyFont="1" applyFill="1" applyBorder="1" applyAlignment="1">
      <alignment vertical="center"/>
    </xf>
    <xf numFmtId="167" fontId="65" fillId="0" borderId="0" xfId="0" applyNumberFormat="1" applyFont="1" applyBorder="1"/>
    <xf numFmtId="167" fontId="64" fillId="0" borderId="0" xfId="0" applyNumberFormat="1" applyFont="1" applyBorder="1" applyAlignment="1">
      <alignment vertical="center"/>
    </xf>
    <xf numFmtId="0" fontId="120" fillId="0" borderId="104" xfId="0" applyFont="1" applyFill="1" applyBorder="1"/>
    <xf numFmtId="0" fontId="120" fillId="49" borderId="120" xfId="0" applyFont="1" applyFill="1" applyBorder="1" applyAlignment="1"/>
    <xf numFmtId="49" fontId="125" fillId="40" borderId="120" xfId="0" applyNumberFormat="1" applyFont="1" applyFill="1" applyBorder="1" applyAlignment="1">
      <alignment horizontal="center"/>
    </xf>
    <xf numFmtId="0" fontId="127" fillId="50" borderId="120" xfId="4" applyFont="1" applyFill="1" applyBorder="1" applyAlignment="1">
      <alignment horizontal="center"/>
    </xf>
    <xf numFmtId="0" fontId="126" fillId="49" borderId="29" xfId="0" applyFont="1" applyFill="1" applyBorder="1" applyAlignment="1"/>
    <xf numFmtId="0" fontId="137" fillId="21" borderId="12" xfId="0" applyFont="1" applyFill="1" applyBorder="1"/>
    <xf numFmtId="44" fontId="64" fillId="0" borderId="0" xfId="1" applyFont="1" applyFill="1"/>
    <xf numFmtId="44" fontId="64" fillId="0" borderId="0" xfId="0" applyNumberFormat="1" applyFont="1" applyFill="1"/>
    <xf numFmtId="44" fontId="132" fillId="0" borderId="0" xfId="0" applyNumberFormat="1" applyFont="1" applyFill="1"/>
    <xf numFmtId="44" fontId="118" fillId="0" borderId="0" xfId="0" applyNumberFormat="1" applyFont="1"/>
    <xf numFmtId="0" fontId="139" fillId="21" borderId="8" xfId="0" applyFont="1" applyFill="1" applyBorder="1"/>
    <xf numFmtId="44" fontId="64" fillId="0" borderId="0" xfId="1" applyFont="1" applyFill="1" applyAlignment="1">
      <alignment vertical="center"/>
    </xf>
    <xf numFmtId="44" fontId="118" fillId="0" borderId="0" xfId="1" applyFont="1" applyFill="1" applyAlignment="1">
      <alignment vertical="center"/>
    </xf>
    <xf numFmtId="44" fontId="32" fillId="0" borderId="0" xfId="1" applyFont="1" applyFill="1" applyAlignment="1">
      <alignment vertical="center"/>
    </xf>
    <xf numFmtId="44" fontId="65" fillId="0" borderId="0" xfId="1" applyFont="1"/>
    <xf numFmtId="0" fontId="126" fillId="0" borderId="104" xfId="0" applyFont="1" applyFill="1" applyBorder="1"/>
    <xf numFmtId="0" fontId="120" fillId="50" borderId="96" xfId="0" applyFont="1" applyFill="1" applyBorder="1" applyAlignment="1">
      <alignment horizontal="center"/>
    </xf>
    <xf numFmtId="2" fontId="64" fillId="0" borderId="12" xfId="1" applyNumberFormat="1" applyFont="1" applyBorder="1"/>
    <xf numFmtId="49" fontId="125" fillId="40" borderId="97" xfId="0" applyNumberFormat="1" applyFont="1" applyFill="1" applyBorder="1" applyAlignment="1">
      <alignment horizontal="center"/>
    </xf>
    <xf numFmtId="0" fontId="127" fillId="50" borderId="97" xfId="4" applyFont="1" applyFill="1" applyBorder="1" applyAlignment="1">
      <alignment horizontal="center"/>
    </xf>
    <xf numFmtId="0" fontId="64" fillId="0" borderId="5" xfId="0" applyFont="1" applyBorder="1"/>
    <xf numFmtId="0" fontId="126" fillId="0" borderId="11" xfId="0" applyFont="1" applyFill="1" applyBorder="1"/>
    <xf numFmtId="49" fontId="120" fillId="40" borderId="121" xfId="0" applyNumberFormat="1" applyFont="1" applyFill="1" applyBorder="1" applyAlignment="1">
      <alignment horizontal="center"/>
    </xf>
    <xf numFmtId="2" fontId="64" fillId="0" borderId="5" xfId="1" applyNumberFormat="1" applyFont="1" applyBorder="1"/>
    <xf numFmtId="44" fontId="65" fillId="13" borderId="88" xfId="1" applyFont="1" applyFill="1" applyBorder="1"/>
    <xf numFmtId="2" fontId="32" fillId="0" borderId="11" xfId="0" applyNumberFormat="1" applyFont="1" applyBorder="1" applyAlignment="1">
      <alignment vertical="center" wrapText="1"/>
    </xf>
    <xf numFmtId="4" fontId="65" fillId="19" borderId="122" xfId="0" applyNumberFormat="1" applyFont="1" applyFill="1" applyBorder="1"/>
    <xf numFmtId="44" fontId="64" fillId="7" borderId="34" xfId="1" applyFont="1" applyFill="1" applyBorder="1" applyAlignment="1">
      <alignment vertical="center" wrapText="1"/>
    </xf>
    <xf numFmtId="44" fontId="64" fillId="7" borderId="5" xfId="1" applyFont="1" applyFill="1" applyBorder="1"/>
    <xf numFmtId="44" fontId="65" fillId="19" borderId="5" xfId="1" applyFont="1" applyFill="1" applyBorder="1"/>
    <xf numFmtId="4" fontId="65" fillId="52" borderId="5" xfId="0" applyNumberFormat="1" applyFont="1" applyFill="1" applyBorder="1"/>
    <xf numFmtId="44" fontId="65" fillId="53" borderId="5" xfId="1" applyFont="1" applyFill="1" applyBorder="1"/>
    <xf numFmtId="44" fontId="65" fillId="54" borderId="5" xfId="1" applyFont="1" applyFill="1" applyBorder="1"/>
    <xf numFmtId="44" fontId="121" fillId="51" borderId="5" xfId="1" applyFont="1" applyFill="1" applyBorder="1" applyAlignment="1">
      <alignment horizontal="center"/>
    </xf>
    <xf numFmtId="0" fontId="64" fillId="0" borderId="80" xfId="0" applyFont="1" applyBorder="1"/>
    <xf numFmtId="44" fontId="64" fillId="0" borderId="111" xfId="1" applyFont="1" applyBorder="1"/>
    <xf numFmtId="2" fontId="64" fillId="0" borderId="111" xfId="1" applyNumberFormat="1" applyFont="1" applyBorder="1"/>
    <xf numFmtId="0" fontId="64" fillId="0" borderId="12" xfId="0" applyFont="1" applyBorder="1"/>
    <xf numFmtId="0" fontId="120" fillId="0" borderId="13" xfId="0" applyFont="1" applyFill="1" applyBorder="1" applyAlignment="1">
      <alignment vertical="center"/>
    </xf>
    <xf numFmtId="0" fontId="120" fillId="0" borderId="24" xfId="0" applyFont="1" applyFill="1" applyBorder="1" applyAlignment="1">
      <alignment vertical="center"/>
    </xf>
    <xf numFmtId="49" fontId="120" fillId="40" borderId="89" xfId="0" applyNumberFormat="1" applyFont="1" applyFill="1" applyBorder="1" applyAlignment="1">
      <alignment horizontal="center"/>
    </xf>
    <xf numFmtId="0" fontId="120" fillId="61" borderId="13" xfId="0" applyFont="1" applyFill="1" applyBorder="1" applyAlignment="1">
      <alignment vertical="center"/>
    </xf>
    <xf numFmtId="0" fontId="120" fillId="61" borderId="8" xfId="0" applyFont="1" applyFill="1" applyBorder="1"/>
    <xf numFmtId="49" fontId="120" fillId="61" borderId="8" xfId="0" applyNumberFormat="1" applyFont="1" applyFill="1" applyBorder="1" applyAlignment="1">
      <alignment horizontal="center"/>
    </xf>
    <xf numFmtId="0" fontId="120" fillId="61" borderId="8" xfId="0" applyFont="1" applyFill="1" applyBorder="1" applyAlignment="1">
      <alignment horizontal="center"/>
    </xf>
    <xf numFmtId="44" fontId="65" fillId="61" borderId="89" xfId="1" applyFont="1" applyFill="1" applyBorder="1"/>
    <xf numFmtId="0" fontId="126" fillId="61" borderId="12" xfId="0" applyFont="1" applyFill="1" applyBorder="1"/>
    <xf numFmtId="0" fontId="136" fillId="61" borderId="8" xfId="0" applyFont="1" applyFill="1" applyBorder="1" applyAlignment="1">
      <alignment horizontal="center"/>
    </xf>
    <xf numFmtId="0" fontId="120" fillId="61" borderId="111" xfId="0" applyFont="1" applyFill="1" applyBorder="1" applyAlignment="1">
      <alignment vertical="center"/>
    </xf>
    <xf numFmtId="2" fontId="64" fillId="61" borderId="80" xfId="0" applyNumberFormat="1" applyFont="1" applyFill="1" applyBorder="1" applyAlignment="1">
      <alignment vertical="center" wrapText="1"/>
    </xf>
    <xf numFmtId="0" fontId="32" fillId="0" borderId="123" xfId="0" applyFont="1" applyFill="1" applyBorder="1"/>
    <xf numFmtId="0" fontId="126" fillId="0" borderId="25" xfId="0" applyFont="1" applyFill="1" applyBorder="1" applyAlignment="1"/>
    <xf numFmtId="0" fontId="126" fillId="0" borderId="106" xfId="0" applyFont="1" applyFill="1" applyBorder="1" applyAlignment="1"/>
    <xf numFmtId="0" fontId="131" fillId="50" borderId="106" xfId="4" applyFont="1" applyFill="1" applyBorder="1" applyAlignment="1">
      <alignment horizontal="center"/>
    </xf>
    <xf numFmtId="4" fontId="32" fillId="57" borderId="104" xfId="0" applyNumberFormat="1" applyFont="1" applyFill="1" applyBorder="1"/>
    <xf numFmtId="44" fontId="32" fillId="57" borderId="104" xfId="1" applyFont="1" applyFill="1" applyBorder="1"/>
    <xf numFmtId="2" fontId="32" fillId="57" borderId="104" xfId="0" applyNumberFormat="1" applyFont="1" applyFill="1" applyBorder="1"/>
    <xf numFmtId="4" fontId="132" fillId="13" borderId="104" xfId="0" applyNumberFormat="1" applyFont="1" applyFill="1" applyBorder="1"/>
    <xf numFmtId="44" fontId="32" fillId="51" borderId="104" xfId="1" applyFont="1" applyFill="1" applyBorder="1" applyAlignment="1">
      <alignment vertical="center" wrapText="1"/>
    </xf>
    <xf numFmtId="44" fontId="32" fillId="51" borderId="104" xfId="1" applyFont="1" applyFill="1" applyBorder="1"/>
    <xf numFmtId="44" fontId="32" fillId="20" borderId="104" xfId="1" applyFont="1" applyFill="1" applyBorder="1"/>
    <xf numFmtId="44" fontId="32" fillId="0" borderId="104" xfId="1" applyFont="1" applyFill="1" applyBorder="1"/>
    <xf numFmtId="4" fontId="32" fillId="0" borderId="104" xfId="0" applyNumberFormat="1" applyFont="1" applyBorder="1"/>
    <xf numFmtId="4" fontId="32" fillId="19" borderId="117" xfId="0" applyNumberFormat="1" applyFont="1" applyFill="1" applyBorder="1"/>
    <xf numFmtId="44" fontId="32" fillId="7" borderId="21" xfId="1" applyFont="1" applyFill="1" applyBorder="1" applyAlignment="1">
      <alignment vertical="center" wrapText="1"/>
    </xf>
    <xf numFmtId="44" fontId="32" fillId="7" borderId="104" xfId="1" applyFont="1" applyFill="1" applyBorder="1"/>
    <xf numFmtId="44" fontId="32" fillId="19" borderId="104" xfId="1" applyFont="1" applyFill="1" applyBorder="1"/>
    <xf numFmtId="4" fontId="32" fillId="52" borderId="104" xfId="0" applyNumberFormat="1" applyFont="1" applyFill="1" applyBorder="1"/>
    <xf numFmtId="44" fontId="32" fillId="53" borderId="104" xfId="1" applyFont="1" applyFill="1" applyBorder="1"/>
    <xf numFmtId="44" fontId="32" fillId="54" borderId="104" xfId="1" applyFont="1" applyFill="1" applyBorder="1"/>
    <xf numFmtId="44" fontId="143" fillId="51" borderId="104" xfId="1" applyFont="1" applyFill="1" applyBorder="1" applyAlignment="1">
      <alignment horizontal="center"/>
    </xf>
    <xf numFmtId="44" fontId="32" fillId="20" borderId="12" xfId="1" applyFont="1" applyFill="1" applyBorder="1"/>
    <xf numFmtId="0" fontId="32" fillId="0" borderId="103" xfId="0" applyFont="1" applyFill="1" applyBorder="1"/>
    <xf numFmtId="49" fontId="126" fillId="40" borderId="24" xfId="0" applyNumberFormat="1" applyFont="1" applyFill="1" applyBorder="1" applyAlignment="1">
      <alignment horizontal="center"/>
    </xf>
    <xf numFmtId="0" fontId="131" fillId="50" borderId="24" xfId="4" applyFont="1" applyFill="1" applyBorder="1" applyAlignment="1">
      <alignment horizontal="center"/>
    </xf>
    <xf numFmtId="4" fontId="32" fillId="0" borderId="24" xfId="0" applyNumberFormat="1" applyFont="1" applyBorder="1"/>
    <xf numFmtId="44" fontId="32" fillId="0" borderId="24" xfId="1" applyFont="1" applyBorder="1"/>
    <xf numFmtId="44" fontId="32" fillId="0" borderId="24" xfId="1" applyFont="1" applyFill="1" applyBorder="1"/>
    <xf numFmtId="2" fontId="32" fillId="57" borderId="24" xfId="0" applyNumberFormat="1" applyFont="1" applyFill="1" applyBorder="1"/>
    <xf numFmtId="44" fontId="32" fillId="57" borderId="24" xfId="1" applyFont="1" applyFill="1" applyBorder="1"/>
    <xf numFmtId="4" fontId="32" fillId="19" borderId="98" xfId="0" applyNumberFormat="1" applyFont="1" applyFill="1" applyBorder="1"/>
    <xf numFmtId="44" fontId="32" fillId="19" borderId="8" xfId="1" applyFont="1" applyFill="1" applyBorder="1"/>
    <xf numFmtId="4" fontId="32" fillId="52" borderId="8" xfId="0" applyNumberFormat="1" applyFont="1" applyFill="1" applyBorder="1"/>
    <xf numFmtId="44" fontId="32" fillId="53" borderId="8" xfId="1" applyFont="1" applyFill="1" applyBorder="1"/>
    <xf numFmtId="44" fontId="32" fillId="54" borderId="8" xfId="1" applyFont="1" applyFill="1" applyBorder="1"/>
    <xf numFmtId="44" fontId="143" fillId="51" borderId="8" xfId="1" applyFont="1" applyFill="1" applyBorder="1" applyAlignment="1">
      <alignment horizontal="center"/>
    </xf>
    <xf numFmtId="0" fontId="126" fillId="0" borderId="8" xfId="0" applyFont="1" applyFill="1" applyBorder="1" applyAlignment="1">
      <alignment vertical="center"/>
    </xf>
    <xf numFmtId="49" fontId="126" fillId="40" borderId="31" xfId="0" applyNumberFormat="1" applyFont="1" applyFill="1" applyBorder="1" applyAlignment="1">
      <alignment horizontal="center"/>
    </xf>
    <xf numFmtId="0" fontId="126" fillId="50" borderId="105" xfId="0" applyFont="1" applyFill="1" applyBorder="1" applyAlignment="1">
      <alignment horizontal="center"/>
    </xf>
    <xf numFmtId="0" fontId="144" fillId="50" borderId="105" xfId="4" applyFont="1" applyFill="1" applyBorder="1" applyAlignment="1">
      <alignment horizontal="center"/>
    </xf>
    <xf numFmtId="2" fontId="32" fillId="0" borderId="0" xfId="0" applyNumberFormat="1" applyFont="1" applyFill="1"/>
    <xf numFmtId="0" fontId="126" fillId="0" borderId="8" xfId="0" applyFont="1" applyFill="1" applyBorder="1" applyAlignment="1">
      <alignment horizontal="left"/>
    </xf>
    <xf numFmtId="2" fontId="132" fillId="13" borderId="8" xfId="0" applyNumberFormat="1" applyFont="1" applyFill="1" applyBorder="1"/>
    <xf numFmtId="0" fontId="126" fillId="0" borderId="10" xfId="0" applyFont="1" applyFill="1" applyBorder="1" applyAlignment="1"/>
    <xf numFmtId="0" fontId="126" fillId="0" borderId="16" xfId="0" applyFont="1" applyFill="1" applyBorder="1"/>
    <xf numFmtId="49" fontId="126" fillId="0" borderId="105" xfId="0" applyNumberFormat="1" applyFont="1" applyFill="1" applyBorder="1" applyAlignment="1">
      <alignment horizontal="center"/>
    </xf>
    <xf numFmtId="0" fontId="126" fillId="0" borderId="105" xfId="0" applyFont="1" applyFill="1" applyBorder="1" applyAlignment="1">
      <alignment horizontal="center"/>
    </xf>
    <xf numFmtId="4" fontId="32" fillId="0" borderId="8" xfId="0" applyNumberFormat="1" applyFont="1" applyFill="1" applyBorder="1"/>
    <xf numFmtId="44" fontId="32" fillId="0" borderId="16" xfId="1" applyFont="1" applyFill="1" applyBorder="1"/>
    <xf numFmtId="0" fontId="126" fillId="50" borderId="8" xfId="0" applyFont="1" applyFill="1" applyBorder="1" applyAlignment="1">
      <alignment horizontal="center"/>
    </xf>
    <xf numFmtId="0" fontId="120" fillId="61" borderId="13" xfId="0" applyFont="1" applyFill="1" applyBorder="1" applyAlignment="1"/>
    <xf numFmtId="0" fontId="120" fillId="61" borderId="16" xfId="0" applyFont="1" applyFill="1" applyBorder="1" applyAlignment="1"/>
    <xf numFmtId="0" fontId="127" fillId="61" borderId="105" xfId="4" applyFont="1" applyFill="1" applyBorder="1" applyAlignment="1">
      <alignment horizontal="center"/>
    </xf>
    <xf numFmtId="0" fontId="126" fillId="61" borderId="29" xfId="0" applyFont="1" applyFill="1" applyBorder="1" applyAlignment="1"/>
    <xf numFmtId="44" fontId="64" fillId="61" borderId="16" xfId="1" applyFont="1" applyFill="1" applyBorder="1"/>
    <xf numFmtId="0" fontId="64" fillId="0" borderId="78" xfId="0" applyFont="1" applyFill="1" applyBorder="1"/>
    <xf numFmtId="0" fontId="120" fillId="61" borderId="30" xfId="0" applyFont="1" applyFill="1" applyBorder="1" applyAlignment="1"/>
    <xf numFmtId="49" fontId="125" fillId="61" borderId="30" xfId="0" applyNumberFormat="1" applyFont="1" applyFill="1" applyBorder="1" applyAlignment="1">
      <alignment horizontal="center"/>
    </xf>
    <xf numFmtId="0" fontId="127" fillId="61" borderId="30" xfId="4" applyFont="1" applyFill="1" applyBorder="1" applyAlignment="1">
      <alignment horizontal="center"/>
    </xf>
    <xf numFmtId="0" fontId="32" fillId="0" borderId="108" xfId="0" applyFont="1" applyBorder="1"/>
    <xf numFmtId="49" fontId="126" fillId="40" borderId="10" xfId="0" applyNumberFormat="1" applyFont="1" applyFill="1" applyBorder="1" applyAlignment="1">
      <alignment horizontal="center"/>
    </xf>
    <xf numFmtId="49" fontId="126" fillId="40" borderId="12" xfId="0" applyNumberFormat="1" applyFont="1" applyFill="1" applyBorder="1" applyAlignment="1">
      <alignment horizontal="center"/>
    </xf>
    <xf numFmtId="0" fontId="131" fillId="50" borderId="12" xfId="4" applyFont="1" applyFill="1" applyBorder="1" applyAlignment="1">
      <alignment horizontal="center"/>
    </xf>
    <xf numFmtId="0" fontId="32" fillId="0" borderId="110" xfId="0" applyFont="1" applyBorder="1"/>
    <xf numFmtId="44" fontId="32" fillId="0" borderId="0" xfId="0" applyNumberFormat="1" applyFont="1" applyFill="1"/>
    <xf numFmtId="0" fontId="126" fillId="0" borderId="15" xfId="0" applyFont="1" applyFill="1" applyBorder="1" applyAlignment="1"/>
    <xf numFmtId="44" fontId="32" fillId="20" borderId="80" xfId="1" applyFont="1" applyFill="1" applyBorder="1"/>
    <xf numFmtId="44" fontId="32" fillId="0" borderId="14" xfId="1" applyFont="1" applyBorder="1"/>
    <xf numFmtId="44" fontId="65" fillId="51" borderId="12" xfId="1" applyFont="1" applyFill="1" applyBorder="1"/>
    <xf numFmtId="44" fontId="32" fillId="20" borderId="8" xfId="1" applyFont="1" applyFill="1" applyBorder="1" applyAlignment="1">
      <alignment horizontal="center"/>
    </xf>
    <xf numFmtId="0" fontId="126" fillId="61" borderId="12" xfId="0" applyFont="1" applyFill="1" applyBorder="1" applyAlignment="1"/>
    <xf numFmtId="0" fontId="126" fillId="61" borderId="8" xfId="0" applyFont="1" applyFill="1" applyBorder="1"/>
    <xf numFmtId="0" fontId="126" fillId="61" borderId="8" xfId="0" applyFont="1" applyFill="1" applyBorder="1" applyAlignment="1"/>
    <xf numFmtId="44" fontId="119" fillId="51" borderId="104" xfId="1" applyFont="1" applyFill="1" applyBorder="1" applyAlignment="1">
      <alignment horizontal="center"/>
    </xf>
    <xf numFmtId="44" fontId="119" fillId="51" borderId="124" xfId="1" applyFont="1" applyFill="1" applyBorder="1" applyAlignment="1">
      <alignment horizontal="center"/>
    </xf>
    <xf numFmtId="0" fontId="120" fillId="50" borderId="97" xfId="0" applyFont="1" applyFill="1" applyBorder="1" applyAlignment="1">
      <alignment horizontal="center"/>
    </xf>
    <xf numFmtId="2" fontId="32" fillId="0" borderId="12" xfId="1" applyNumberFormat="1" applyFont="1" applyBorder="1"/>
    <xf numFmtId="44" fontId="119" fillId="51" borderId="8" xfId="1" applyFont="1" applyFill="1" applyBorder="1" applyAlignment="1">
      <alignment horizontal="center"/>
    </xf>
    <xf numFmtId="44" fontId="119" fillId="51" borderId="125" xfId="1" applyFont="1" applyFill="1" applyBorder="1" applyAlignment="1">
      <alignment horizontal="center"/>
    </xf>
    <xf numFmtId="0" fontId="120" fillId="50" borderId="89" xfId="0" applyFont="1" applyFill="1" applyBorder="1" applyAlignment="1">
      <alignment horizontal="center"/>
    </xf>
    <xf numFmtId="0" fontId="125" fillId="50" borderId="91" xfId="0" applyFont="1" applyFill="1" applyBorder="1" applyAlignment="1">
      <alignment horizontal="center"/>
    </xf>
    <xf numFmtId="2" fontId="64" fillId="0" borderId="80" xfId="0" applyNumberFormat="1" applyFont="1" applyBorder="1" applyAlignment="1">
      <alignment vertical="center" wrapText="1"/>
    </xf>
    <xf numFmtId="44" fontId="119" fillId="51" borderId="80" xfId="1" applyFont="1" applyFill="1" applyBorder="1" applyAlignment="1">
      <alignment horizontal="center"/>
    </xf>
    <xf numFmtId="44" fontId="119" fillId="51" borderId="126" xfId="1" applyFont="1" applyFill="1" applyBorder="1" applyAlignment="1">
      <alignment horizontal="center"/>
    </xf>
    <xf numFmtId="49" fontId="120" fillId="40" borderId="84" xfId="0" applyNumberFormat="1" applyFont="1" applyFill="1" applyBorder="1" applyAlignment="1">
      <alignment horizontal="center"/>
    </xf>
    <xf numFmtId="0" fontId="123" fillId="50" borderId="85" xfId="4" applyFont="1" applyFill="1" applyBorder="1" applyAlignment="1">
      <alignment horizontal="center"/>
    </xf>
    <xf numFmtId="44" fontId="119" fillId="51" borderId="127" xfId="1" applyFont="1" applyFill="1" applyBorder="1" applyAlignment="1">
      <alignment horizontal="center"/>
    </xf>
    <xf numFmtId="0" fontId="126" fillId="0" borderId="16" xfId="0" applyFont="1" applyFill="1" applyBorder="1" applyAlignment="1">
      <alignment vertical="center"/>
    </xf>
    <xf numFmtId="0" fontId="120" fillId="0" borderId="101" xfId="0" applyFont="1" applyFill="1" applyBorder="1" applyAlignment="1">
      <alignment vertical="center"/>
    </xf>
    <xf numFmtId="49" fontId="120" fillId="40" borderId="80" xfId="0" applyNumberFormat="1" applyFont="1" applyFill="1" applyBorder="1" applyAlignment="1">
      <alignment horizontal="center"/>
    </xf>
    <xf numFmtId="0" fontId="123" fillId="50" borderId="80" xfId="4" applyFont="1" applyFill="1" applyBorder="1" applyAlignment="1">
      <alignment horizontal="center"/>
    </xf>
    <xf numFmtId="2" fontId="32" fillId="0" borderId="80" xfId="0" applyNumberFormat="1" applyFont="1" applyBorder="1" applyAlignment="1">
      <alignment vertical="center" wrapText="1"/>
    </xf>
    <xf numFmtId="0" fontId="126" fillId="0" borderId="6" xfId="0" applyFont="1" applyFill="1" applyBorder="1" applyAlignment="1"/>
    <xf numFmtId="0" fontId="120" fillId="0" borderId="109" xfId="0" applyFont="1" applyFill="1" applyBorder="1" applyAlignment="1"/>
    <xf numFmtId="49" fontId="125" fillId="40" borderId="109" xfId="0" applyNumberFormat="1" applyFont="1" applyFill="1" applyBorder="1" applyAlignment="1">
      <alignment horizontal="center"/>
    </xf>
    <xf numFmtId="0" fontId="127" fillId="50" borderId="109" xfId="4" applyFont="1" applyFill="1" applyBorder="1" applyAlignment="1">
      <alignment horizontal="center"/>
    </xf>
    <xf numFmtId="4" fontId="32" fillId="0" borderId="11" xfId="0" applyNumberFormat="1" applyFont="1" applyBorder="1"/>
    <xf numFmtId="44" fontId="64" fillId="0" borderId="11" xfId="1" applyFont="1" applyBorder="1"/>
    <xf numFmtId="2" fontId="32" fillId="0" borderId="11" xfId="0" applyNumberFormat="1" applyFont="1" applyBorder="1"/>
    <xf numFmtId="4" fontId="132" fillId="13" borderId="11" xfId="0" applyNumberFormat="1" applyFont="1" applyFill="1" applyBorder="1"/>
    <xf numFmtId="44" fontId="32" fillId="51" borderId="11" xfId="1" applyFont="1" applyFill="1" applyBorder="1" applyAlignment="1">
      <alignment vertical="center" wrapText="1"/>
    </xf>
    <xf numFmtId="44" fontId="132" fillId="20" borderId="11" xfId="1" applyFont="1" applyFill="1" applyBorder="1"/>
    <xf numFmtId="44" fontId="132" fillId="13" borderId="96" xfId="1" applyFont="1" applyFill="1" applyBorder="1"/>
    <xf numFmtId="44" fontId="119" fillId="51" borderId="11" xfId="1" applyFont="1" applyFill="1" applyBorder="1" applyAlignment="1">
      <alignment horizontal="center"/>
    </xf>
    <xf numFmtId="44" fontId="119" fillId="51" borderId="5" xfId="1" applyFont="1" applyFill="1" applyBorder="1" applyAlignment="1">
      <alignment horizontal="center"/>
    </xf>
    <xf numFmtId="49" fontId="120" fillId="40" borderId="120" xfId="0" applyNumberFormat="1" applyFont="1" applyFill="1" applyBorder="1" applyAlignment="1">
      <alignment horizontal="center"/>
    </xf>
    <xf numFmtId="0" fontId="123" fillId="50" borderId="120" xfId="4" applyFont="1" applyFill="1" applyBorder="1" applyAlignment="1">
      <alignment horizontal="center"/>
    </xf>
    <xf numFmtId="0" fontId="126" fillId="0" borderId="28" xfId="0" applyFont="1" applyFill="1" applyBorder="1" applyAlignment="1"/>
    <xf numFmtId="0" fontId="126" fillId="0" borderId="120" xfId="0" applyFont="1" applyFill="1" applyBorder="1"/>
    <xf numFmtId="49" fontId="126" fillId="40" borderId="128" xfId="0" applyNumberFormat="1" applyFont="1" applyFill="1" applyBorder="1" applyAlignment="1">
      <alignment horizontal="center"/>
    </xf>
    <xf numFmtId="0" fontId="126" fillId="50" borderId="128" xfId="0" applyFont="1" applyFill="1" applyBorder="1" applyAlignment="1">
      <alignment horizontal="center"/>
    </xf>
    <xf numFmtId="4" fontId="32" fillId="57" borderId="80" xfId="0" applyNumberFormat="1" applyFont="1" applyFill="1" applyBorder="1"/>
    <xf numFmtId="44" fontId="132" fillId="13" borderId="97" xfId="1" applyFont="1" applyFill="1" applyBorder="1"/>
    <xf numFmtId="4" fontId="132" fillId="19" borderId="129" xfId="0" applyNumberFormat="1" applyFont="1" applyFill="1" applyBorder="1"/>
    <xf numFmtId="44" fontId="32" fillId="7" borderId="118" xfId="1" applyFont="1" applyFill="1" applyBorder="1" applyAlignment="1">
      <alignment vertical="center" wrapText="1"/>
    </xf>
    <xf numFmtId="44" fontId="32" fillId="7" borderId="28" xfId="1" applyFont="1" applyFill="1" applyBorder="1"/>
    <xf numFmtId="44" fontId="132" fillId="19" borderId="28" xfId="1" applyFont="1" applyFill="1" applyBorder="1"/>
    <xf numFmtId="4" fontId="132" fillId="52" borderId="28" xfId="0" applyNumberFormat="1" applyFont="1" applyFill="1" applyBorder="1"/>
    <xf numFmtId="44" fontId="132" fillId="53" borderId="28" xfId="1" applyFont="1" applyFill="1" applyBorder="1"/>
    <xf numFmtId="44" fontId="132" fillId="54" borderId="28" xfId="1" applyFont="1" applyFill="1" applyBorder="1"/>
    <xf numFmtId="44" fontId="134" fillId="51" borderId="28" xfId="1" applyFont="1" applyFill="1" applyBorder="1" applyAlignment="1">
      <alignment horizontal="center"/>
    </xf>
    <xf numFmtId="0" fontId="64" fillId="0" borderId="48" xfId="0" applyFont="1" applyBorder="1"/>
    <xf numFmtId="0" fontId="120" fillId="0" borderId="48" xfId="0" applyFont="1" applyFill="1" applyBorder="1" applyAlignment="1"/>
    <xf numFmtId="0" fontId="126" fillId="0" borderId="48" xfId="0" applyFont="1" applyFill="1" applyBorder="1"/>
    <xf numFmtId="49" fontId="125" fillId="40" borderId="128" xfId="0" applyNumberFormat="1" applyFont="1" applyFill="1" applyBorder="1" applyAlignment="1">
      <alignment horizontal="center"/>
    </xf>
    <xf numFmtId="0" fontId="127" fillId="50" borderId="128" xfId="4" applyFont="1" applyFill="1" applyBorder="1" applyAlignment="1">
      <alignment horizontal="center"/>
    </xf>
    <xf numFmtId="4" fontId="32" fillId="0" borderId="48" xfId="0" applyNumberFormat="1" applyFont="1" applyBorder="1"/>
    <xf numFmtId="44" fontId="32" fillId="0" borderId="48" xfId="1" applyFont="1" applyBorder="1"/>
    <xf numFmtId="44" fontId="64" fillId="0" borderId="48" xfId="1" applyFont="1" applyBorder="1"/>
    <xf numFmtId="2" fontId="32" fillId="0" borderId="48" xfId="0" applyNumberFormat="1" applyFont="1" applyBorder="1"/>
    <xf numFmtId="44" fontId="32" fillId="57" borderId="48" xfId="1" applyFont="1" applyFill="1" applyBorder="1"/>
    <xf numFmtId="4" fontId="65" fillId="13" borderId="48" xfId="0" applyNumberFormat="1" applyFont="1" applyFill="1" applyBorder="1"/>
    <xf numFmtId="44" fontId="64" fillId="51" borderId="48" xfId="1" applyFont="1" applyFill="1" applyBorder="1" applyAlignment="1">
      <alignment vertical="center" wrapText="1"/>
    </xf>
    <xf numFmtId="44" fontId="64" fillId="51" borderId="48" xfId="1" applyFont="1" applyFill="1" applyBorder="1"/>
    <xf numFmtId="44" fontId="132" fillId="20" borderId="48" xfId="1" applyFont="1" applyFill="1" applyBorder="1"/>
    <xf numFmtId="44" fontId="132" fillId="13" borderId="130" xfId="1" applyFont="1" applyFill="1" applyBorder="1"/>
    <xf numFmtId="44" fontId="32" fillId="20" borderId="48" xfId="1" applyFont="1" applyFill="1" applyBorder="1"/>
    <xf numFmtId="4" fontId="65" fillId="19" borderId="131" xfId="0" applyNumberFormat="1" applyFont="1" applyFill="1" applyBorder="1"/>
    <xf numFmtId="44" fontId="64" fillId="7" borderId="132" xfId="1" applyFont="1" applyFill="1" applyBorder="1" applyAlignment="1">
      <alignment vertical="center" wrapText="1"/>
    </xf>
    <xf numFmtId="44" fontId="64" fillId="7" borderId="48" xfId="1" applyFont="1" applyFill="1" applyBorder="1"/>
    <xf numFmtId="44" fontId="65" fillId="19" borderId="48" xfId="1" applyFont="1" applyFill="1" applyBorder="1"/>
    <xf numFmtId="4" fontId="65" fillId="52" borderId="48" xfId="0" applyNumberFormat="1" applyFont="1" applyFill="1" applyBorder="1"/>
    <xf numFmtId="44" fontId="65" fillId="53" borderId="48" xfId="1" applyFont="1" applyFill="1" applyBorder="1"/>
    <xf numFmtId="44" fontId="65" fillId="54" borderId="48" xfId="1" applyFont="1" applyFill="1" applyBorder="1"/>
    <xf numFmtId="44" fontId="121" fillId="51" borderId="48" xfId="1" applyFont="1" applyFill="1" applyBorder="1" applyAlignment="1">
      <alignment horizontal="center"/>
    </xf>
    <xf numFmtId="44" fontId="119" fillId="51" borderId="48" xfId="1" applyFont="1" applyFill="1" applyBorder="1" applyAlignment="1">
      <alignment horizontal="center"/>
    </xf>
    <xf numFmtId="44" fontId="119" fillId="51" borderId="133" xfId="1" applyFont="1" applyFill="1" applyBorder="1" applyAlignment="1">
      <alignment horizontal="center"/>
    </xf>
    <xf numFmtId="0" fontId="120" fillId="0" borderId="13" xfId="0" applyFont="1" applyFill="1" applyBorder="1"/>
    <xf numFmtId="49" fontId="125" fillId="42" borderId="12" xfId="0" applyNumberFormat="1" applyFont="1" applyFill="1" applyBorder="1" applyAlignment="1">
      <alignment horizontal="center"/>
    </xf>
    <xf numFmtId="0" fontId="127" fillId="42" borderId="12" xfId="4" applyFont="1" applyFill="1" applyBorder="1" applyAlignment="1">
      <alignment horizontal="center"/>
    </xf>
    <xf numFmtId="2" fontId="32" fillId="42" borderId="12" xfId="0" applyNumberFormat="1" applyFont="1" applyFill="1" applyBorder="1"/>
    <xf numFmtId="44" fontId="32" fillId="42" borderId="12" xfId="1" applyFont="1" applyFill="1" applyBorder="1" applyAlignment="1">
      <alignment horizontal="center"/>
    </xf>
    <xf numFmtId="2" fontId="32" fillId="42" borderId="14" xfId="0" applyNumberFormat="1" applyFont="1" applyFill="1" applyBorder="1"/>
    <xf numFmtId="44" fontId="32" fillId="42" borderId="14" xfId="1" applyFont="1" applyFill="1" applyBorder="1"/>
    <xf numFmtId="44" fontId="64" fillId="42" borderId="12" xfId="1" applyFont="1" applyFill="1" applyBorder="1" applyAlignment="1">
      <alignment vertical="center" wrapText="1"/>
    </xf>
    <xf numFmtId="44" fontId="132" fillId="42" borderId="12" xfId="1" applyFont="1" applyFill="1" applyBorder="1"/>
    <xf numFmtId="44" fontId="132" fillId="42" borderId="85" xfId="1" applyFont="1" applyFill="1" applyBorder="1"/>
    <xf numFmtId="4" fontId="65" fillId="42" borderId="87" xfId="0" applyNumberFormat="1" applyFont="1" applyFill="1" applyBorder="1"/>
    <xf numFmtId="44" fontId="64" fillId="42" borderId="15" xfId="1" applyFont="1" applyFill="1" applyBorder="1" applyAlignment="1">
      <alignment vertical="center" wrapText="1"/>
    </xf>
    <xf numFmtId="44" fontId="64" fillId="42" borderId="12" xfId="1" applyFont="1" applyFill="1" applyBorder="1"/>
    <xf numFmtId="44" fontId="119" fillId="42" borderId="11" xfId="1" applyFont="1" applyFill="1" applyBorder="1" applyAlignment="1">
      <alignment horizontal="center"/>
    </xf>
    <xf numFmtId="44" fontId="119" fillId="42" borderId="127" xfId="1" applyFont="1" applyFill="1" applyBorder="1" applyAlignment="1">
      <alignment horizontal="center"/>
    </xf>
    <xf numFmtId="44" fontId="119" fillId="42" borderId="5" xfId="1" applyFont="1" applyFill="1" applyBorder="1" applyAlignment="1">
      <alignment horizontal="center"/>
    </xf>
    <xf numFmtId="44" fontId="119" fillId="42" borderId="125" xfId="1" applyFont="1" applyFill="1" applyBorder="1" applyAlignment="1">
      <alignment horizontal="center"/>
    </xf>
    <xf numFmtId="44" fontId="115" fillId="20" borderId="12" xfId="1" applyFont="1" applyFill="1" applyBorder="1" applyAlignment="1">
      <alignment vertical="center" wrapText="1"/>
    </xf>
    <xf numFmtId="44" fontId="65" fillId="0" borderId="0" xfId="0" applyNumberFormat="1" applyFont="1"/>
    <xf numFmtId="0" fontId="22" fillId="0" borderId="3" xfId="0" applyFont="1" applyFill="1" applyBorder="1" applyAlignment="1">
      <alignment horizontal="center" vertical="center"/>
    </xf>
    <xf numFmtId="2" fontId="75" fillId="16" borderId="37" xfId="1" applyNumberFormat="1" applyFont="1" applyFill="1" applyBorder="1" applyAlignment="1">
      <alignment horizontal="center"/>
    </xf>
    <xf numFmtId="2" fontId="75" fillId="16" borderId="19" xfId="1" applyNumberFormat="1" applyFont="1" applyFill="1" applyBorder="1" applyAlignment="1">
      <alignment horizontal="center"/>
    </xf>
    <xf numFmtId="0" fontId="51" fillId="0" borderId="25" xfId="0" applyFont="1" applyFill="1" applyBorder="1" applyAlignment="1">
      <alignment horizontal="left" vertical="center" wrapText="1"/>
    </xf>
    <xf numFmtId="0" fontId="51" fillId="32" borderId="17" xfId="0" applyFont="1" applyFill="1" applyBorder="1" applyAlignment="1">
      <alignment horizontal="left" vertical="center" wrapText="1"/>
    </xf>
    <xf numFmtId="0" fontId="145" fillId="32" borderId="19" xfId="0" applyFont="1" applyFill="1" applyBorder="1"/>
    <xf numFmtId="2" fontId="61" fillId="15" borderId="0" xfId="0" applyNumberFormat="1" applyFont="1" applyFill="1"/>
    <xf numFmtId="0" fontId="0" fillId="15" borderId="0" xfId="0" applyFill="1"/>
    <xf numFmtId="2" fontId="4" fillId="15" borderId="0" xfId="0" applyNumberFormat="1" applyFont="1" applyFill="1" applyAlignment="1">
      <alignment horizontal="center"/>
    </xf>
    <xf numFmtId="2" fontId="4" fillId="15" borderId="0" xfId="0" applyNumberFormat="1" applyFont="1" applyFill="1"/>
    <xf numFmtId="0" fontId="41" fillId="0" borderId="0" xfId="0" applyFont="1"/>
    <xf numFmtId="0" fontId="11" fillId="0" borderId="46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49" fillId="0" borderId="17" xfId="0" applyFont="1" applyFill="1" applyBorder="1" applyAlignment="1">
      <alignment horizontal="center" vertical="center"/>
    </xf>
    <xf numFmtId="0" fontId="49" fillId="0" borderId="18" xfId="0" applyFont="1" applyFill="1" applyBorder="1" applyAlignment="1">
      <alignment horizontal="center" vertical="center"/>
    </xf>
    <xf numFmtId="0" fontId="67" fillId="0" borderId="16" xfId="0" quotePrefix="1" applyFont="1" applyFill="1" applyBorder="1" applyAlignment="1">
      <alignment horizontal="left" vertical="center"/>
    </xf>
    <xf numFmtId="0" fontId="67" fillId="0" borderId="10" xfId="0" quotePrefix="1" applyFont="1" applyFill="1" applyBorder="1" applyAlignment="1">
      <alignment horizontal="left" vertical="center"/>
    </xf>
    <xf numFmtId="0" fontId="68" fillId="0" borderId="3" xfId="0" quotePrefix="1" applyFont="1" applyFill="1" applyBorder="1" applyAlignment="1">
      <alignment horizontal="left" vertical="center"/>
    </xf>
    <xf numFmtId="0" fontId="68" fillId="0" borderId="34" xfId="0" quotePrefix="1" applyFont="1" applyFill="1" applyBorder="1" applyAlignment="1">
      <alignment horizontal="left" vertical="center"/>
    </xf>
    <xf numFmtId="0" fontId="11" fillId="0" borderId="16" xfId="0" quotePrefix="1" applyFont="1" applyFill="1" applyBorder="1" applyAlignment="1">
      <alignment horizontal="left" vertical="center"/>
    </xf>
    <xf numFmtId="0" fontId="11" fillId="0" borderId="10" xfId="0" quotePrefix="1" applyFont="1" applyFill="1" applyBorder="1" applyAlignment="1">
      <alignment horizontal="left" vertical="center"/>
    </xf>
    <xf numFmtId="0" fontId="102" fillId="0" borderId="24" xfId="0" quotePrefix="1" applyFont="1" applyFill="1" applyBorder="1" applyAlignment="1">
      <alignment horizontal="left" vertical="center"/>
    </xf>
    <xf numFmtId="0" fontId="102" fillId="0" borderId="10" xfId="0" quotePrefix="1" applyFont="1" applyFill="1" applyBorder="1" applyAlignment="1">
      <alignment horizontal="left" vertical="center"/>
    </xf>
    <xf numFmtId="0" fontId="102" fillId="0" borderId="16" xfId="0" quotePrefix="1" applyFont="1" applyFill="1" applyBorder="1" applyAlignment="1">
      <alignment horizontal="left" vertical="center"/>
    </xf>
    <xf numFmtId="0" fontId="50" fillId="15" borderId="8" xfId="2" applyFont="1" applyFill="1" applyBorder="1" applyAlignment="1">
      <alignment horizontal="left"/>
    </xf>
    <xf numFmtId="0" fontId="59" fillId="15" borderId="8" xfId="2" applyFont="1" applyFill="1" applyBorder="1" applyAlignment="1">
      <alignment horizontal="center"/>
    </xf>
    <xf numFmtId="0" fontId="50" fillId="15" borderId="16" xfId="2" applyFont="1" applyFill="1" applyBorder="1" applyAlignment="1">
      <alignment horizontal="center"/>
    </xf>
    <xf numFmtId="0" fontId="50" fillId="15" borderId="24" xfId="2" applyFont="1" applyFill="1" applyBorder="1" applyAlignment="1">
      <alignment horizontal="center"/>
    </xf>
    <xf numFmtId="0" fontId="50" fillId="15" borderId="10" xfId="2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49" fillId="0" borderId="40" xfId="0" applyFont="1" applyFill="1" applyBorder="1" applyAlignment="1">
      <alignment horizontal="center" vertical="center"/>
    </xf>
    <xf numFmtId="0" fontId="49" fillId="0" borderId="22" xfId="0" applyFont="1" applyFill="1" applyBorder="1" applyAlignment="1">
      <alignment horizontal="center" vertical="center"/>
    </xf>
    <xf numFmtId="0" fontId="98" fillId="0" borderId="16" xfId="0" quotePrefix="1" applyFont="1" applyFill="1" applyBorder="1" applyAlignment="1">
      <alignment vertical="center"/>
    </xf>
    <xf numFmtId="0" fontId="98" fillId="0" borderId="10" xfId="0" quotePrefix="1" applyFont="1" applyFill="1" applyBorder="1" applyAlignment="1">
      <alignment vertical="center"/>
    </xf>
    <xf numFmtId="43" fontId="113" fillId="46" borderId="27" xfId="3" applyFont="1" applyFill="1" applyBorder="1" applyAlignment="1">
      <alignment horizontal="center" vertical="center" wrapText="1"/>
    </xf>
    <xf numFmtId="43" fontId="113" fillId="46" borderId="23" xfId="3" applyFont="1" applyFill="1" applyBorder="1" applyAlignment="1">
      <alignment horizontal="center" vertical="center" wrapText="1"/>
    </xf>
    <xf numFmtId="43" fontId="114" fillId="47" borderId="27" xfId="3" applyFont="1" applyFill="1" applyBorder="1" applyAlignment="1">
      <alignment horizontal="center" vertical="center" wrapText="1"/>
    </xf>
    <xf numFmtId="43" fontId="114" fillId="47" borderId="23" xfId="3" applyFont="1" applyFill="1" applyBorder="1" applyAlignment="1">
      <alignment horizontal="center" vertical="center" wrapText="1"/>
    </xf>
    <xf numFmtId="0" fontId="115" fillId="42" borderId="77" xfId="0" applyFont="1" applyFill="1" applyBorder="1" applyAlignment="1">
      <alignment horizontal="center" vertical="center" wrapText="1"/>
    </xf>
    <xf numFmtId="0" fontId="115" fillId="42" borderId="83" xfId="0" applyFont="1" applyFill="1" applyBorder="1" applyAlignment="1">
      <alignment horizontal="center" vertical="center" wrapText="1"/>
    </xf>
    <xf numFmtId="0" fontId="128" fillId="55" borderId="99" xfId="0" applyFont="1" applyFill="1" applyBorder="1" applyAlignment="1">
      <alignment horizontal="right" vertical="center"/>
    </xf>
    <xf numFmtId="0" fontId="128" fillId="55" borderId="1" xfId="0" applyFont="1" applyFill="1" applyBorder="1" applyAlignment="1">
      <alignment horizontal="right" vertical="center"/>
    </xf>
    <xf numFmtId="0" fontId="128" fillId="55" borderId="66" xfId="0" applyFont="1" applyFill="1" applyBorder="1" applyAlignment="1">
      <alignment horizontal="right" vertical="center"/>
    </xf>
    <xf numFmtId="44" fontId="32" fillId="0" borderId="100" xfId="1" applyFont="1" applyBorder="1" applyAlignment="1">
      <alignment horizontal="center"/>
    </xf>
    <xf numFmtId="44" fontId="32" fillId="0" borderId="101" xfId="1" applyFont="1" applyBorder="1" applyAlignment="1">
      <alignment horizontal="center"/>
    </xf>
    <xf numFmtId="44" fontId="32" fillId="0" borderId="94" xfId="1" applyFont="1" applyBorder="1" applyAlignment="1">
      <alignment horizontal="center"/>
    </xf>
    <xf numFmtId="44" fontId="32" fillId="0" borderId="114" xfId="1" applyFont="1" applyBorder="1" applyAlignment="1">
      <alignment horizontal="center"/>
    </xf>
    <xf numFmtId="44" fontId="32" fillId="0" borderId="3" xfId="1" applyFont="1" applyBorder="1" applyAlignment="1">
      <alignment horizontal="center"/>
    </xf>
    <xf numFmtId="44" fontId="32" fillId="0" borderId="34" xfId="1" applyFont="1" applyBorder="1" applyAlignment="1">
      <alignment horizontal="center"/>
    </xf>
    <xf numFmtId="0" fontId="65" fillId="0" borderId="3" xfId="0" applyFont="1" applyBorder="1" applyAlignment="1">
      <alignment horizontal="right"/>
    </xf>
    <xf numFmtId="0" fontId="65" fillId="0" borderId="0" xfId="0" applyFont="1" applyAlignment="1">
      <alignment horizontal="right"/>
    </xf>
    <xf numFmtId="0" fontId="140" fillId="0" borderId="0" xfId="0" applyFont="1" applyAlignment="1">
      <alignment horizontal="right"/>
    </xf>
    <xf numFmtId="0" fontId="108" fillId="43" borderId="25" xfId="0" applyFont="1" applyFill="1" applyBorder="1" applyAlignment="1">
      <alignment horizontal="center" vertical="center"/>
    </xf>
    <xf numFmtId="0" fontId="108" fillId="43" borderId="73" xfId="0" applyFont="1" applyFill="1" applyBorder="1" applyAlignment="1">
      <alignment horizontal="center" vertical="center"/>
    </xf>
    <xf numFmtId="0" fontId="108" fillId="43" borderId="21" xfId="0" applyFont="1" applyFill="1" applyBorder="1" applyAlignment="1">
      <alignment horizontal="center" vertical="center"/>
    </xf>
    <xf numFmtId="0" fontId="109" fillId="43" borderId="74" xfId="0" applyFont="1" applyFill="1" applyBorder="1" applyAlignment="1">
      <alignment horizontal="center" vertical="center" wrapText="1"/>
    </xf>
    <xf numFmtId="0" fontId="109" fillId="43" borderId="81" xfId="0" applyFont="1" applyFill="1" applyBorder="1" applyAlignment="1">
      <alignment horizontal="center" vertical="center" wrapText="1"/>
    </xf>
    <xf numFmtId="43" fontId="110" fillId="44" borderId="26" xfId="3" applyFont="1" applyFill="1" applyBorder="1" applyAlignment="1">
      <alignment horizontal="center" vertical="center" wrapText="1"/>
    </xf>
    <xf numFmtId="43" fontId="110" fillId="44" borderId="23" xfId="3" applyFont="1" applyFill="1" applyBorder="1" applyAlignment="1">
      <alignment horizontal="center" vertical="center" wrapText="1"/>
    </xf>
    <xf numFmtId="43" fontId="111" fillId="2" borderId="26" xfId="3" applyFont="1" applyFill="1" applyBorder="1" applyAlignment="1">
      <alignment horizontal="center" vertical="center" wrapText="1"/>
    </xf>
    <xf numFmtId="43" fontId="111" fillId="2" borderId="23" xfId="3" applyFont="1" applyFill="1" applyBorder="1" applyAlignment="1">
      <alignment horizontal="center" vertical="center" wrapText="1"/>
    </xf>
    <xf numFmtId="0" fontId="109" fillId="43" borderId="75" xfId="0" applyFont="1" applyFill="1" applyBorder="1" applyAlignment="1">
      <alignment horizontal="center" vertical="center" wrapText="1"/>
    </xf>
    <xf numFmtId="0" fontId="109" fillId="43" borderId="82" xfId="0" applyFont="1" applyFill="1" applyBorder="1" applyAlignment="1">
      <alignment horizontal="center" vertical="center" wrapText="1"/>
    </xf>
    <xf numFmtId="0" fontId="112" fillId="45" borderId="76" xfId="0" applyFont="1" applyFill="1" applyBorder="1" applyAlignment="1">
      <alignment horizontal="center" vertical="center" wrapText="1"/>
    </xf>
    <xf numFmtId="0" fontId="112" fillId="45" borderId="81" xfId="0" applyFont="1" applyFill="1" applyBorder="1" applyAlignment="1">
      <alignment horizontal="center" vertical="center" wrapText="1"/>
    </xf>
    <xf numFmtId="0" fontId="108" fillId="41" borderId="25" xfId="0" applyFont="1" applyFill="1" applyBorder="1" applyAlignment="1">
      <alignment horizontal="center" vertical="center"/>
    </xf>
    <xf numFmtId="0" fontId="108" fillId="41" borderId="73" xfId="0" applyFont="1" applyFill="1" applyBorder="1" applyAlignment="1">
      <alignment horizontal="center" vertical="center"/>
    </xf>
    <xf numFmtId="0" fontId="108" fillId="41" borderId="21" xfId="0" applyFont="1" applyFill="1" applyBorder="1" applyAlignment="1">
      <alignment horizontal="center" vertical="center"/>
    </xf>
    <xf numFmtId="0" fontId="109" fillId="41" borderId="74" xfId="0" applyFont="1" applyFill="1" applyBorder="1" applyAlignment="1">
      <alignment horizontal="center" vertical="center" wrapText="1"/>
    </xf>
    <xf numFmtId="0" fontId="109" fillId="41" borderId="81" xfId="0" applyFont="1" applyFill="1" applyBorder="1" applyAlignment="1">
      <alignment horizontal="center" vertical="center" wrapText="1"/>
    </xf>
    <xf numFmtId="43" fontId="110" fillId="42" borderId="26" xfId="3" applyFont="1" applyFill="1" applyBorder="1" applyAlignment="1">
      <alignment horizontal="center" vertical="center" wrapText="1"/>
    </xf>
    <xf numFmtId="43" fontId="110" fillId="42" borderId="23" xfId="3" applyFont="1" applyFill="1" applyBorder="1" applyAlignment="1">
      <alignment horizontal="center" vertical="center" wrapText="1"/>
    </xf>
    <xf numFmtId="0" fontId="109" fillId="41" borderId="75" xfId="0" applyFont="1" applyFill="1" applyBorder="1" applyAlignment="1">
      <alignment horizontal="center" vertical="center" wrapText="1"/>
    </xf>
    <xf numFmtId="0" fontId="109" fillId="41" borderId="82" xfId="0" applyFont="1" applyFill="1" applyBorder="1" applyAlignment="1">
      <alignment horizontal="center" vertical="center" wrapText="1"/>
    </xf>
    <xf numFmtId="0" fontId="65" fillId="0" borderId="70" xfId="0" applyFont="1" applyBorder="1" applyAlignment="1">
      <alignment horizontal="center" vertical="center"/>
    </xf>
    <xf numFmtId="0" fontId="65" fillId="0" borderId="108" xfId="0" applyFont="1" applyBorder="1" applyAlignment="1">
      <alignment horizontal="center" vertical="center"/>
    </xf>
    <xf numFmtId="0" fontId="106" fillId="0" borderId="71" xfId="0" applyFont="1" applyBorder="1" applyAlignment="1">
      <alignment horizontal="center" vertical="center"/>
    </xf>
    <xf numFmtId="0" fontId="106" fillId="0" borderId="12" xfId="0" applyFont="1" applyBorder="1" applyAlignment="1">
      <alignment horizontal="center" vertical="center"/>
    </xf>
    <xf numFmtId="0" fontId="107" fillId="39" borderId="72" xfId="0" applyFont="1" applyFill="1" applyBorder="1" applyAlignment="1">
      <alignment horizontal="center" vertical="center" wrapText="1"/>
    </xf>
    <xf numFmtId="0" fontId="107" fillId="39" borderId="29" xfId="0" applyFont="1" applyFill="1" applyBorder="1" applyAlignment="1">
      <alignment horizontal="center" vertical="center" wrapText="1"/>
    </xf>
    <xf numFmtId="0" fontId="107" fillId="40" borderId="72" xfId="0" applyFont="1" applyFill="1" applyBorder="1" applyAlignment="1">
      <alignment horizontal="center" vertical="center" wrapText="1"/>
    </xf>
    <xf numFmtId="0" fontId="107" fillId="40" borderId="29" xfId="0" applyFont="1" applyFill="1" applyBorder="1" applyAlignment="1">
      <alignment horizontal="center" vertical="center" wrapText="1"/>
    </xf>
    <xf numFmtId="0" fontId="107" fillId="20" borderId="72" xfId="0" applyFont="1" applyFill="1" applyBorder="1" applyAlignment="1">
      <alignment horizontal="center" vertical="center" wrapText="1"/>
    </xf>
    <xf numFmtId="0" fontId="107" fillId="20" borderId="29" xfId="0" applyFont="1" applyFill="1" applyBorder="1" applyAlignment="1">
      <alignment horizontal="center" vertical="center" wrapText="1"/>
    </xf>
    <xf numFmtId="0" fontId="65" fillId="0" borderId="113" xfId="0" applyFont="1" applyBorder="1" applyAlignment="1">
      <alignment horizontal="center" vertical="center"/>
    </xf>
    <xf numFmtId="0" fontId="106" fillId="0" borderId="5" xfId="0" applyFont="1" applyBorder="1" applyAlignment="1">
      <alignment horizontal="center" vertical="center"/>
    </xf>
    <xf numFmtId="2" fontId="32" fillId="0" borderId="100" xfId="0" applyNumberFormat="1" applyFont="1" applyBorder="1" applyAlignment="1">
      <alignment horizontal="center" vertical="center"/>
    </xf>
    <xf numFmtId="2" fontId="32" fillId="0" borderId="101" xfId="0" applyNumberFormat="1" applyFont="1" applyBorder="1" applyAlignment="1">
      <alignment horizontal="center" vertical="center"/>
    </xf>
    <xf numFmtId="2" fontId="32" fillId="0" borderId="94" xfId="0" applyNumberFormat="1" applyFont="1" applyBorder="1" applyAlignment="1">
      <alignment horizontal="center" vertical="center"/>
    </xf>
    <xf numFmtId="0" fontId="65" fillId="0" borderId="78" xfId="0" applyFont="1" applyBorder="1" applyAlignment="1">
      <alignment horizontal="center" vertical="center"/>
    </xf>
    <xf numFmtId="0" fontId="106" fillId="0" borderId="28" xfId="0" applyFont="1" applyBorder="1" applyAlignment="1">
      <alignment horizontal="center" vertical="center"/>
    </xf>
    <xf numFmtId="0" fontId="128" fillId="55" borderId="32" xfId="0" applyFont="1" applyFill="1" applyBorder="1" applyAlignment="1">
      <alignment horizontal="right" vertical="center"/>
    </xf>
    <xf numFmtId="0" fontId="128" fillId="55" borderId="33" xfId="0" applyFont="1" applyFill="1" applyBorder="1" applyAlignment="1">
      <alignment horizontal="right" vertical="center"/>
    </xf>
    <xf numFmtId="0" fontId="128" fillId="55" borderId="112" xfId="0" applyFont="1" applyFill="1" applyBorder="1" applyAlignment="1">
      <alignment horizontal="right" vertical="center"/>
    </xf>
    <xf numFmtId="0" fontId="106" fillId="0" borderId="5" xfId="0" applyFont="1" applyBorder="1" applyAlignment="1">
      <alignment horizontal="center" vertical="center" wrapText="1"/>
    </xf>
    <xf numFmtId="0" fontId="106" fillId="0" borderId="28" xfId="0" applyFont="1" applyBorder="1" applyAlignment="1">
      <alignment horizontal="center" vertical="center" wrapText="1"/>
    </xf>
    <xf numFmtId="0" fontId="106" fillId="0" borderId="71" xfId="0" applyFont="1" applyBorder="1" applyAlignment="1">
      <alignment horizontal="center" vertical="center" wrapText="1"/>
    </xf>
    <xf numFmtId="0" fontId="65" fillId="0" borderId="102" xfId="0" applyFont="1" applyBorder="1" applyAlignment="1">
      <alignment horizontal="center" vertical="center"/>
    </xf>
    <xf numFmtId="0" fontId="105" fillId="20" borderId="55" xfId="0" applyFont="1" applyFill="1" applyBorder="1" applyAlignment="1">
      <alignment horizontal="center" vertical="center" wrapText="1"/>
    </xf>
    <xf numFmtId="0" fontId="105" fillId="20" borderId="52" xfId="0" applyFont="1" applyFill="1" applyBorder="1" applyAlignment="1">
      <alignment horizontal="center" vertical="center" wrapText="1"/>
    </xf>
    <xf numFmtId="0" fontId="105" fillId="20" borderId="57" xfId="0" applyFont="1" applyFill="1" applyBorder="1" applyAlignment="1">
      <alignment horizontal="center" vertical="center" wrapText="1"/>
    </xf>
    <xf numFmtId="0" fontId="105" fillId="20" borderId="61" xfId="0" applyFont="1" applyFill="1" applyBorder="1" applyAlignment="1">
      <alignment horizontal="center" vertical="center" wrapText="1"/>
    </xf>
    <xf numFmtId="0" fontId="105" fillId="20" borderId="0" xfId="0" applyFont="1" applyFill="1" applyBorder="1" applyAlignment="1">
      <alignment horizontal="center" vertical="center" wrapText="1"/>
    </xf>
    <xf numFmtId="0" fontId="105" fillId="20" borderId="63" xfId="0" applyFont="1" applyFill="1" applyBorder="1" applyAlignment="1">
      <alignment horizontal="center" vertical="center" wrapText="1"/>
    </xf>
    <xf numFmtId="0" fontId="105" fillId="20" borderId="67" xfId="0" applyFont="1" applyFill="1" applyBorder="1" applyAlignment="1">
      <alignment horizontal="center" vertical="center" wrapText="1"/>
    </xf>
    <xf numFmtId="0" fontId="105" fillId="20" borderId="1" xfId="0" applyFont="1" applyFill="1" applyBorder="1" applyAlignment="1">
      <alignment horizontal="center" vertical="center" wrapText="1"/>
    </xf>
    <xf numFmtId="0" fontId="105" fillId="20" borderId="69" xfId="0" applyFont="1" applyFill="1" applyBorder="1" applyAlignment="1">
      <alignment horizontal="center" vertical="center" wrapText="1"/>
    </xf>
    <xf numFmtId="0" fontId="65" fillId="0" borderId="70" xfId="0" applyFont="1" applyFill="1" applyBorder="1" applyAlignment="1">
      <alignment horizontal="center" vertical="center"/>
    </xf>
    <xf numFmtId="0" fontId="65" fillId="0" borderId="78" xfId="0" applyFont="1" applyFill="1" applyBorder="1" applyAlignment="1">
      <alignment horizontal="center" vertical="center"/>
    </xf>
    <xf numFmtId="0" fontId="106" fillId="0" borderId="71" xfId="0" applyFont="1" applyFill="1" applyBorder="1" applyAlignment="1">
      <alignment horizontal="center" vertical="center"/>
    </xf>
    <xf numFmtId="0" fontId="106" fillId="0" borderId="28" xfId="0" applyFont="1" applyFill="1" applyBorder="1" applyAlignment="1">
      <alignment horizontal="center" vertical="center"/>
    </xf>
    <xf numFmtId="0" fontId="103" fillId="0" borderId="51" xfId="0" applyFont="1" applyFill="1" applyBorder="1" applyAlignment="1">
      <alignment horizontal="center" vertical="center"/>
    </xf>
    <xf numFmtId="0" fontId="103" fillId="0" borderId="52" xfId="0" applyFont="1" applyFill="1" applyBorder="1" applyAlignment="1">
      <alignment horizontal="center" vertical="center"/>
    </xf>
    <xf numFmtId="0" fontId="103" fillId="0" borderId="58" xfId="0" applyFont="1" applyFill="1" applyBorder="1" applyAlignment="1">
      <alignment horizontal="center" vertical="center"/>
    </xf>
    <xf numFmtId="0" fontId="103" fillId="0" borderId="0" xfId="0" applyFont="1" applyFill="1" applyBorder="1" applyAlignment="1">
      <alignment horizontal="center" vertical="center"/>
    </xf>
    <xf numFmtId="0" fontId="103" fillId="0" borderId="64" xfId="0" applyFont="1" applyFill="1" applyBorder="1" applyAlignment="1">
      <alignment horizontal="center" vertical="center"/>
    </xf>
    <xf numFmtId="0" fontId="103" fillId="0" borderId="1" xfId="0" applyFont="1" applyFill="1" applyBorder="1" applyAlignment="1">
      <alignment horizontal="center" vertical="center"/>
    </xf>
    <xf numFmtId="0" fontId="104" fillId="13" borderId="53" xfId="0" applyFont="1" applyFill="1" applyBorder="1" applyAlignment="1">
      <alignment horizontal="center" vertical="center" wrapText="1"/>
    </xf>
    <xf numFmtId="0" fontId="104" fillId="13" borderId="52" xfId="0" applyFont="1" applyFill="1" applyBorder="1" applyAlignment="1">
      <alignment horizontal="center" vertical="center" wrapText="1"/>
    </xf>
    <xf numFmtId="0" fontId="104" fillId="13" borderId="54" xfId="0" applyFont="1" applyFill="1" applyBorder="1" applyAlignment="1">
      <alignment horizontal="center" vertical="center" wrapText="1"/>
    </xf>
    <xf numFmtId="0" fontId="104" fillId="13" borderId="59" xfId="0" applyFont="1" applyFill="1" applyBorder="1" applyAlignment="1">
      <alignment horizontal="center" vertical="center" wrapText="1"/>
    </xf>
    <xf numFmtId="0" fontId="104" fillId="13" borderId="0" xfId="0" applyFont="1" applyFill="1" applyBorder="1" applyAlignment="1">
      <alignment horizontal="center" vertical="center" wrapText="1"/>
    </xf>
    <xf numFmtId="0" fontId="104" fillId="13" borderId="60" xfId="0" applyFont="1" applyFill="1" applyBorder="1" applyAlignment="1">
      <alignment horizontal="center" vertical="center" wrapText="1"/>
    </xf>
    <xf numFmtId="0" fontId="104" fillId="13" borderId="65" xfId="0" applyFont="1" applyFill="1" applyBorder="1" applyAlignment="1">
      <alignment horizontal="center" vertical="center" wrapText="1"/>
    </xf>
    <xf numFmtId="0" fontId="104" fillId="13" borderId="1" xfId="0" applyFont="1" applyFill="1" applyBorder="1" applyAlignment="1">
      <alignment horizontal="center" vertical="center" wrapText="1"/>
    </xf>
    <xf numFmtId="0" fontId="104" fillId="13" borderId="66" xfId="0" applyFont="1" applyFill="1" applyBorder="1" applyAlignment="1">
      <alignment horizontal="center" vertical="center" wrapText="1"/>
    </xf>
    <xf numFmtId="0" fontId="104" fillId="19" borderId="55" xfId="0" applyFont="1" applyFill="1" applyBorder="1" applyAlignment="1">
      <alignment horizontal="center" vertical="center" wrapText="1"/>
    </xf>
    <xf numFmtId="0" fontId="104" fillId="19" borderId="52" xfId="0" applyFont="1" applyFill="1" applyBorder="1" applyAlignment="1">
      <alignment horizontal="center" vertical="center" wrapText="1"/>
    </xf>
    <xf numFmtId="0" fontId="104" fillId="19" borderId="56" xfId="0" applyFont="1" applyFill="1" applyBorder="1" applyAlignment="1">
      <alignment horizontal="center" vertical="center" wrapText="1"/>
    </xf>
    <xf numFmtId="0" fontId="104" fillId="19" borderId="61" xfId="0" applyFont="1" applyFill="1" applyBorder="1" applyAlignment="1">
      <alignment horizontal="center" vertical="center" wrapText="1"/>
    </xf>
    <xf numFmtId="0" fontId="104" fillId="19" borderId="0" xfId="0" applyFont="1" applyFill="1" applyBorder="1" applyAlignment="1">
      <alignment horizontal="center" vertical="center" wrapText="1"/>
    </xf>
    <xf numFmtId="0" fontId="104" fillId="19" borderId="62" xfId="0" applyFont="1" applyFill="1" applyBorder="1" applyAlignment="1">
      <alignment horizontal="center" vertical="center" wrapText="1"/>
    </xf>
    <xf numFmtId="0" fontId="104" fillId="19" borderId="67" xfId="0" applyFont="1" applyFill="1" applyBorder="1" applyAlignment="1">
      <alignment horizontal="center" vertical="center" wrapText="1"/>
    </xf>
    <xf numFmtId="0" fontId="104" fillId="19" borderId="1" xfId="0" applyFont="1" applyFill="1" applyBorder="1" applyAlignment="1">
      <alignment horizontal="center" vertical="center" wrapText="1"/>
    </xf>
    <xf numFmtId="0" fontId="104" fillId="19" borderId="68" xfId="0" applyFont="1" applyFill="1" applyBorder="1" applyAlignment="1">
      <alignment horizontal="center" vertical="center" wrapText="1"/>
    </xf>
    <xf numFmtId="0" fontId="121" fillId="20" borderId="77" xfId="0" applyFont="1" applyFill="1" applyBorder="1" applyAlignment="1">
      <alignment horizontal="center" vertical="center" wrapText="1"/>
    </xf>
    <xf numFmtId="0" fontId="121" fillId="20" borderId="83" xfId="0" applyFont="1" applyFill="1" applyBorder="1" applyAlignment="1">
      <alignment horizontal="center" vertical="center" wrapText="1"/>
    </xf>
    <xf numFmtId="0" fontId="106" fillId="42" borderId="77" xfId="0" applyFont="1" applyFill="1" applyBorder="1" applyAlignment="1">
      <alignment horizontal="center" vertical="center" wrapText="1"/>
    </xf>
    <xf numFmtId="0" fontId="106" fillId="42" borderId="83" xfId="0" applyFont="1" applyFill="1" applyBorder="1" applyAlignment="1">
      <alignment horizontal="center" vertical="center" wrapText="1"/>
    </xf>
    <xf numFmtId="0" fontId="65" fillId="0" borderId="58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65" fillId="0" borderId="49" xfId="0" applyFont="1" applyFill="1" applyBorder="1" applyAlignment="1">
      <alignment horizontal="center" vertical="center"/>
    </xf>
    <xf numFmtId="0" fontId="107" fillId="40" borderId="26" xfId="0" applyFont="1" applyFill="1" applyBorder="1" applyAlignment="1">
      <alignment horizontal="center" vertical="center" wrapText="1"/>
    </xf>
    <xf numFmtId="0" fontId="107" fillId="40" borderId="115" xfId="0" applyFont="1" applyFill="1" applyBorder="1" applyAlignment="1">
      <alignment horizontal="center" vertical="center" wrapText="1"/>
    </xf>
    <xf numFmtId="0" fontId="107" fillId="20" borderId="26" xfId="0" applyFont="1" applyFill="1" applyBorder="1" applyAlignment="1">
      <alignment horizontal="center" vertical="center" wrapText="1"/>
    </xf>
    <xf numFmtId="0" fontId="107" fillId="20" borderId="115" xfId="0" applyFont="1" applyFill="1" applyBorder="1" applyAlignment="1">
      <alignment horizontal="center" vertical="center" wrapText="1"/>
    </xf>
    <xf numFmtId="0" fontId="71" fillId="0" borderId="0" xfId="0" applyFont="1" applyFill="1" applyBorder="1" applyAlignment="1">
      <alignment horizontal="center" vertical="center" wrapText="1"/>
    </xf>
    <xf numFmtId="0" fontId="52" fillId="2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horizontal="left"/>
    </xf>
    <xf numFmtId="0" fontId="97" fillId="0" borderId="8" xfId="0" applyFont="1" applyBorder="1" applyAlignment="1">
      <alignment horizontal="left"/>
    </xf>
    <xf numFmtId="0" fontId="97" fillId="0" borderId="0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34" xfId="0" applyBorder="1" applyAlignment="1">
      <alignment horizontal="right"/>
    </xf>
    <xf numFmtId="49" fontId="61" fillId="0" borderId="39" xfId="0" applyNumberFormat="1" applyFont="1" applyFill="1" applyBorder="1" applyAlignment="1">
      <alignment horizontal="center"/>
    </xf>
    <xf numFmtId="49" fontId="61" fillId="0" borderId="43" xfId="0" applyNumberFormat="1" applyFont="1" applyFill="1" applyBorder="1" applyAlignment="1">
      <alignment horizontal="center"/>
    </xf>
    <xf numFmtId="0" fontId="80" fillId="0" borderId="41" xfId="0" applyFont="1" applyFill="1" applyBorder="1" applyAlignment="1">
      <alignment horizontal="center" vertical="center"/>
    </xf>
    <xf numFmtId="0" fontId="80" fillId="0" borderId="3" xfId="0" applyFont="1" applyFill="1" applyBorder="1" applyAlignment="1">
      <alignment horizontal="center" vertical="center"/>
    </xf>
    <xf numFmtId="0" fontId="80" fillId="0" borderId="34" xfId="0" applyFont="1" applyFill="1" applyBorder="1" applyAlignment="1">
      <alignment horizontal="center" vertical="center"/>
    </xf>
    <xf numFmtId="0" fontId="80" fillId="0" borderId="7" xfId="0" applyFont="1" applyFill="1" applyBorder="1" applyAlignment="1">
      <alignment horizontal="center" vertical="center"/>
    </xf>
    <xf numFmtId="0" fontId="80" fillId="0" borderId="0" xfId="0" applyFont="1" applyFill="1" applyBorder="1" applyAlignment="1">
      <alignment horizontal="center" vertical="center"/>
    </xf>
    <xf numFmtId="0" fontId="80" fillId="0" borderId="6" xfId="0" applyFont="1" applyFill="1" applyBorder="1" applyAlignment="1">
      <alignment horizontal="center" vertical="center"/>
    </xf>
    <xf numFmtId="0" fontId="81" fillId="0" borderId="7" xfId="0" applyFont="1" applyFill="1" applyBorder="1" applyAlignment="1">
      <alignment horizontal="center" vertical="center"/>
    </xf>
    <xf numFmtId="0" fontId="81" fillId="0" borderId="0" xfId="0" applyFont="1" applyFill="1" applyBorder="1" applyAlignment="1">
      <alignment horizontal="center" vertical="center"/>
    </xf>
    <xf numFmtId="0" fontId="81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61" fillId="0" borderId="26" xfId="0" applyFont="1" applyFill="1" applyBorder="1" applyAlignment="1">
      <alignment horizontal="center" vertical="center"/>
    </xf>
    <xf numFmtId="0" fontId="61" fillId="0" borderId="23" xfId="0" applyFont="1" applyFill="1" applyBorder="1" applyAlignment="1">
      <alignment horizontal="center" vertical="center"/>
    </xf>
    <xf numFmtId="0" fontId="61" fillId="10" borderId="26" xfId="0" applyFont="1" applyFill="1" applyBorder="1" applyAlignment="1">
      <alignment horizontal="center" vertical="center" wrapText="1"/>
    </xf>
    <xf numFmtId="0" fontId="61" fillId="10" borderId="23" xfId="0" applyFont="1" applyFill="1" applyBorder="1" applyAlignment="1">
      <alignment horizontal="center" vertical="center" wrapText="1"/>
    </xf>
    <xf numFmtId="0" fontId="84" fillId="3" borderId="26" xfId="0" applyFont="1" applyFill="1" applyBorder="1" applyAlignment="1">
      <alignment horizontal="center" vertical="center" wrapText="1"/>
    </xf>
    <xf numFmtId="0" fontId="84" fillId="3" borderId="23" xfId="0" applyFont="1" applyFill="1" applyBorder="1" applyAlignment="1">
      <alignment horizontal="center" vertical="center" wrapText="1"/>
    </xf>
    <xf numFmtId="0" fontId="61" fillId="0" borderId="39" xfId="0" applyFont="1" applyFill="1" applyBorder="1" applyAlignment="1">
      <alignment horizontal="center"/>
    </xf>
    <xf numFmtId="0" fontId="61" fillId="0" borderId="43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83" fillId="0" borderId="42" xfId="0" applyFont="1" applyFill="1" applyBorder="1" applyAlignment="1">
      <alignment horizontal="center" vertical="center"/>
    </xf>
    <xf numFmtId="0" fontId="83" fillId="0" borderId="40" xfId="0" applyFont="1" applyFill="1" applyBorder="1" applyAlignment="1">
      <alignment horizontal="center" vertical="center"/>
    </xf>
    <xf numFmtId="0" fontId="83" fillId="0" borderId="38" xfId="0" applyFont="1" applyFill="1" applyBorder="1" applyAlignment="1">
      <alignment horizontal="center" vertical="center"/>
    </xf>
    <xf numFmtId="0" fontId="83" fillId="0" borderId="1" xfId="0" applyFont="1" applyFill="1" applyBorder="1" applyAlignment="1">
      <alignment horizontal="center" vertical="center"/>
    </xf>
    <xf numFmtId="0" fontId="83" fillId="0" borderId="37" xfId="0" applyFont="1" applyFill="1" applyBorder="1" applyAlignment="1">
      <alignment horizontal="center" vertical="center"/>
    </xf>
    <xf numFmtId="0" fontId="83" fillId="0" borderId="22" xfId="0" applyFont="1" applyFill="1" applyBorder="1" applyAlignment="1">
      <alignment horizontal="center" vertical="center"/>
    </xf>
    <xf numFmtId="16" fontId="4" fillId="19" borderId="8" xfId="0" applyNumberFormat="1" applyFont="1" applyFill="1" applyBorder="1" applyAlignment="1">
      <alignment horizontal="center"/>
    </xf>
    <xf numFmtId="0" fontId="4" fillId="19" borderId="8" xfId="0" applyFont="1" applyFill="1" applyBorder="1" applyAlignment="1">
      <alignment horizontal="center"/>
    </xf>
    <xf numFmtId="16" fontId="4" fillId="21" borderId="8" xfId="0" applyNumberFormat="1" applyFont="1" applyFill="1" applyBorder="1" applyAlignment="1">
      <alignment horizontal="center"/>
    </xf>
    <xf numFmtId="0" fontId="4" fillId="21" borderId="8" xfId="0" applyFont="1" applyFill="1" applyBorder="1" applyAlignment="1">
      <alignment horizontal="center"/>
    </xf>
    <xf numFmtId="0" fontId="4" fillId="21" borderId="8" xfId="0" applyFont="1" applyFill="1" applyBorder="1" applyAlignment="1">
      <alignment horizontal="center" vertical="center"/>
    </xf>
    <xf numFmtId="0" fontId="88" fillId="0" borderId="0" xfId="0" applyFont="1" applyAlignment="1">
      <alignment horizontal="center"/>
    </xf>
    <xf numFmtId="14" fontId="70" fillId="25" borderId="19" xfId="0" applyNumberFormat="1" applyFont="1" applyFill="1" applyBorder="1" applyAlignment="1">
      <alignment horizontal="center" vertical="center" textRotation="90" wrapText="1"/>
    </xf>
    <xf numFmtId="168" fontId="96" fillId="25" borderId="19" xfId="1" applyNumberFormat="1" applyFont="1" applyFill="1" applyBorder="1" applyAlignment="1">
      <alignment horizontal="center" vertical="center" textRotation="90" wrapText="1"/>
    </xf>
    <xf numFmtId="168" fontId="70" fillId="25" borderId="19" xfId="1" applyNumberFormat="1" applyFont="1" applyFill="1" applyBorder="1" applyAlignment="1">
      <alignment horizontal="center" vertical="center" textRotation="90" wrapText="1"/>
    </xf>
  </cellXfs>
  <cellStyles count="5">
    <cellStyle name="Hipervínculo" xfId="4" builtinId="8"/>
    <cellStyle name="Millares" xfId="3" builtinId="3"/>
    <cellStyle name="Moneda" xfId="1" builtinId="4"/>
    <cellStyle name="Normal" xfId="0" builtinId="0"/>
    <cellStyle name="Normal 4" xfId="2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L%20NOVIEMBRE%202020\ROL%20UNIFICADO%20MES%20NOVIEMBR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LES%20MANTELLOD\VIVERO%201ER%20QUINCE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 UNIFICADO"/>
      <sheetName val="TALLER"/>
      <sheetName val="ENCOLAJE"/>
      <sheetName val="CALDERO"/>
      <sheetName val="ASERRIO"/>
      <sheetName val="MADERA VERDE"/>
      <sheetName val="Hoja1"/>
      <sheetName val="ROL UNIFICADO ENERO"/>
    </sheetNames>
    <sheetDataSet>
      <sheetData sheetId="0" refreshError="1"/>
      <sheetData sheetId="1" refreshError="1">
        <row r="7">
          <cell r="BB7">
            <v>0</v>
          </cell>
          <cell r="CT7">
            <v>0</v>
          </cell>
        </row>
        <row r="8">
          <cell r="BB8">
            <v>0</v>
          </cell>
          <cell r="CT8">
            <v>0</v>
          </cell>
        </row>
        <row r="9">
          <cell r="BB9">
            <v>0</v>
          </cell>
          <cell r="CT9">
            <v>0</v>
          </cell>
        </row>
        <row r="10">
          <cell r="BB10">
            <v>0</v>
          </cell>
          <cell r="CT10">
            <v>0</v>
          </cell>
        </row>
        <row r="11">
          <cell r="BB11">
            <v>0</v>
          </cell>
          <cell r="CT11">
            <v>0</v>
          </cell>
        </row>
        <row r="12">
          <cell r="BB12">
            <v>0</v>
          </cell>
          <cell r="CT12">
            <v>0</v>
          </cell>
        </row>
        <row r="13">
          <cell r="BB13">
            <v>0</v>
          </cell>
          <cell r="CT13">
            <v>0</v>
          </cell>
        </row>
        <row r="14">
          <cell r="BB14">
            <v>0</v>
          </cell>
        </row>
        <row r="15">
          <cell r="BB15">
            <v>0</v>
          </cell>
          <cell r="CT15">
            <v>0</v>
          </cell>
        </row>
        <row r="16">
          <cell r="BB16">
            <v>0</v>
          </cell>
          <cell r="CT16">
            <v>0</v>
          </cell>
        </row>
        <row r="17">
          <cell r="BB17">
            <v>0</v>
          </cell>
          <cell r="CT17">
            <v>0</v>
          </cell>
        </row>
        <row r="18">
          <cell r="BB18">
            <v>0</v>
          </cell>
          <cell r="CT18">
            <v>0</v>
          </cell>
        </row>
        <row r="19">
          <cell r="BB19">
            <v>0</v>
          </cell>
          <cell r="CT19">
            <v>0</v>
          </cell>
        </row>
        <row r="20">
          <cell r="BB20">
            <v>0</v>
          </cell>
          <cell r="CT20">
            <v>0</v>
          </cell>
        </row>
        <row r="21">
          <cell r="BB21">
            <v>0</v>
          </cell>
        </row>
        <row r="22">
          <cell r="BB22">
            <v>0</v>
          </cell>
        </row>
        <row r="23">
          <cell r="BB2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VERO"/>
      <sheetName val="REPORTE"/>
    </sheetNames>
    <sheetDataSet>
      <sheetData sheetId="0"/>
      <sheetData sheetId="1">
        <row r="3">
          <cell r="Q3">
            <v>12</v>
          </cell>
        </row>
        <row r="4">
          <cell r="Q4">
            <v>14</v>
          </cell>
        </row>
        <row r="5">
          <cell r="Q5">
            <v>14</v>
          </cell>
        </row>
        <row r="8">
          <cell r="Q8">
            <v>14</v>
          </cell>
        </row>
        <row r="9">
          <cell r="Q9">
            <v>13</v>
          </cell>
        </row>
        <row r="10">
          <cell r="Q10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uberbasurto97@gmail.com" TargetMode="External"/><Relationship Id="rId18" Type="http://schemas.openxmlformats.org/officeDocument/2006/relationships/hyperlink" Target="mailto:yorgenpilosomanzaba@hotmail.com" TargetMode="External"/><Relationship Id="rId26" Type="http://schemas.openxmlformats.org/officeDocument/2006/relationships/hyperlink" Target="mailto:dany1997111@hotmail.com" TargetMode="External"/><Relationship Id="rId39" Type="http://schemas.openxmlformats.org/officeDocument/2006/relationships/hyperlink" Target="mailto:mary_lean1217@hotmail.com" TargetMode="External"/><Relationship Id="rId21" Type="http://schemas.openxmlformats.org/officeDocument/2006/relationships/hyperlink" Target="mailto:heinercede1999cm@gmail.com" TargetMode="External"/><Relationship Id="rId34" Type="http://schemas.openxmlformats.org/officeDocument/2006/relationships/hyperlink" Target="mailto:alexandrafariasdelgado@gmail.com" TargetMode="External"/><Relationship Id="rId42" Type="http://schemas.openxmlformats.org/officeDocument/2006/relationships/hyperlink" Target="mailto:Jhonhenrry-1994@hotmail.con" TargetMode="External"/><Relationship Id="rId47" Type="http://schemas.openxmlformats.org/officeDocument/2006/relationships/hyperlink" Target="mailto:juniorfernando409@gmail.com" TargetMode="External"/><Relationship Id="rId50" Type="http://schemas.openxmlformats.org/officeDocument/2006/relationships/hyperlink" Target="mailto:gema.maria.loor@gmail.com" TargetMode="External"/><Relationship Id="rId55" Type="http://schemas.openxmlformats.org/officeDocument/2006/relationships/comments" Target="../comments2.xml"/><Relationship Id="rId7" Type="http://schemas.openxmlformats.org/officeDocument/2006/relationships/hyperlink" Target="mailto:ferrin.juan@yahoo.es" TargetMode="External"/><Relationship Id="rId12" Type="http://schemas.openxmlformats.org/officeDocument/2006/relationships/hyperlink" Target="mailto:Ostaizaubaldojair@gmail.com" TargetMode="External"/><Relationship Id="rId17" Type="http://schemas.openxmlformats.org/officeDocument/2006/relationships/hyperlink" Target="mailto:alexandra04macias@gmail.com" TargetMode="External"/><Relationship Id="rId25" Type="http://schemas.openxmlformats.org/officeDocument/2006/relationships/hyperlink" Target="mailto:janinebravo1995123@gmail.com" TargetMode="External"/><Relationship Id="rId33" Type="http://schemas.openxmlformats.org/officeDocument/2006/relationships/hyperlink" Target="mailto:abigailponce54@gmail.com" TargetMode="External"/><Relationship Id="rId38" Type="http://schemas.openxmlformats.org/officeDocument/2006/relationships/hyperlink" Target="mailto:conformeconformej@gmail.com" TargetMode="External"/><Relationship Id="rId46" Type="http://schemas.openxmlformats.org/officeDocument/2006/relationships/hyperlink" Target="mailto:bayronvelezmarcillo@hotmail.com" TargetMode="External"/><Relationship Id="rId2" Type="http://schemas.openxmlformats.org/officeDocument/2006/relationships/hyperlink" Target="mailto:Zambranosofia172@hotmail.com" TargetMode="External"/><Relationship Id="rId16" Type="http://schemas.openxmlformats.org/officeDocument/2006/relationships/hyperlink" Target="mailto:darelzambrano09@gmail.com" TargetMode="External"/><Relationship Id="rId20" Type="http://schemas.openxmlformats.org/officeDocument/2006/relationships/hyperlink" Target="mailto:beatrizramoscacique@hotmail.com" TargetMode="External"/><Relationship Id="rId29" Type="http://schemas.openxmlformats.org/officeDocument/2006/relationships/hyperlink" Target="mailto:cristhianbarreiro35@gmail.com" TargetMode="External"/><Relationship Id="rId41" Type="http://schemas.openxmlformats.org/officeDocument/2006/relationships/hyperlink" Target="mailto:juantessanches21@gmail.com" TargetMode="External"/><Relationship Id="rId54" Type="http://schemas.openxmlformats.org/officeDocument/2006/relationships/vmlDrawing" Target="../drawings/vmlDrawing2.vml"/><Relationship Id="rId1" Type="http://schemas.openxmlformats.org/officeDocument/2006/relationships/hyperlink" Target="mailto:Farias.djessenia@gmail.com" TargetMode="External"/><Relationship Id="rId6" Type="http://schemas.openxmlformats.org/officeDocument/2006/relationships/hyperlink" Target="mailto:antoniomanzababravo@gmail.com" TargetMode="External"/><Relationship Id="rId11" Type="http://schemas.openxmlformats.org/officeDocument/2006/relationships/hyperlink" Target="mailto:napaariel140@gmail.com" TargetMode="External"/><Relationship Id="rId24" Type="http://schemas.openxmlformats.org/officeDocument/2006/relationships/hyperlink" Target="mailto:solorzanojuan61@gmail.com" TargetMode="External"/><Relationship Id="rId32" Type="http://schemas.openxmlformats.org/officeDocument/2006/relationships/hyperlink" Target="mailto:jenifferpacheco.1996luky@gmail.com" TargetMode="External"/><Relationship Id="rId37" Type="http://schemas.openxmlformats.org/officeDocument/2006/relationships/hyperlink" Target="mailto:marifeth2018rodriguez@gmail.com" TargetMode="External"/><Relationship Id="rId40" Type="http://schemas.openxmlformats.org/officeDocument/2006/relationships/hyperlink" Target="mailto:pinargoterosa930@gmail.com" TargetMode="External"/><Relationship Id="rId45" Type="http://schemas.openxmlformats.org/officeDocument/2006/relationships/hyperlink" Target="mailto:Cristhiansolorzano26@gmail.com" TargetMode="External"/><Relationship Id="rId53" Type="http://schemas.openxmlformats.org/officeDocument/2006/relationships/hyperlink" Target="mailto:salvador631993@gmail.com" TargetMode="External"/><Relationship Id="rId5" Type="http://schemas.openxmlformats.org/officeDocument/2006/relationships/hyperlink" Target="mailto:Jose8288827@gmail.com" TargetMode="External"/><Relationship Id="rId15" Type="http://schemas.openxmlformats.org/officeDocument/2006/relationships/hyperlink" Target="mailto:eliestefi14-88@hotmail.com" TargetMode="External"/><Relationship Id="rId23" Type="http://schemas.openxmlformats.org/officeDocument/2006/relationships/hyperlink" Target="mailto:karenalvarado0101@gmail.com" TargetMode="External"/><Relationship Id="rId28" Type="http://schemas.openxmlformats.org/officeDocument/2006/relationships/hyperlink" Target="mailto:murillovargas95@gmail.com" TargetMode="External"/><Relationship Id="rId36" Type="http://schemas.openxmlformats.org/officeDocument/2006/relationships/hyperlink" Target="mailto:vanessaronquillo9215@outlook.es" TargetMode="External"/><Relationship Id="rId49" Type="http://schemas.openxmlformats.org/officeDocument/2006/relationships/hyperlink" Target="mailto:nery1984cornejo@outlook.es" TargetMode="External"/><Relationship Id="rId10" Type="http://schemas.openxmlformats.org/officeDocument/2006/relationships/hyperlink" Target="mailto:jessiparraga94@gmail.com" TargetMode="External"/><Relationship Id="rId19" Type="http://schemas.openxmlformats.org/officeDocument/2006/relationships/hyperlink" Target="mailto:byronandresnavarretealcivar@gmail.com" TargetMode="External"/><Relationship Id="rId31" Type="http://schemas.openxmlformats.org/officeDocument/2006/relationships/hyperlink" Target="mailto:stevenverachica@gmail.com" TargetMode="External"/><Relationship Id="rId44" Type="http://schemas.openxmlformats.org/officeDocument/2006/relationships/hyperlink" Target="mailto:arielcede&#241;o003@gmail.com" TargetMode="External"/><Relationship Id="rId52" Type="http://schemas.openxmlformats.org/officeDocument/2006/relationships/hyperlink" Target="mailto:luisantoniovelez2020@gmail.com" TargetMode="External"/><Relationship Id="rId4" Type="http://schemas.openxmlformats.org/officeDocument/2006/relationships/hyperlink" Target="mailto:evergiler@gmail.com" TargetMode="External"/><Relationship Id="rId9" Type="http://schemas.openxmlformats.org/officeDocument/2006/relationships/hyperlink" Target="mailto:ramonzavala2020@hotmail.com" TargetMode="External"/><Relationship Id="rId14" Type="http://schemas.openxmlformats.org/officeDocument/2006/relationships/hyperlink" Target="mailto:odaliszambranoescalante@gmail.com" TargetMode="External"/><Relationship Id="rId22" Type="http://schemas.openxmlformats.org/officeDocument/2006/relationships/hyperlink" Target="mailto:jorgebarre2021@gmail.com" TargetMode="External"/><Relationship Id="rId27" Type="http://schemas.openxmlformats.org/officeDocument/2006/relationships/hyperlink" Target="mailto:jimyvarelaandrade@hotmail.com" TargetMode="External"/><Relationship Id="rId30" Type="http://schemas.openxmlformats.org/officeDocument/2006/relationships/hyperlink" Target="mailto:angelesmeralda1998@gmail.com" TargetMode="External"/><Relationship Id="rId35" Type="http://schemas.openxmlformats.org/officeDocument/2006/relationships/hyperlink" Target="mailto:angelzambrano86@gmail.com" TargetMode="External"/><Relationship Id="rId43" Type="http://schemas.openxmlformats.org/officeDocument/2006/relationships/hyperlink" Target="mailto:cesarchanalata@gmail.com" TargetMode="External"/><Relationship Id="rId48" Type="http://schemas.openxmlformats.org/officeDocument/2006/relationships/hyperlink" Target="mailto:hugoramongarciazambrano10@gmail.com" TargetMode="External"/><Relationship Id="rId8" Type="http://schemas.openxmlformats.org/officeDocument/2006/relationships/hyperlink" Target="mailto:.@OMARVILLALVA.COM" TargetMode="External"/><Relationship Id="rId51" Type="http://schemas.openxmlformats.org/officeDocument/2006/relationships/hyperlink" Target="mailto:lsolorzano285@gmail.com" TargetMode="External"/><Relationship Id="rId3" Type="http://schemas.openxmlformats.org/officeDocument/2006/relationships/hyperlink" Target="mailto:Jorgeelbarto1993@hot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lexintonsolorzanovite@gmail.com" TargetMode="External"/><Relationship Id="rId18" Type="http://schemas.openxmlformats.org/officeDocument/2006/relationships/hyperlink" Target="mailto:josemzm20@hotmail.com" TargetMode="External"/><Relationship Id="rId26" Type="http://schemas.openxmlformats.org/officeDocument/2006/relationships/hyperlink" Target="mailto:edisonbasurto09@gmail.com" TargetMode="External"/><Relationship Id="rId39" Type="http://schemas.openxmlformats.org/officeDocument/2006/relationships/hyperlink" Target="mailto:angelitacede&#241;o1994@hotmail.com" TargetMode="External"/><Relationship Id="rId21" Type="http://schemas.openxmlformats.org/officeDocument/2006/relationships/hyperlink" Target="mailto:carmen1988moreira@gmail.com" TargetMode="External"/><Relationship Id="rId34" Type="http://schemas.openxmlformats.org/officeDocument/2006/relationships/hyperlink" Target="mailto:Lourdeszambrano4025@gmail.com" TargetMode="External"/><Relationship Id="rId42" Type="http://schemas.openxmlformats.org/officeDocument/2006/relationships/hyperlink" Target="mailto:davidalcivar123@hotmail.com" TargetMode="External"/><Relationship Id="rId47" Type="http://schemas.openxmlformats.org/officeDocument/2006/relationships/hyperlink" Target="mailto:gingerangulo81@gmail.com" TargetMode="External"/><Relationship Id="rId50" Type="http://schemas.openxmlformats.org/officeDocument/2006/relationships/hyperlink" Target="mailto:Jonathanloor@yahoo.com" TargetMode="External"/><Relationship Id="rId55" Type="http://schemas.openxmlformats.org/officeDocument/2006/relationships/hyperlink" Target="mailto:darwinpolo847@gmail.com" TargetMode="External"/><Relationship Id="rId63" Type="http://schemas.openxmlformats.org/officeDocument/2006/relationships/hyperlink" Target="mailto:lafuria805@gmail.com" TargetMode="External"/><Relationship Id="rId7" Type="http://schemas.openxmlformats.org/officeDocument/2006/relationships/hyperlink" Target="mailto:joelibarra.98leones@gmail.com" TargetMode="External"/><Relationship Id="rId2" Type="http://schemas.openxmlformats.org/officeDocument/2006/relationships/hyperlink" Target="mailto:epatoyanez@gmail.com" TargetMode="External"/><Relationship Id="rId16" Type="http://schemas.openxmlformats.org/officeDocument/2006/relationships/hyperlink" Target="mailto:mariacadena39.@yahoo.com" TargetMode="External"/><Relationship Id="rId20" Type="http://schemas.openxmlformats.org/officeDocument/2006/relationships/hyperlink" Target="mailto:patricioamor1711@hotmail.com" TargetMode="External"/><Relationship Id="rId29" Type="http://schemas.openxmlformats.org/officeDocument/2006/relationships/hyperlink" Target="mailto:marcosestradafig@gmail.com" TargetMode="External"/><Relationship Id="rId41" Type="http://schemas.openxmlformats.org/officeDocument/2006/relationships/hyperlink" Target="mailto:ferchoslucas9@gmail.com" TargetMode="External"/><Relationship Id="rId54" Type="http://schemas.openxmlformats.org/officeDocument/2006/relationships/hyperlink" Target="mailto:Marcosmesarivas@gmail.com" TargetMode="External"/><Relationship Id="rId62" Type="http://schemas.openxmlformats.org/officeDocument/2006/relationships/hyperlink" Target="mailto:zambranoalejandro391@gmail.com" TargetMode="External"/><Relationship Id="rId1" Type="http://schemas.openxmlformats.org/officeDocument/2006/relationships/hyperlink" Target="mailto:zambranosandro28@gmail.com" TargetMode="External"/><Relationship Id="rId6" Type="http://schemas.openxmlformats.org/officeDocument/2006/relationships/hyperlink" Target="mailto:johanloorju96@gmail.com" TargetMode="External"/><Relationship Id="rId11" Type="http://schemas.openxmlformats.org/officeDocument/2006/relationships/hyperlink" Target="mailto:artemires20@gmail.com" TargetMode="External"/><Relationship Id="rId24" Type="http://schemas.openxmlformats.org/officeDocument/2006/relationships/hyperlink" Target="mailto:armandomacias2001@gmail.com" TargetMode="External"/><Relationship Id="rId32" Type="http://schemas.openxmlformats.org/officeDocument/2006/relationships/hyperlink" Target="mailto:luis647844basurto@gmail.co" TargetMode="External"/><Relationship Id="rId37" Type="http://schemas.openxmlformats.org/officeDocument/2006/relationships/hyperlink" Target="mailto:jennyvaluarte@gmail.com" TargetMode="External"/><Relationship Id="rId40" Type="http://schemas.openxmlformats.org/officeDocument/2006/relationships/hyperlink" Target="mailto:moncayoluis725@gmail.com" TargetMode="External"/><Relationship Id="rId45" Type="http://schemas.openxmlformats.org/officeDocument/2006/relationships/hyperlink" Target="mailto:lider20mendza@gmail.com" TargetMode="External"/><Relationship Id="rId53" Type="http://schemas.openxmlformats.org/officeDocument/2006/relationships/hyperlink" Target="mailto:carlosmeciasm@gmail.com" TargetMode="External"/><Relationship Id="rId58" Type="http://schemas.openxmlformats.org/officeDocument/2006/relationships/hyperlink" Target="mailto:titosolorzanomarcillo@gmail.com" TargetMode="External"/><Relationship Id="rId66" Type="http://schemas.openxmlformats.org/officeDocument/2006/relationships/comments" Target="../comments3.xml"/><Relationship Id="rId5" Type="http://schemas.openxmlformats.org/officeDocument/2006/relationships/hyperlink" Target="mailto:765@gmail.com" TargetMode="External"/><Relationship Id="rId15" Type="http://schemas.openxmlformats.org/officeDocument/2006/relationships/hyperlink" Target="mailto:luisloor44111@gmail.com" TargetMode="External"/><Relationship Id="rId23" Type="http://schemas.openxmlformats.org/officeDocument/2006/relationships/hyperlink" Target="mailto:cvkj.1317037545@gmail.com" TargetMode="External"/><Relationship Id="rId28" Type="http://schemas.openxmlformats.org/officeDocument/2006/relationships/hyperlink" Target="mailto:rosariocede&#241;o1990@hotmail.com" TargetMode="External"/><Relationship Id="rId36" Type="http://schemas.openxmlformats.org/officeDocument/2006/relationships/hyperlink" Target="mailto:fproano80@gmail.com" TargetMode="External"/><Relationship Id="rId49" Type="http://schemas.openxmlformats.org/officeDocument/2006/relationships/hyperlink" Target="mailto:Dgaby878@gmail.com" TargetMode="External"/><Relationship Id="rId57" Type="http://schemas.openxmlformats.org/officeDocument/2006/relationships/hyperlink" Target="mailto:elianalucas408@gmail.com" TargetMode="External"/><Relationship Id="rId61" Type="http://schemas.openxmlformats.org/officeDocument/2006/relationships/hyperlink" Target="mailto:jonathan.velez@hotmail.es" TargetMode="External"/><Relationship Id="rId10" Type="http://schemas.openxmlformats.org/officeDocument/2006/relationships/hyperlink" Target="mailto:lokoarielzambrano09@gmail.com" TargetMode="External"/><Relationship Id="rId19" Type="http://schemas.openxmlformats.org/officeDocument/2006/relationships/hyperlink" Target="mailto:migue.3@outlook.com" TargetMode="External"/><Relationship Id="rId31" Type="http://schemas.openxmlformats.org/officeDocument/2006/relationships/hyperlink" Target="mailto:luisrevelo833@gmail.com" TargetMode="External"/><Relationship Id="rId44" Type="http://schemas.openxmlformats.org/officeDocument/2006/relationships/hyperlink" Target="mailto:bravooscar544@gmail.com" TargetMode="External"/><Relationship Id="rId52" Type="http://schemas.openxmlformats.org/officeDocument/2006/relationships/hyperlink" Target="mailto:majomarquinez@gmail.com" TargetMode="External"/><Relationship Id="rId60" Type="http://schemas.openxmlformats.org/officeDocument/2006/relationships/hyperlink" Target="mailto:pedrojca_1990@hotmail.com" TargetMode="External"/><Relationship Id="rId65" Type="http://schemas.openxmlformats.org/officeDocument/2006/relationships/vmlDrawing" Target="../drawings/vmlDrawing3.vml"/><Relationship Id="rId4" Type="http://schemas.openxmlformats.org/officeDocument/2006/relationships/hyperlink" Target="mailto:emilianoalvaradojoel@gmail.com" TargetMode="External"/><Relationship Id="rId9" Type="http://schemas.openxmlformats.org/officeDocument/2006/relationships/hyperlink" Target="mailto:lpascal380@gmail.com" TargetMode="External"/><Relationship Id="rId14" Type="http://schemas.openxmlformats.org/officeDocument/2006/relationships/hyperlink" Target="mailto:mai_19921@outlook.com" TargetMode="External"/><Relationship Id="rId22" Type="http://schemas.openxmlformats.org/officeDocument/2006/relationships/hyperlink" Target="mailto:joffremenendez19@outlook.com" TargetMode="External"/><Relationship Id="rId27" Type="http://schemas.openxmlformats.org/officeDocument/2006/relationships/hyperlink" Target="mailto:basurtoyandri3@gmail.com" TargetMode="External"/><Relationship Id="rId30" Type="http://schemas.openxmlformats.org/officeDocument/2006/relationships/hyperlink" Target="mailto:Yulexyarcen@gmail.com" TargetMode="External"/><Relationship Id="rId35" Type="http://schemas.openxmlformats.org/officeDocument/2006/relationships/hyperlink" Target="mailto:arielyazmaniloorbasurto@gmail.com" TargetMode="External"/><Relationship Id="rId43" Type="http://schemas.openxmlformats.org/officeDocument/2006/relationships/hyperlink" Target="mailto:effren.livezam@gmail.com" TargetMode="External"/><Relationship Id="rId48" Type="http://schemas.openxmlformats.org/officeDocument/2006/relationships/hyperlink" Target="mailto:rokesiempre@gmail.com" TargetMode="External"/><Relationship Id="rId56" Type="http://schemas.openxmlformats.org/officeDocument/2006/relationships/hyperlink" Target="mailto:didier13mateo@gmail.com" TargetMode="External"/><Relationship Id="rId64" Type="http://schemas.openxmlformats.org/officeDocument/2006/relationships/printerSettings" Target="../printerSettings/printerSettings2.bin"/><Relationship Id="rId8" Type="http://schemas.openxmlformats.org/officeDocument/2006/relationships/hyperlink" Target="mailto:jonathanarielloor20@gmail.com" TargetMode="External"/><Relationship Id="rId51" Type="http://schemas.openxmlformats.org/officeDocument/2006/relationships/hyperlink" Target="mailto:jheremymatias22@hotmail.com" TargetMode="External"/><Relationship Id="rId3" Type="http://schemas.openxmlformats.org/officeDocument/2006/relationships/hyperlink" Target="mailto:pablozambranom1310@gmail.com" TargetMode="External"/><Relationship Id="rId12" Type="http://schemas.openxmlformats.org/officeDocument/2006/relationships/hyperlink" Target="mailto:ivanantoniomeralucas@hotmail.com" TargetMode="External"/><Relationship Id="rId17" Type="http://schemas.openxmlformats.org/officeDocument/2006/relationships/hyperlink" Target="mailto:narciyque@gmail.com" TargetMode="External"/><Relationship Id="rId25" Type="http://schemas.openxmlformats.org/officeDocument/2006/relationships/hyperlink" Target="mailto:verajhon468@gmail.com" TargetMode="External"/><Relationship Id="rId33" Type="http://schemas.openxmlformats.org/officeDocument/2006/relationships/hyperlink" Target="mailto:viniciocevallos21@gmail.com" TargetMode="External"/><Relationship Id="rId38" Type="http://schemas.openxmlformats.org/officeDocument/2006/relationships/hyperlink" Target="mailto:stalingarcia2312@gmail.com" TargetMode="External"/><Relationship Id="rId46" Type="http://schemas.openxmlformats.org/officeDocument/2006/relationships/hyperlink" Target="mailto:waltervelez-s@hotmail.com" TargetMode="External"/><Relationship Id="rId59" Type="http://schemas.openxmlformats.org/officeDocument/2006/relationships/hyperlink" Target="mailto:jonex01.lz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E433"/>
  <sheetViews>
    <sheetView tabSelected="1" topLeftCell="A4" workbookViewId="0">
      <pane xSplit="2" ySplit="1" topLeftCell="C5" activePane="bottomRight" state="frozen"/>
      <selection activeCell="A4" sqref="A4"/>
      <selection pane="topRight" activeCell="C4" sqref="C4"/>
      <selection pane="bottomLeft" activeCell="A5" sqref="A5"/>
      <selection pane="bottomRight" activeCell="H326" sqref="H326"/>
    </sheetView>
  </sheetViews>
  <sheetFormatPr baseColWidth="10" defaultRowHeight="15" outlineLevelRow="1" outlineLevelCol="2" x14ac:dyDescent="0.25"/>
  <cols>
    <col min="1" max="1" width="8.28515625" style="1" customWidth="1"/>
    <col min="2" max="2" width="42.85546875" customWidth="1"/>
    <col min="3" max="3" width="14" hidden="1" customWidth="1" outlineLevel="1"/>
    <col min="4" max="4" width="10.85546875" hidden="1" customWidth="1" outlineLevel="1"/>
    <col min="5" max="5" width="11.7109375" customWidth="1" collapsed="1"/>
    <col min="6" max="6" width="12.140625" customWidth="1" outlineLevel="1"/>
    <col min="7" max="8" width="12.28515625" customWidth="1" outlineLevel="1"/>
    <col min="9" max="9" width="12.140625" customWidth="1" outlineLevel="1"/>
    <col min="10" max="10" width="8.7109375" customWidth="1" outlineLevel="1"/>
    <col min="11" max="11" width="12.140625" customWidth="1" outlineLevel="1"/>
    <col min="12" max="12" width="13.140625" customWidth="1"/>
    <col min="13" max="13" width="11.85546875" customWidth="1"/>
    <col min="14" max="14" width="13.5703125" customWidth="1"/>
    <col min="15" max="15" width="10.28515625" hidden="1" customWidth="1" outlineLevel="2"/>
    <col min="16" max="16" width="10.42578125" hidden="1" customWidth="1" outlineLevel="2"/>
    <col min="17" max="17" width="10.85546875" hidden="1" customWidth="1" outlineLevel="1" collapsed="1"/>
    <col min="18" max="18" width="10.85546875" style="57" hidden="1" customWidth="1" outlineLevel="1"/>
    <col min="19" max="19" width="12.5703125" hidden="1" customWidth="1" outlineLevel="1"/>
    <col min="20" max="20" width="13.7109375" hidden="1" customWidth="1" outlineLevel="1"/>
    <col min="21" max="21" width="13.5703125" customWidth="1" collapsed="1"/>
    <col min="22" max="22" width="11" customWidth="1" outlineLevel="1"/>
    <col min="23" max="24" width="9.42578125" customWidth="1" outlineLevel="1"/>
    <col min="25" max="25" width="12.28515625" customWidth="1" outlineLevel="1"/>
    <col min="26" max="26" width="12.5703125" customWidth="1" outlineLevel="1"/>
    <col min="27" max="27" width="12" customWidth="1"/>
    <col min="28" max="28" width="13.85546875" customWidth="1"/>
    <col min="29" max="29" width="11.85546875" hidden="1" customWidth="1"/>
    <col min="30" max="31" width="11.7109375" style="4" hidden="1" customWidth="1"/>
    <col min="32" max="32" width="14" style="5" customWidth="1"/>
    <col min="33" max="157" width="11.42578125" style="1"/>
    <col min="253" max="253" width="8.28515625" customWidth="1"/>
    <col min="254" max="254" width="42.85546875" customWidth="1"/>
    <col min="255" max="255" width="14" customWidth="1"/>
    <col min="256" max="256" width="10.85546875" customWidth="1"/>
    <col min="257" max="257" width="11.7109375" customWidth="1"/>
    <col min="258" max="258" width="12.140625" customWidth="1"/>
    <col min="259" max="260" width="12.28515625" customWidth="1"/>
    <col min="261" max="261" width="12.140625" customWidth="1"/>
    <col min="262" max="262" width="8.7109375" customWidth="1"/>
    <col min="263" max="263" width="12.140625" customWidth="1"/>
    <col min="264" max="264" width="13.140625" customWidth="1"/>
    <col min="265" max="265" width="11.85546875" customWidth="1"/>
    <col min="266" max="266" width="13.5703125" customWidth="1"/>
    <col min="267" max="267" width="10.28515625" customWidth="1"/>
    <col min="268" max="268" width="10.42578125" customWidth="1"/>
    <col min="269" max="270" width="10.85546875" customWidth="1"/>
    <col min="271" max="271" width="12.5703125" customWidth="1"/>
    <col min="272" max="272" width="13.7109375" customWidth="1"/>
    <col min="273" max="273" width="13.5703125" customWidth="1"/>
    <col min="274" max="274" width="11" customWidth="1"/>
    <col min="275" max="276" width="9.42578125" customWidth="1"/>
    <col min="277" max="277" width="12.28515625" customWidth="1"/>
    <col min="278" max="278" width="12.5703125" customWidth="1"/>
    <col min="279" max="279" width="12" customWidth="1"/>
    <col min="280" max="280" width="13.85546875" customWidth="1"/>
    <col min="281" max="281" width="11.85546875" customWidth="1"/>
    <col min="282" max="283" width="0" hidden="1" customWidth="1"/>
    <col min="284" max="284" width="14" customWidth="1"/>
    <col min="285" max="285" width="0" hidden="1" customWidth="1"/>
    <col min="286" max="286" width="7.42578125" customWidth="1"/>
    <col min="287" max="287" width="8.28515625" customWidth="1"/>
    <col min="288" max="288" width="11.42578125" customWidth="1"/>
    <col min="509" max="509" width="8.28515625" customWidth="1"/>
    <col min="510" max="510" width="42.85546875" customWidth="1"/>
    <col min="511" max="511" width="14" customWidth="1"/>
    <col min="512" max="512" width="10.85546875" customWidth="1"/>
    <col min="513" max="513" width="11.7109375" customWidth="1"/>
    <col min="514" max="514" width="12.140625" customWidth="1"/>
    <col min="515" max="516" width="12.28515625" customWidth="1"/>
    <col min="517" max="517" width="12.140625" customWidth="1"/>
    <col min="518" max="518" width="8.7109375" customWidth="1"/>
    <col min="519" max="519" width="12.140625" customWidth="1"/>
    <col min="520" max="520" width="13.140625" customWidth="1"/>
    <col min="521" max="521" width="11.85546875" customWidth="1"/>
    <col min="522" max="522" width="13.5703125" customWidth="1"/>
    <col min="523" max="523" width="10.28515625" customWidth="1"/>
    <col min="524" max="524" width="10.42578125" customWidth="1"/>
    <col min="525" max="526" width="10.85546875" customWidth="1"/>
    <col min="527" max="527" width="12.5703125" customWidth="1"/>
    <col min="528" max="528" width="13.7109375" customWidth="1"/>
    <col min="529" max="529" width="13.5703125" customWidth="1"/>
    <col min="530" max="530" width="11" customWidth="1"/>
    <col min="531" max="532" width="9.42578125" customWidth="1"/>
    <col min="533" max="533" width="12.28515625" customWidth="1"/>
    <col min="534" max="534" width="12.5703125" customWidth="1"/>
    <col min="535" max="535" width="12" customWidth="1"/>
    <col min="536" max="536" width="13.85546875" customWidth="1"/>
    <col min="537" max="537" width="11.85546875" customWidth="1"/>
    <col min="538" max="539" width="0" hidden="1" customWidth="1"/>
    <col min="540" max="540" width="14" customWidth="1"/>
    <col min="541" max="541" width="0" hidden="1" customWidth="1"/>
    <col min="542" max="542" width="7.42578125" customWidth="1"/>
    <col min="543" max="543" width="8.28515625" customWidth="1"/>
    <col min="544" max="544" width="11.42578125" customWidth="1"/>
    <col min="765" max="765" width="8.28515625" customWidth="1"/>
    <col min="766" max="766" width="42.85546875" customWidth="1"/>
    <col min="767" max="767" width="14" customWidth="1"/>
    <col min="768" max="768" width="10.85546875" customWidth="1"/>
    <col min="769" max="769" width="11.7109375" customWidth="1"/>
    <col min="770" max="770" width="12.140625" customWidth="1"/>
    <col min="771" max="772" width="12.28515625" customWidth="1"/>
    <col min="773" max="773" width="12.140625" customWidth="1"/>
    <col min="774" max="774" width="8.7109375" customWidth="1"/>
    <col min="775" max="775" width="12.140625" customWidth="1"/>
    <col min="776" max="776" width="13.140625" customWidth="1"/>
    <col min="777" max="777" width="11.85546875" customWidth="1"/>
    <col min="778" max="778" width="13.5703125" customWidth="1"/>
    <col min="779" max="779" width="10.28515625" customWidth="1"/>
    <col min="780" max="780" width="10.42578125" customWidth="1"/>
    <col min="781" max="782" width="10.85546875" customWidth="1"/>
    <col min="783" max="783" width="12.5703125" customWidth="1"/>
    <col min="784" max="784" width="13.7109375" customWidth="1"/>
    <col min="785" max="785" width="13.5703125" customWidth="1"/>
    <col min="786" max="786" width="11" customWidth="1"/>
    <col min="787" max="788" width="9.42578125" customWidth="1"/>
    <col min="789" max="789" width="12.28515625" customWidth="1"/>
    <col min="790" max="790" width="12.5703125" customWidth="1"/>
    <col min="791" max="791" width="12" customWidth="1"/>
    <col min="792" max="792" width="13.85546875" customWidth="1"/>
    <col min="793" max="793" width="11.85546875" customWidth="1"/>
    <col min="794" max="795" width="0" hidden="1" customWidth="1"/>
    <col min="796" max="796" width="14" customWidth="1"/>
    <col min="797" max="797" width="0" hidden="1" customWidth="1"/>
    <col min="798" max="798" width="7.42578125" customWidth="1"/>
    <col min="799" max="799" width="8.28515625" customWidth="1"/>
    <col min="800" max="800" width="11.42578125" customWidth="1"/>
    <col min="1021" max="1021" width="8.28515625" customWidth="1"/>
    <col min="1022" max="1022" width="42.85546875" customWidth="1"/>
    <col min="1023" max="1023" width="14" customWidth="1"/>
    <col min="1024" max="1024" width="10.85546875" customWidth="1"/>
    <col min="1025" max="1025" width="11.7109375" customWidth="1"/>
    <col min="1026" max="1026" width="12.140625" customWidth="1"/>
    <col min="1027" max="1028" width="12.28515625" customWidth="1"/>
    <col min="1029" max="1029" width="12.140625" customWidth="1"/>
    <col min="1030" max="1030" width="8.7109375" customWidth="1"/>
    <col min="1031" max="1031" width="12.140625" customWidth="1"/>
    <col min="1032" max="1032" width="13.140625" customWidth="1"/>
    <col min="1033" max="1033" width="11.85546875" customWidth="1"/>
    <col min="1034" max="1034" width="13.5703125" customWidth="1"/>
    <col min="1035" max="1035" width="10.28515625" customWidth="1"/>
    <col min="1036" max="1036" width="10.42578125" customWidth="1"/>
    <col min="1037" max="1038" width="10.85546875" customWidth="1"/>
    <col min="1039" max="1039" width="12.5703125" customWidth="1"/>
    <col min="1040" max="1040" width="13.7109375" customWidth="1"/>
    <col min="1041" max="1041" width="13.5703125" customWidth="1"/>
    <col min="1042" max="1042" width="11" customWidth="1"/>
    <col min="1043" max="1044" width="9.42578125" customWidth="1"/>
    <col min="1045" max="1045" width="12.28515625" customWidth="1"/>
    <col min="1046" max="1046" width="12.5703125" customWidth="1"/>
    <col min="1047" max="1047" width="12" customWidth="1"/>
    <col min="1048" max="1048" width="13.85546875" customWidth="1"/>
    <col min="1049" max="1049" width="11.85546875" customWidth="1"/>
    <col min="1050" max="1051" width="0" hidden="1" customWidth="1"/>
    <col min="1052" max="1052" width="14" customWidth="1"/>
    <col min="1053" max="1053" width="0" hidden="1" customWidth="1"/>
    <col min="1054" max="1054" width="7.42578125" customWidth="1"/>
    <col min="1055" max="1055" width="8.28515625" customWidth="1"/>
    <col min="1056" max="1056" width="11.42578125" customWidth="1"/>
    <col min="1277" max="1277" width="8.28515625" customWidth="1"/>
    <col min="1278" max="1278" width="42.85546875" customWidth="1"/>
    <col min="1279" max="1279" width="14" customWidth="1"/>
    <col min="1280" max="1280" width="10.85546875" customWidth="1"/>
    <col min="1281" max="1281" width="11.7109375" customWidth="1"/>
    <col min="1282" max="1282" width="12.140625" customWidth="1"/>
    <col min="1283" max="1284" width="12.28515625" customWidth="1"/>
    <col min="1285" max="1285" width="12.140625" customWidth="1"/>
    <col min="1286" max="1286" width="8.7109375" customWidth="1"/>
    <col min="1287" max="1287" width="12.140625" customWidth="1"/>
    <col min="1288" max="1288" width="13.140625" customWidth="1"/>
    <col min="1289" max="1289" width="11.85546875" customWidth="1"/>
    <col min="1290" max="1290" width="13.5703125" customWidth="1"/>
    <col min="1291" max="1291" width="10.28515625" customWidth="1"/>
    <col min="1292" max="1292" width="10.42578125" customWidth="1"/>
    <col min="1293" max="1294" width="10.85546875" customWidth="1"/>
    <col min="1295" max="1295" width="12.5703125" customWidth="1"/>
    <col min="1296" max="1296" width="13.7109375" customWidth="1"/>
    <col min="1297" max="1297" width="13.5703125" customWidth="1"/>
    <col min="1298" max="1298" width="11" customWidth="1"/>
    <col min="1299" max="1300" width="9.42578125" customWidth="1"/>
    <col min="1301" max="1301" width="12.28515625" customWidth="1"/>
    <col min="1302" max="1302" width="12.5703125" customWidth="1"/>
    <col min="1303" max="1303" width="12" customWidth="1"/>
    <col min="1304" max="1304" width="13.85546875" customWidth="1"/>
    <col min="1305" max="1305" width="11.85546875" customWidth="1"/>
    <col min="1306" max="1307" width="0" hidden="1" customWidth="1"/>
    <col min="1308" max="1308" width="14" customWidth="1"/>
    <col min="1309" max="1309" width="0" hidden="1" customWidth="1"/>
    <col min="1310" max="1310" width="7.42578125" customWidth="1"/>
    <col min="1311" max="1311" width="8.28515625" customWidth="1"/>
    <col min="1312" max="1312" width="11.42578125" customWidth="1"/>
    <col min="1533" max="1533" width="8.28515625" customWidth="1"/>
    <col min="1534" max="1534" width="42.85546875" customWidth="1"/>
    <col min="1535" max="1535" width="14" customWidth="1"/>
    <col min="1536" max="1536" width="10.85546875" customWidth="1"/>
    <col min="1537" max="1537" width="11.7109375" customWidth="1"/>
    <col min="1538" max="1538" width="12.140625" customWidth="1"/>
    <col min="1539" max="1540" width="12.28515625" customWidth="1"/>
    <col min="1541" max="1541" width="12.140625" customWidth="1"/>
    <col min="1542" max="1542" width="8.7109375" customWidth="1"/>
    <col min="1543" max="1543" width="12.140625" customWidth="1"/>
    <col min="1544" max="1544" width="13.140625" customWidth="1"/>
    <col min="1545" max="1545" width="11.85546875" customWidth="1"/>
    <col min="1546" max="1546" width="13.5703125" customWidth="1"/>
    <col min="1547" max="1547" width="10.28515625" customWidth="1"/>
    <col min="1548" max="1548" width="10.42578125" customWidth="1"/>
    <col min="1549" max="1550" width="10.85546875" customWidth="1"/>
    <col min="1551" max="1551" width="12.5703125" customWidth="1"/>
    <col min="1552" max="1552" width="13.7109375" customWidth="1"/>
    <col min="1553" max="1553" width="13.5703125" customWidth="1"/>
    <col min="1554" max="1554" width="11" customWidth="1"/>
    <col min="1555" max="1556" width="9.42578125" customWidth="1"/>
    <col min="1557" max="1557" width="12.28515625" customWidth="1"/>
    <col min="1558" max="1558" width="12.5703125" customWidth="1"/>
    <col min="1559" max="1559" width="12" customWidth="1"/>
    <col min="1560" max="1560" width="13.85546875" customWidth="1"/>
    <col min="1561" max="1561" width="11.85546875" customWidth="1"/>
    <col min="1562" max="1563" width="0" hidden="1" customWidth="1"/>
    <col min="1564" max="1564" width="14" customWidth="1"/>
    <col min="1565" max="1565" width="0" hidden="1" customWidth="1"/>
    <col min="1566" max="1566" width="7.42578125" customWidth="1"/>
    <col min="1567" max="1567" width="8.28515625" customWidth="1"/>
    <col min="1568" max="1568" width="11.42578125" customWidth="1"/>
    <col min="1789" max="1789" width="8.28515625" customWidth="1"/>
    <col min="1790" max="1790" width="42.85546875" customWidth="1"/>
    <col min="1791" max="1791" width="14" customWidth="1"/>
    <col min="1792" max="1792" width="10.85546875" customWidth="1"/>
    <col min="1793" max="1793" width="11.7109375" customWidth="1"/>
    <col min="1794" max="1794" width="12.140625" customWidth="1"/>
    <col min="1795" max="1796" width="12.28515625" customWidth="1"/>
    <col min="1797" max="1797" width="12.140625" customWidth="1"/>
    <col min="1798" max="1798" width="8.7109375" customWidth="1"/>
    <col min="1799" max="1799" width="12.140625" customWidth="1"/>
    <col min="1800" max="1800" width="13.140625" customWidth="1"/>
    <col min="1801" max="1801" width="11.85546875" customWidth="1"/>
    <col min="1802" max="1802" width="13.5703125" customWidth="1"/>
    <col min="1803" max="1803" width="10.28515625" customWidth="1"/>
    <col min="1804" max="1804" width="10.42578125" customWidth="1"/>
    <col min="1805" max="1806" width="10.85546875" customWidth="1"/>
    <col min="1807" max="1807" width="12.5703125" customWidth="1"/>
    <col min="1808" max="1808" width="13.7109375" customWidth="1"/>
    <col min="1809" max="1809" width="13.5703125" customWidth="1"/>
    <col min="1810" max="1810" width="11" customWidth="1"/>
    <col min="1811" max="1812" width="9.42578125" customWidth="1"/>
    <col min="1813" max="1813" width="12.28515625" customWidth="1"/>
    <col min="1814" max="1814" width="12.5703125" customWidth="1"/>
    <col min="1815" max="1815" width="12" customWidth="1"/>
    <col min="1816" max="1816" width="13.85546875" customWidth="1"/>
    <col min="1817" max="1817" width="11.85546875" customWidth="1"/>
    <col min="1818" max="1819" width="0" hidden="1" customWidth="1"/>
    <col min="1820" max="1820" width="14" customWidth="1"/>
    <col min="1821" max="1821" width="0" hidden="1" customWidth="1"/>
    <col min="1822" max="1822" width="7.42578125" customWidth="1"/>
    <col min="1823" max="1823" width="8.28515625" customWidth="1"/>
    <col min="1824" max="1824" width="11.42578125" customWidth="1"/>
    <col min="2045" max="2045" width="8.28515625" customWidth="1"/>
    <col min="2046" max="2046" width="42.85546875" customWidth="1"/>
    <col min="2047" max="2047" width="14" customWidth="1"/>
    <col min="2048" max="2048" width="10.85546875" customWidth="1"/>
    <col min="2049" max="2049" width="11.7109375" customWidth="1"/>
    <col min="2050" max="2050" width="12.140625" customWidth="1"/>
    <col min="2051" max="2052" width="12.28515625" customWidth="1"/>
    <col min="2053" max="2053" width="12.140625" customWidth="1"/>
    <col min="2054" max="2054" width="8.7109375" customWidth="1"/>
    <col min="2055" max="2055" width="12.140625" customWidth="1"/>
    <col min="2056" max="2056" width="13.140625" customWidth="1"/>
    <col min="2057" max="2057" width="11.85546875" customWidth="1"/>
    <col min="2058" max="2058" width="13.5703125" customWidth="1"/>
    <col min="2059" max="2059" width="10.28515625" customWidth="1"/>
    <col min="2060" max="2060" width="10.42578125" customWidth="1"/>
    <col min="2061" max="2062" width="10.85546875" customWidth="1"/>
    <col min="2063" max="2063" width="12.5703125" customWidth="1"/>
    <col min="2064" max="2064" width="13.7109375" customWidth="1"/>
    <col min="2065" max="2065" width="13.5703125" customWidth="1"/>
    <col min="2066" max="2066" width="11" customWidth="1"/>
    <col min="2067" max="2068" width="9.42578125" customWidth="1"/>
    <col min="2069" max="2069" width="12.28515625" customWidth="1"/>
    <col min="2070" max="2070" width="12.5703125" customWidth="1"/>
    <col min="2071" max="2071" width="12" customWidth="1"/>
    <col min="2072" max="2072" width="13.85546875" customWidth="1"/>
    <col min="2073" max="2073" width="11.85546875" customWidth="1"/>
    <col min="2074" max="2075" width="0" hidden="1" customWidth="1"/>
    <col min="2076" max="2076" width="14" customWidth="1"/>
    <col min="2077" max="2077" width="0" hidden="1" customWidth="1"/>
    <col min="2078" max="2078" width="7.42578125" customWidth="1"/>
    <col min="2079" max="2079" width="8.28515625" customWidth="1"/>
    <col min="2080" max="2080" width="11.42578125" customWidth="1"/>
    <col min="2301" max="2301" width="8.28515625" customWidth="1"/>
    <col min="2302" max="2302" width="42.85546875" customWidth="1"/>
    <col min="2303" max="2303" width="14" customWidth="1"/>
    <col min="2304" max="2304" width="10.85546875" customWidth="1"/>
    <col min="2305" max="2305" width="11.7109375" customWidth="1"/>
    <col min="2306" max="2306" width="12.140625" customWidth="1"/>
    <col min="2307" max="2308" width="12.28515625" customWidth="1"/>
    <col min="2309" max="2309" width="12.140625" customWidth="1"/>
    <col min="2310" max="2310" width="8.7109375" customWidth="1"/>
    <col min="2311" max="2311" width="12.140625" customWidth="1"/>
    <col min="2312" max="2312" width="13.140625" customWidth="1"/>
    <col min="2313" max="2313" width="11.85546875" customWidth="1"/>
    <col min="2314" max="2314" width="13.5703125" customWidth="1"/>
    <col min="2315" max="2315" width="10.28515625" customWidth="1"/>
    <col min="2316" max="2316" width="10.42578125" customWidth="1"/>
    <col min="2317" max="2318" width="10.85546875" customWidth="1"/>
    <col min="2319" max="2319" width="12.5703125" customWidth="1"/>
    <col min="2320" max="2320" width="13.7109375" customWidth="1"/>
    <col min="2321" max="2321" width="13.5703125" customWidth="1"/>
    <col min="2322" max="2322" width="11" customWidth="1"/>
    <col min="2323" max="2324" width="9.42578125" customWidth="1"/>
    <col min="2325" max="2325" width="12.28515625" customWidth="1"/>
    <col min="2326" max="2326" width="12.5703125" customWidth="1"/>
    <col min="2327" max="2327" width="12" customWidth="1"/>
    <col min="2328" max="2328" width="13.85546875" customWidth="1"/>
    <col min="2329" max="2329" width="11.85546875" customWidth="1"/>
    <col min="2330" max="2331" width="0" hidden="1" customWidth="1"/>
    <col min="2332" max="2332" width="14" customWidth="1"/>
    <col min="2333" max="2333" width="0" hidden="1" customWidth="1"/>
    <col min="2334" max="2334" width="7.42578125" customWidth="1"/>
    <col min="2335" max="2335" width="8.28515625" customWidth="1"/>
    <col min="2336" max="2336" width="11.42578125" customWidth="1"/>
    <col min="2557" max="2557" width="8.28515625" customWidth="1"/>
    <col min="2558" max="2558" width="42.85546875" customWidth="1"/>
    <col min="2559" max="2559" width="14" customWidth="1"/>
    <col min="2560" max="2560" width="10.85546875" customWidth="1"/>
    <col min="2561" max="2561" width="11.7109375" customWidth="1"/>
    <col min="2562" max="2562" width="12.140625" customWidth="1"/>
    <col min="2563" max="2564" width="12.28515625" customWidth="1"/>
    <col min="2565" max="2565" width="12.140625" customWidth="1"/>
    <col min="2566" max="2566" width="8.7109375" customWidth="1"/>
    <col min="2567" max="2567" width="12.140625" customWidth="1"/>
    <col min="2568" max="2568" width="13.140625" customWidth="1"/>
    <col min="2569" max="2569" width="11.85546875" customWidth="1"/>
    <col min="2570" max="2570" width="13.5703125" customWidth="1"/>
    <col min="2571" max="2571" width="10.28515625" customWidth="1"/>
    <col min="2572" max="2572" width="10.42578125" customWidth="1"/>
    <col min="2573" max="2574" width="10.85546875" customWidth="1"/>
    <col min="2575" max="2575" width="12.5703125" customWidth="1"/>
    <col min="2576" max="2576" width="13.7109375" customWidth="1"/>
    <col min="2577" max="2577" width="13.5703125" customWidth="1"/>
    <col min="2578" max="2578" width="11" customWidth="1"/>
    <col min="2579" max="2580" width="9.42578125" customWidth="1"/>
    <col min="2581" max="2581" width="12.28515625" customWidth="1"/>
    <col min="2582" max="2582" width="12.5703125" customWidth="1"/>
    <col min="2583" max="2583" width="12" customWidth="1"/>
    <col min="2584" max="2584" width="13.85546875" customWidth="1"/>
    <col min="2585" max="2585" width="11.85546875" customWidth="1"/>
    <col min="2586" max="2587" width="0" hidden="1" customWidth="1"/>
    <col min="2588" max="2588" width="14" customWidth="1"/>
    <col min="2589" max="2589" width="0" hidden="1" customWidth="1"/>
    <col min="2590" max="2590" width="7.42578125" customWidth="1"/>
    <col min="2591" max="2591" width="8.28515625" customWidth="1"/>
    <col min="2592" max="2592" width="11.42578125" customWidth="1"/>
    <col min="2813" max="2813" width="8.28515625" customWidth="1"/>
    <col min="2814" max="2814" width="42.85546875" customWidth="1"/>
    <col min="2815" max="2815" width="14" customWidth="1"/>
    <col min="2816" max="2816" width="10.85546875" customWidth="1"/>
    <col min="2817" max="2817" width="11.7109375" customWidth="1"/>
    <col min="2818" max="2818" width="12.140625" customWidth="1"/>
    <col min="2819" max="2820" width="12.28515625" customWidth="1"/>
    <col min="2821" max="2821" width="12.140625" customWidth="1"/>
    <col min="2822" max="2822" width="8.7109375" customWidth="1"/>
    <col min="2823" max="2823" width="12.140625" customWidth="1"/>
    <col min="2824" max="2824" width="13.140625" customWidth="1"/>
    <col min="2825" max="2825" width="11.85546875" customWidth="1"/>
    <col min="2826" max="2826" width="13.5703125" customWidth="1"/>
    <col min="2827" max="2827" width="10.28515625" customWidth="1"/>
    <col min="2828" max="2828" width="10.42578125" customWidth="1"/>
    <col min="2829" max="2830" width="10.85546875" customWidth="1"/>
    <col min="2831" max="2831" width="12.5703125" customWidth="1"/>
    <col min="2832" max="2832" width="13.7109375" customWidth="1"/>
    <col min="2833" max="2833" width="13.5703125" customWidth="1"/>
    <col min="2834" max="2834" width="11" customWidth="1"/>
    <col min="2835" max="2836" width="9.42578125" customWidth="1"/>
    <col min="2837" max="2837" width="12.28515625" customWidth="1"/>
    <col min="2838" max="2838" width="12.5703125" customWidth="1"/>
    <col min="2839" max="2839" width="12" customWidth="1"/>
    <col min="2840" max="2840" width="13.85546875" customWidth="1"/>
    <col min="2841" max="2841" width="11.85546875" customWidth="1"/>
    <col min="2842" max="2843" width="0" hidden="1" customWidth="1"/>
    <col min="2844" max="2844" width="14" customWidth="1"/>
    <col min="2845" max="2845" width="0" hidden="1" customWidth="1"/>
    <col min="2846" max="2846" width="7.42578125" customWidth="1"/>
    <col min="2847" max="2847" width="8.28515625" customWidth="1"/>
    <col min="2848" max="2848" width="11.42578125" customWidth="1"/>
    <col min="3069" max="3069" width="8.28515625" customWidth="1"/>
    <col min="3070" max="3070" width="42.85546875" customWidth="1"/>
    <col min="3071" max="3071" width="14" customWidth="1"/>
    <col min="3072" max="3072" width="10.85546875" customWidth="1"/>
    <col min="3073" max="3073" width="11.7109375" customWidth="1"/>
    <col min="3074" max="3074" width="12.140625" customWidth="1"/>
    <col min="3075" max="3076" width="12.28515625" customWidth="1"/>
    <col min="3077" max="3077" width="12.140625" customWidth="1"/>
    <col min="3078" max="3078" width="8.7109375" customWidth="1"/>
    <col min="3079" max="3079" width="12.140625" customWidth="1"/>
    <col min="3080" max="3080" width="13.140625" customWidth="1"/>
    <col min="3081" max="3081" width="11.85546875" customWidth="1"/>
    <col min="3082" max="3082" width="13.5703125" customWidth="1"/>
    <col min="3083" max="3083" width="10.28515625" customWidth="1"/>
    <col min="3084" max="3084" width="10.42578125" customWidth="1"/>
    <col min="3085" max="3086" width="10.85546875" customWidth="1"/>
    <col min="3087" max="3087" width="12.5703125" customWidth="1"/>
    <col min="3088" max="3088" width="13.7109375" customWidth="1"/>
    <col min="3089" max="3089" width="13.5703125" customWidth="1"/>
    <col min="3090" max="3090" width="11" customWidth="1"/>
    <col min="3091" max="3092" width="9.42578125" customWidth="1"/>
    <col min="3093" max="3093" width="12.28515625" customWidth="1"/>
    <col min="3094" max="3094" width="12.5703125" customWidth="1"/>
    <col min="3095" max="3095" width="12" customWidth="1"/>
    <col min="3096" max="3096" width="13.85546875" customWidth="1"/>
    <col min="3097" max="3097" width="11.85546875" customWidth="1"/>
    <col min="3098" max="3099" width="0" hidden="1" customWidth="1"/>
    <col min="3100" max="3100" width="14" customWidth="1"/>
    <col min="3101" max="3101" width="0" hidden="1" customWidth="1"/>
    <col min="3102" max="3102" width="7.42578125" customWidth="1"/>
    <col min="3103" max="3103" width="8.28515625" customWidth="1"/>
    <col min="3104" max="3104" width="11.42578125" customWidth="1"/>
    <col min="3325" max="3325" width="8.28515625" customWidth="1"/>
    <col min="3326" max="3326" width="42.85546875" customWidth="1"/>
    <col min="3327" max="3327" width="14" customWidth="1"/>
    <col min="3328" max="3328" width="10.85546875" customWidth="1"/>
    <col min="3329" max="3329" width="11.7109375" customWidth="1"/>
    <col min="3330" max="3330" width="12.140625" customWidth="1"/>
    <col min="3331" max="3332" width="12.28515625" customWidth="1"/>
    <col min="3333" max="3333" width="12.140625" customWidth="1"/>
    <col min="3334" max="3334" width="8.7109375" customWidth="1"/>
    <col min="3335" max="3335" width="12.140625" customWidth="1"/>
    <col min="3336" max="3336" width="13.140625" customWidth="1"/>
    <col min="3337" max="3337" width="11.85546875" customWidth="1"/>
    <col min="3338" max="3338" width="13.5703125" customWidth="1"/>
    <col min="3339" max="3339" width="10.28515625" customWidth="1"/>
    <col min="3340" max="3340" width="10.42578125" customWidth="1"/>
    <col min="3341" max="3342" width="10.85546875" customWidth="1"/>
    <col min="3343" max="3343" width="12.5703125" customWidth="1"/>
    <col min="3344" max="3344" width="13.7109375" customWidth="1"/>
    <col min="3345" max="3345" width="13.5703125" customWidth="1"/>
    <col min="3346" max="3346" width="11" customWidth="1"/>
    <col min="3347" max="3348" width="9.42578125" customWidth="1"/>
    <col min="3349" max="3349" width="12.28515625" customWidth="1"/>
    <col min="3350" max="3350" width="12.5703125" customWidth="1"/>
    <col min="3351" max="3351" width="12" customWidth="1"/>
    <col min="3352" max="3352" width="13.85546875" customWidth="1"/>
    <col min="3353" max="3353" width="11.85546875" customWidth="1"/>
    <col min="3354" max="3355" width="0" hidden="1" customWidth="1"/>
    <col min="3356" max="3356" width="14" customWidth="1"/>
    <col min="3357" max="3357" width="0" hidden="1" customWidth="1"/>
    <col min="3358" max="3358" width="7.42578125" customWidth="1"/>
    <col min="3359" max="3359" width="8.28515625" customWidth="1"/>
    <col min="3360" max="3360" width="11.42578125" customWidth="1"/>
    <col min="3581" max="3581" width="8.28515625" customWidth="1"/>
    <col min="3582" max="3582" width="42.85546875" customWidth="1"/>
    <col min="3583" max="3583" width="14" customWidth="1"/>
    <col min="3584" max="3584" width="10.85546875" customWidth="1"/>
    <col min="3585" max="3585" width="11.7109375" customWidth="1"/>
    <col min="3586" max="3586" width="12.140625" customWidth="1"/>
    <col min="3587" max="3588" width="12.28515625" customWidth="1"/>
    <col min="3589" max="3589" width="12.140625" customWidth="1"/>
    <col min="3590" max="3590" width="8.7109375" customWidth="1"/>
    <col min="3591" max="3591" width="12.140625" customWidth="1"/>
    <col min="3592" max="3592" width="13.140625" customWidth="1"/>
    <col min="3593" max="3593" width="11.85546875" customWidth="1"/>
    <col min="3594" max="3594" width="13.5703125" customWidth="1"/>
    <col min="3595" max="3595" width="10.28515625" customWidth="1"/>
    <col min="3596" max="3596" width="10.42578125" customWidth="1"/>
    <col min="3597" max="3598" width="10.85546875" customWidth="1"/>
    <col min="3599" max="3599" width="12.5703125" customWidth="1"/>
    <col min="3600" max="3600" width="13.7109375" customWidth="1"/>
    <col min="3601" max="3601" width="13.5703125" customWidth="1"/>
    <col min="3602" max="3602" width="11" customWidth="1"/>
    <col min="3603" max="3604" width="9.42578125" customWidth="1"/>
    <col min="3605" max="3605" width="12.28515625" customWidth="1"/>
    <col min="3606" max="3606" width="12.5703125" customWidth="1"/>
    <col min="3607" max="3607" width="12" customWidth="1"/>
    <col min="3608" max="3608" width="13.85546875" customWidth="1"/>
    <col min="3609" max="3609" width="11.85546875" customWidth="1"/>
    <col min="3610" max="3611" width="0" hidden="1" customWidth="1"/>
    <col min="3612" max="3612" width="14" customWidth="1"/>
    <col min="3613" max="3613" width="0" hidden="1" customWidth="1"/>
    <col min="3614" max="3614" width="7.42578125" customWidth="1"/>
    <col min="3615" max="3615" width="8.28515625" customWidth="1"/>
    <col min="3616" max="3616" width="11.42578125" customWidth="1"/>
    <col min="3837" max="3837" width="8.28515625" customWidth="1"/>
    <col min="3838" max="3838" width="42.85546875" customWidth="1"/>
    <col min="3839" max="3839" width="14" customWidth="1"/>
    <col min="3840" max="3840" width="10.85546875" customWidth="1"/>
    <col min="3841" max="3841" width="11.7109375" customWidth="1"/>
    <col min="3842" max="3842" width="12.140625" customWidth="1"/>
    <col min="3843" max="3844" width="12.28515625" customWidth="1"/>
    <col min="3845" max="3845" width="12.140625" customWidth="1"/>
    <col min="3846" max="3846" width="8.7109375" customWidth="1"/>
    <col min="3847" max="3847" width="12.140625" customWidth="1"/>
    <col min="3848" max="3848" width="13.140625" customWidth="1"/>
    <col min="3849" max="3849" width="11.85546875" customWidth="1"/>
    <col min="3850" max="3850" width="13.5703125" customWidth="1"/>
    <col min="3851" max="3851" width="10.28515625" customWidth="1"/>
    <col min="3852" max="3852" width="10.42578125" customWidth="1"/>
    <col min="3853" max="3854" width="10.85546875" customWidth="1"/>
    <col min="3855" max="3855" width="12.5703125" customWidth="1"/>
    <col min="3856" max="3856" width="13.7109375" customWidth="1"/>
    <col min="3857" max="3857" width="13.5703125" customWidth="1"/>
    <col min="3858" max="3858" width="11" customWidth="1"/>
    <col min="3859" max="3860" width="9.42578125" customWidth="1"/>
    <col min="3861" max="3861" width="12.28515625" customWidth="1"/>
    <col min="3862" max="3862" width="12.5703125" customWidth="1"/>
    <col min="3863" max="3863" width="12" customWidth="1"/>
    <col min="3864" max="3864" width="13.85546875" customWidth="1"/>
    <col min="3865" max="3865" width="11.85546875" customWidth="1"/>
    <col min="3866" max="3867" width="0" hidden="1" customWidth="1"/>
    <col min="3868" max="3868" width="14" customWidth="1"/>
    <col min="3869" max="3869" width="0" hidden="1" customWidth="1"/>
    <col min="3870" max="3870" width="7.42578125" customWidth="1"/>
    <col min="3871" max="3871" width="8.28515625" customWidth="1"/>
    <col min="3872" max="3872" width="11.42578125" customWidth="1"/>
    <col min="4093" max="4093" width="8.28515625" customWidth="1"/>
    <col min="4094" max="4094" width="42.85546875" customWidth="1"/>
    <col min="4095" max="4095" width="14" customWidth="1"/>
    <col min="4096" max="4096" width="10.85546875" customWidth="1"/>
    <col min="4097" max="4097" width="11.7109375" customWidth="1"/>
    <col min="4098" max="4098" width="12.140625" customWidth="1"/>
    <col min="4099" max="4100" width="12.28515625" customWidth="1"/>
    <col min="4101" max="4101" width="12.140625" customWidth="1"/>
    <col min="4102" max="4102" width="8.7109375" customWidth="1"/>
    <col min="4103" max="4103" width="12.140625" customWidth="1"/>
    <col min="4104" max="4104" width="13.140625" customWidth="1"/>
    <col min="4105" max="4105" width="11.85546875" customWidth="1"/>
    <col min="4106" max="4106" width="13.5703125" customWidth="1"/>
    <col min="4107" max="4107" width="10.28515625" customWidth="1"/>
    <col min="4108" max="4108" width="10.42578125" customWidth="1"/>
    <col min="4109" max="4110" width="10.85546875" customWidth="1"/>
    <col min="4111" max="4111" width="12.5703125" customWidth="1"/>
    <col min="4112" max="4112" width="13.7109375" customWidth="1"/>
    <col min="4113" max="4113" width="13.5703125" customWidth="1"/>
    <col min="4114" max="4114" width="11" customWidth="1"/>
    <col min="4115" max="4116" width="9.42578125" customWidth="1"/>
    <col min="4117" max="4117" width="12.28515625" customWidth="1"/>
    <col min="4118" max="4118" width="12.5703125" customWidth="1"/>
    <col min="4119" max="4119" width="12" customWidth="1"/>
    <col min="4120" max="4120" width="13.85546875" customWidth="1"/>
    <col min="4121" max="4121" width="11.85546875" customWidth="1"/>
    <col min="4122" max="4123" width="0" hidden="1" customWidth="1"/>
    <col min="4124" max="4124" width="14" customWidth="1"/>
    <col min="4125" max="4125" width="0" hidden="1" customWidth="1"/>
    <col min="4126" max="4126" width="7.42578125" customWidth="1"/>
    <col min="4127" max="4127" width="8.28515625" customWidth="1"/>
    <col min="4128" max="4128" width="11.42578125" customWidth="1"/>
    <col min="4349" max="4349" width="8.28515625" customWidth="1"/>
    <col min="4350" max="4350" width="42.85546875" customWidth="1"/>
    <col min="4351" max="4351" width="14" customWidth="1"/>
    <col min="4352" max="4352" width="10.85546875" customWidth="1"/>
    <col min="4353" max="4353" width="11.7109375" customWidth="1"/>
    <col min="4354" max="4354" width="12.140625" customWidth="1"/>
    <col min="4355" max="4356" width="12.28515625" customWidth="1"/>
    <col min="4357" max="4357" width="12.140625" customWidth="1"/>
    <col min="4358" max="4358" width="8.7109375" customWidth="1"/>
    <col min="4359" max="4359" width="12.140625" customWidth="1"/>
    <col min="4360" max="4360" width="13.140625" customWidth="1"/>
    <col min="4361" max="4361" width="11.85546875" customWidth="1"/>
    <col min="4362" max="4362" width="13.5703125" customWidth="1"/>
    <col min="4363" max="4363" width="10.28515625" customWidth="1"/>
    <col min="4364" max="4364" width="10.42578125" customWidth="1"/>
    <col min="4365" max="4366" width="10.85546875" customWidth="1"/>
    <col min="4367" max="4367" width="12.5703125" customWidth="1"/>
    <col min="4368" max="4368" width="13.7109375" customWidth="1"/>
    <col min="4369" max="4369" width="13.5703125" customWidth="1"/>
    <col min="4370" max="4370" width="11" customWidth="1"/>
    <col min="4371" max="4372" width="9.42578125" customWidth="1"/>
    <col min="4373" max="4373" width="12.28515625" customWidth="1"/>
    <col min="4374" max="4374" width="12.5703125" customWidth="1"/>
    <col min="4375" max="4375" width="12" customWidth="1"/>
    <col min="4376" max="4376" width="13.85546875" customWidth="1"/>
    <col min="4377" max="4377" width="11.85546875" customWidth="1"/>
    <col min="4378" max="4379" width="0" hidden="1" customWidth="1"/>
    <col min="4380" max="4380" width="14" customWidth="1"/>
    <col min="4381" max="4381" width="0" hidden="1" customWidth="1"/>
    <col min="4382" max="4382" width="7.42578125" customWidth="1"/>
    <col min="4383" max="4383" width="8.28515625" customWidth="1"/>
    <col min="4384" max="4384" width="11.42578125" customWidth="1"/>
    <col min="4605" max="4605" width="8.28515625" customWidth="1"/>
    <col min="4606" max="4606" width="42.85546875" customWidth="1"/>
    <col min="4607" max="4607" width="14" customWidth="1"/>
    <col min="4608" max="4608" width="10.85546875" customWidth="1"/>
    <col min="4609" max="4609" width="11.7109375" customWidth="1"/>
    <col min="4610" max="4610" width="12.140625" customWidth="1"/>
    <col min="4611" max="4612" width="12.28515625" customWidth="1"/>
    <col min="4613" max="4613" width="12.140625" customWidth="1"/>
    <col min="4614" max="4614" width="8.7109375" customWidth="1"/>
    <col min="4615" max="4615" width="12.140625" customWidth="1"/>
    <col min="4616" max="4616" width="13.140625" customWidth="1"/>
    <col min="4617" max="4617" width="11.85546875" customWidth="1"/>
    <col min="4618" max="4618" width="13.5703125" customWidth="1"/>
    <col min="4619" max="4619" width="10.28515625" customWidth="1"/>
    <col min="4620" max="4620" width="10.42578125" customWidth="1"/>
    <col min="4621" max="4622" width="10.85546875" customWidth="1"/>
    <col min="4623" max="4623" width="12.5703125" customWidth="1"/>
    <col min="4624" max="4624" width="13.7109375" customWidth="1"/>
    <col min="4625" max="4625" width="13.5703125" customWidth="1"/>
    <col min="4626" max="4626" width="11" customWidth="1"/>
    <col min="4627" max="4628" width="9.42578125" customWidth="1"/>
    <col min="4629" max="4629" width="12.28515625" customWidth="1"/>
    <col min="4630" max="4630" width="12.5703125" customWidth="1"/>
    <col min="4631" max="4631" width="12" customWidth="1"/>
    <col min="4632" max="4632" width="13.85546875" customWidth="1"/>
    <col min="4633" max="4633" width="11.85546875" customWidth="1"/>
    <col min="4634" max="4635" width="0" hidden="1" customWidth="1"/>
    <col min="4636" max="4636" width="14" customWidth="1"/>
    <col min="4637" max="4637" width="0" hidden="1" customWidth="1"/>
    <col min="4638" max="4638" width="7.42578125" customWidth="1"/>
    <col min="4639" max="4639" width="8.28515625" customWidth="1"/>
    <col min="4640" max="4640" width="11.42578125" customWidth="1"/>
    <col min="4861" max="4861" width="8.28515625" customWidth="1"/>
    <col min="4862" max="4862" width="42.85546875" customWidth="1"/>
    <col min="4863" max="4863" width="14" customWidth="1"/>
    <col min="4864" max="4864" width="10.85546875" customWidth="1"/>
    <col min="4865" max="4865" width="11.7109375" customWidth="1"/>
    <col min="4866" max="4866" width="12.140625" customWidth="1"/>
    <col min="4867" max="4868" width="12.28515625" customWidth="1"/>
    <col min="4869" max="4869" width="12.140625" customWidth="1"/>
    <col min="4870" max="4870" width="8.7109375" customWidth="1"/>
    <col min="4871" max="4871" width="12.140625" customWidth="1"/>
    <col min="4872" max="4872" width="13.140625" customWidth="1"/>
    <col min="4873" max="4873" width="11.85546875" customWidth="1"/>
    <col min="4874" max="4874" width="13.5703125" customWidth="1"/>
    <col min="4875" max="4875" width="10.28515625" customWidth="1"/>
    <col min="4876" max="4876" width="10.42578125" customWidth="1"/>
    <col min="4877" max="4878" width="10.85546875" customWidth="1"/>
    <col min="4879" max="4879" width="12.5703125" customWidth="1"/>
    <col min="4880" max="4880" width="13.7109375" customWidth="1"/>
    <col min="4881" max="4881" width="13.5703125" customWidth="1"/>
    <col min="4882" max="4882" width="11" customWidth="1"/>
    <col min="4883" max="4884" width="9.42578125" customWidth="1"/>
    <col min="4885" max="4885" width="12.28515625" customWidth="1"/>
    <col min="4886" max="4886" width="12.5703125" customWidth="1"/>
    <col min="4887" max="4887" width="12" customWidth="1"/>
    <col min="4888" max="4888" width="13.85546875" customWidth="1"/>
    <col min="4889" max="4889" width="11.85546875" customWidth="1"/>
    <col min="4890" max="4891" width="0" hidden="1" customWidth="1"/>
    <col min="4892" max="4892" width="14" customWidth="1"/>
    <col min="4893" max="4893" width="0" hidden="1" customWidth="1"/>
    <col min="4894" max="4894" width="7.42578125" customWidth="1"/>
    <col min="4895" max="4895" width="8.28515625" customWidth="1"/>
    <col min="4896" max="4896" width="11.42578125" customWidth="1"/>
    <col min="5117" max="5117" width="8.28515625" customWidth="1"/>
    <col min="5118" max="5118" width="42.85546875" customWidth="1"/>
    <col min="5119" max="5119" width="14" customWidth="1"/>
    <col min="5120" max="5120" width="10.85546875" customWidth="1"/>
    <col min="5121" max="5121" width="11.7109375" customWidth="1"/>
    <col min="5122" max="5122" width="12.140625" customWidth="1"/>
    <col min="5123" max="5124" width="12.28515625" customWidth="1"/>
    <col min="5125" max="5125" width="12.140625" customWidth="1"/>
    <col min="5126" max="5126" width="8.7109375" customWidth="1"/>
    <col min="5127" max="5127" width="12.140625" customWidth="1"/>
    <col min="5128" max="5128" width="13.140625" customWidth="1"/>
    <col min="5129" max="5129" width="11.85546875" customWidth="1"/>
    <col min="5130" max="5130" width="13.5703125" customWidth="1"/>
    <col min="5131" max="5131" width="10.28515625" customWidth="1"/>
    <col min="5132" max="5132" width="10.42578125" customWidth="1"/>
    <col min="5133" max="5134" width="10.85546875" customWidth="1"/>
    <col min="5135" max="5135" width="12.5703125" customWidth="1"/>
    <col min="5136" max="5136" width="13.7109375" customWidth="1"/>
    <col min="5137" max="5137" width="13.5703125" customWidth="1"/>
    <col min="5138" max="5138" width="11" customWidth="1"/>
    <col min="5139" max="5140" width="9.42578125" customWidth="1"/>
    <col min="5141" max="5141" width="12.28515625" customWidth="1"/>
    <col min="5142" max="5142" width="12.5703125" customWidth="1"/>
    <col min="5143" max="5143" width="12" customWidth="1"/>
    <col min="5144" max="5144" width="13.85546875" customWidth="1"/>
    <col min="5145" max="5145" width="11.85546875" customWidth="1"/>
    <col min="5146" max="5147" width="0" hidden="1" customWidth="1"/>
    <col min="5148" max="5148" width="14" customWidth="1"/>
    <col min="5149" max="5149" width="0" hidden="1" customWidth="1"/>
    <col min="5150" max="5150" width="7.42578125" customWidth="1"/>
    <col min="5151" max="5151" width="8.28515625" customWidth="1"/>
    <col min="5152" max="5152" width="11.42578125" customWidth="1"/>
    <col min="5373" max="5373" width="8.28515625" customWidth="1"/>
    <col min="5374" max="5374" width="42.85546875" customWidth="1"/>
    <col min="5375" max="5375" width="14" customWidth="1"/>
    <col min="5376" max="5376" width="10.85546875" customWidth="1"/>
    <col min="5377" max="5377" width="11.7109375" customWidth="1"/>
    <col min="5378" max="5378" width="12.140625" customWidth="1"/>
    <col min="5379" max="5380" width="12.28515625" customWidth="1"/>
    <col min="5381" max="5381" width="12.140625" customWidth="1"/>
    <col min="5382" max="5382" width="8.7109375" customWidth="1"/>
    <col min="5383" max="5383" width="12.140625" customWidth="1"/>
    <col min="5384" max="5384" width="13.140625" customWidth="1"/>
    <col min="5385" max="5385" width="11.85546875" customWidth="1"/>
    <col min="5386" max="5386" width="13.5703125" customWidth="1"/>
    <col min="5387" max="5387" width="10.28515625" customWidth="1"/>
    <col min="5388" max="5388" width="10.42578125" customWidth="1"/>
    <col min="5389" max="5390" width="10.85546875" customWidth="1"/>
    <col min="5391" max="5391" width="12.5703125" customWidth="1"/>
    <col min="5392" max="5392" width="13.7109375" customWidth="1"/>
    <col min="5393" max="5393" width="13.5703125" customWidth="1"/>
    <col min="5394" max="5394" width="11" customWidth="1"/>
    <col min="5395" max="5396" width="9.42578125" customWidth="1"/>
    <col min="5397" max="5397" width="12.28515625" customWidth="1"/>
    <col min="5398" max="5398" width="12.5703125" customWidth="1"/>
    <col min="5399" max="5399" width="12" customWidth="1"/>
    <col min="5400" max="5400" width="13.85546875" customWidth="1"/>
    <col min="5401" max="5401" width="11.85546875" customWidth="1"/>
    <col min="5402" max="5403" width="0" hidden="1" customWidth="1"/>
    <col min="5404" max="5404" width="14" customWidth="1"/>
    <col min="5405" max="5405" width="0" hidden="1" customWidth="1"/>
    <col min="5406" max="5406" width="7.42578125" customWidth="1"/>
    <col min="5407" max="5407" width="8.28515625" customWidth="1"/>
    <col min="5408" max="5408" width="11.42578125" customWidth="1"/>
    <col min="5629" max="5629" width="8.28515625" customWidth="1"/>
    <col min="5630" max="5630" width="42.85546875" customWidth="1"/>
    <col min="5631" max="5631" width="14" customWidth="1"/>
    <col min="5632" max="5632" width="10.85546875" customWidth="1"/>
    <col min="5633" max="5633" width="11.7109375" customWidth="1"/>
    <col min="5634" max="5634" width="12.140625" customWidth="1"/>
    <col min="5635" max="5636" width="12.28515625" customWidth="1"/>
    <col min="5637" max="5637" width="12.140625" customWidth="1"/>
    <col min="5638" max="5638" width="8.7109375" customWidth="1"/>
    <col min="5639" max="5639" width="12.140625" customWidth="1"/>
    <col min="5640" max="5640" width="13.140625" customWidth="1"/>
    <col min="5641" max="5641" width="11.85546875" customWidth="1"/>
    <col min="5642" max="5642" width="13.5703125" customWidth="1"/>
    <col min="5643" max="5643" width="10.28515625" customWidth="1"/>
    <col min="5644" max="5644" width="10.42578125" customWidth="1"/>
    <col min="5645" max="5646" width="10.85546875" customWidth="1"/>
    <col min="5647" max="5647" width="12.5703125" customWidth="1"/>
    <col min="5648" max="5648" width="13.7109375" customWidth="1"/>
    <col min="5649" max="5649" width="13.5703125" customWidth="1"/>
    <col min="5650" max="5650" width="11" customWidth="1"/>
    <col min="5651" max="5652" width="9.42578125" customWidth="1"/>
    <col min="5653" max="5653" width="12.28515625" customWidth="1"/>
    <col min="5654" max="5654" width="12.5703125" customWidth="1"/>
    <col min="5655" max="5655" width="12" customWidth="1"/>
    <col min="5656" max="5656" width="13.85546875" customWidth="1"/>
    <col min="5657" max="5657" width="11.85546875" customWidth="1"/>
    <col min="5658" max="5659" width="0" hidden="1" customWidth="1"/>
    <col min="5660" max="5660" width="14" customWidth="1"/>
    <col min="5661" max="5661" width="0" hidden="1" customWidth="1"/>
    <col min="5662" max="5662" width="7.42578125" customWidth="1"/>
    <col min="5663" max="5663" width="8.28515625" customWidth="1"/>
    <col min="5664" max="5664" width="11.42578125" customWidth="1"/>
    <col min="5885" max="5885" width="8.28515625" customWidth="1"/>
    <col min="5886" max="5886" width="42.85546875" customWidth="1"/>
    <col min="5887" max="5887" width="14" customWidth="1"/>
    <col min="5888" max="5888" width="10.85546875" customWidth="1"/>
    <col min="5889" max="5889" width="11.7109375" customWidth="1"/>
    <col min="5890" max="5890" width="12.140625" customWidth="1"/>
    <col min="5891" max="5892" width="12.28515625" customWidth="1"/>
    <col min="5893" max="5893" width="12.140625" customWidth="1"/>
    <col min="5894" max="5894" width="8.7109375" customWidth="1"/>
    <col min="5895" max="5895" width="12.140625" customWidth="1"/>
    <col min="5896" max="5896" width="13.140625" customWidth="1"/>
    <col min="5897" max="5897" width="11.85546875" customWidth="1"/>
    <col min="5898" max="5898" width="13.5703125" customWidth="1"/>
    <col min="5899" max="5899" width="10.28515625" customWidth="1"/>
    <col min="5900" max="5900" width="10.42578125" customWidth="1"/>
    <col min="5901" max="5902" width="10.85546875" customWidth="1"/>
    <col min="5903" max="5903" width="12.5703125" customWidth="1"/>
    <col min="5904" max="5904" width="13.7109375" customWidth="1"/>
    <col min="5905" max="5905" width="13.5703125" customWidth="1"/>
    <col min="5906" max="5906" width="11" customWidth="1"/>
    <col min="5907" max="5908" width="9.42578125" customWidth="1"/>
    <col min="5909" max="5909" width="12.28515625" customWidth="1"/>
    <col min="5910" max="5910" width="12.5703125" customWidth="1"/>
    <col min="5911" max="5911" width="12" customWidth="1"/>
    <col min="5912" max="5912" width="13.85546875" customWidth="1"/>
    <col min="5913" max="5913" width="11.85546875" customWidth="1"/>
    <col min="5914" max="5915" width="0" hidden="1" customWidth="1"/>
    <col min="5916" max="5916" width="14" customWidth="1"/>
    <col min="5917" max="5917" width="0" hidden="1" customWidth="1"/>
    <col min="5918" max="5918" width="7.42578125" customWidth="1"/>
    <col min="5919" max="5919" width="8.28515625" customWidth="1"/>
    <col min="5920" max="5920" width="11.42578125" customWidth="1"/>
    <col min="6141" max="6141" width="8.28515625" customWidth="1"/>
    <col min="6142" max="6142" width="42.85546875" customWidth="1"/>
    <col min="6143" max="6143" width="14" customWidth="1"/>
    <col min="6144" max="6144" width="10.85546875" customWidth="1"/>
    <col min="6145" max="6145" width="11.7109375" customWidth="1"/>
    <col min="6146" max="6146" width="12.140625" customWidth="1"/>
    <col min="6147" max="6148" width="12.28515625" customWidth="1"/>
    <col min="6149" max="6149" width="12.140625" customWidth="1"/>
    <col min="6150" max="6150" width="8.7109375" customWidth="1"/>
    <col min="6151" max="6151" width="12.140625" customWidth="1"/>
    <col min="6152" max="6152" width="13.140625" customWidth="1"/>
    <col min="6153" max="6153" width="11.85546875" customWidth="1"/>
    <col min="6154" max="6154" width="13.5703125" customWidth="1"/>
    <col min="6155" max="6155" width="10.28515625" customWidth="1"/>
    <col min="6156" max="6156" width="10.42578125" customWidth="1"/>
    <col min="6157" max="6158" width="10.85546875" customWidth="1"/>
    <col min="6159" max="6159" width="12.5703125" customWidth="1"/>
    <col min="6160" max="6160" width="13.7109375" customWidth="1"/>
    <col min="6161" max="6161" width="13.5703125" customWidth="1"/>
    <col min="6162" max="6162" width="11" customWidth="1"/>
    <col min="6163" max="6164" width="9.42578125" customWidth="1"/>
    <col min="6165" max="6165" width="12.28515625" customWidth="1"/>
    <col min="6166" max="6166" width="12.5703125" customWidth="1"/>
    <col min="6167" max="6167" width="12" customWidth="1"/>
    <col min="6168" max="6168" width="13.85546875" customWidth="1"/>
    <col min="6169" max="6169" width="11.85546875" customWidth="1"/>
    <col min="6170" max="6171" width="0" hidden="1" customWidth="1"/>
    <col min="6172" max="6172" width="14" customWidth="1"/>
    <col min="6173" max="6173" width="0" hidden="1" customWidth="1"/>
    <col min="6174" max="6174" width="7.42578125" customWidth="1"/>
    <col min="6175" max="6175" width="8.28515625" customWidth="1"/>
    <col min="6176" max="6176" width="11.42578125" customWidth="1"/>
    <col min="6397" max="6397" width="8.28515625" customWidth="1"/>
    <col min="6398" max="6398" width="42.85546875" customWidth="1"/>
    <col min="6399" max="6399" width="14" customWidth="1"/>
    <col min="6400" max="6400" width="10.85546875" customWidth="1"/>
    <col min="6401" max="6401" width="11.7109375" customWidth="1"/>
    <col min="6402" max="6402" width="12.140625" customWidth="1"/>
    <col min="6403" max="6404" width="12.28515625" customWidth="1"/>
    <col min="6405" max="6405" width="12.140625" customWidth="1"/>
    <col min="6406" max="6406" width="8.7109375" customWidth="1"/>
    <col min="6407" max="6407" width="12.140625" customWidth="1"/>
    <col min="6408" max="6408" width="13.140625" customWidth="1"/>
    <col min="6409" max="6409" width="11.85546875" customWidth="1"/>
    <col min="6410" max="6410" width="13.5703125" customWidth="1"/>
    <col min="6411" max="6411" width="10.28515625" customWidth="1"/>
    <col min="6412" max="6412" width="10.42578125" customWidth="1"/>
    <col min="6413" max="6414" width="10.85546875" customWidth="1"/>
    <col min="6415" max="6415" width="12.5703125" customWidth="1"/>
    <col min="6416" max="6416" width="13.7109375" customWidth="1"/>
    <col min="6417" max="6417" width="13.5703125" customWidth="1"/>
    <col min="6418" max="6418" width="11" customWidth="1"/>
    <col min="6419" max="6420" width="9.42578125" customWidth="1"/>
    <col min="6421" max="6421" width="12.28515625" customWidth="1"/>
    <col min="6422" max="6422" width="12.5703125" customWidth="1"/>
    <col min="6423" max="6423" width="12" customWidth="1"/>
    <col min="6424" max="6424" width="13.85546875" customWidth="1"/>
    <col min="6425" max="6425" width="11.85546875" customWidth="1"/>
    <col min="6426" max="6427" width="0" hidden="1" customWidth="1"/>
    <col min="6428" max="6428" width="14" customWidth="1"/>
    <col min="6429" max="6429" width="0" hidden="1" customWidth="1"/>
    <col min="6430" max="6430" width="7.42578125" customWidth="1"/>
    <col min="6431" max="6431" width="8.28515625" customWidth="1"/>
    <col min="6432" max="6432" width="11.42578125" customWidth="1"/>
    <col min="6653" max="6653" width="8.28515625" customWidth="1"/>
    <col min="6654" max="6654" width="42.85546875" customWidth="1"/>
    <col min="6655" max="6655" width="14" customWidth="1"/>
    <col min="6656" max="6656" width="10.85546875" customWidth="1"/>
    <col min="6657" max="6657" width="11.7109375" customWidth="1"/>
    <col min="6658" max="6658" width="12.140625" customWidth="1"/>
    <col min="6659" max="6660" width="12.28515625" customWidth="1"/>
    <col min="6661" max="6661" width="12.140625" customWidth="1"/>
    <col min="6662" max="6662" width="8.7109375" customWidth="1"/>
    <col min="6663" max="6663" width="12.140625" customWidth="1"/>
    <col min="6664" max="6664" width="13.140625" customWidth="1"/>
    <col min="6665" max="6665" width="11.85546875" customWidth="1"/>
    <col min="6666" max="6666" width="13.5703125" customWidth="1"/>
    <col min="6667" max="6667" width="10.28515625" customWidth="1"/>
    <col min="6668" max="6668" width="10.42578125" customWidth="1"/>
    <col min="6669" max="6670" width="10.85546875" customWidth="1"/>
    <col min="6671" max="6671" width="12.5703125" customWidth="1"/>
    <col min="6672" max="6672" width="13.7109375" customWidth="1"/>
    <col min="6673" max="6673" width="13.5703125" customWidth="1"/>
    <col min="6674" max="6674" width="11" customWidth="1"/>
    <col min="6675" max="6676" width="9.42578125" customWidth="1"/>
    <col min="6677" max="6677" width="12.28515625" customWidth="1"/>
    <col min="6678" max="6678" width="12.5703125" customWidth="1"/>
    <col min="6679" max="6679" width="12" customWidth="1"/>
    <col min="6680" max="6680" width="13.85546875" customWidth="1"/>
    <col min="6681" max="6681" width="11.85546875" customWidth="1"/>
    <col min="6682" max="6683" width="0" hidden="1" customWidth="1"/>
    <col min="6684" max="6684" width="14" customWidth="1"/>
    <col min="6685" max="6685" width="0" hidden="1" customWidth="1"/>
    <col min="6686" max="6686" width="7.42578125" customWidth="1"/>
    <col min="6687" max="6687" width="8.28515625" customWidth="1"/>
    <col min="6688" max="6688" width="11.42578125" customWidth="1"/>
    <col min="6909" max="6909" width="8.28515625" customWidth="1"/>
    <col min="6910" max="6910" width="42.85546875" customWidth="1"/>
    <col min="6911" max="6911" width="14" customWidth="1"/>
    <col min="6912" max="6912" width="10.85546875" customWidth="1"/>
    <col min="6913" max="6913" width="11.7109375" customWidth="1"/>
    <col min="6914" max="6914" width="12.140625" customWidth="1"/>
    <col min="6915" max="6916" width="12.28515625" customWidth="1"/>
    <col min="6917" max="6917" width="12.140625" customWidth="1"/>
    <col min="6918" max="6918" width="8.7109375" customWidth="1"/>
    <col min="6919" max="6919" width="12.140625" customWidth="1"/>
    <col min="6920" max="6920" width="13.140625" customWidth="1"/>
    <col min="6921" max="6921" width="11.85546875" customWidth="1"/>
    <col min="6922" max="6922" width="13.5703125" customWidth="1"/>
    <col min="6923" max="6923" width="10.28515625" customWidth="1"/>
    <col min="6924" max="6924" width="10.42578125" customWidth="1"/>
    <col min="6925" max="6926" width="10.85546875" customWidth="1"/>
    <col min="6927" max="6927" width="12.5703125" customWidth="1"/>
    <col min="6928" max="6928" width="13.7109375" customWidth="1"/>
    <col min="6929" max="6929" width="13.5703125" customWidth="1"/>
    <col min="6930" max="6930" width="11" customWidth="1"/>
    <col min="6931" max="6932" width="9.42578125" customWidth="1"/>
    <col min="6933" max="6933" width="12.28515625" customWidth="1"/>
    <col min="6934" max="6934" width="12.5703125" customWidth="1"/>
    <col min="6935" max="6935" width="12" customWidth="1"/>
    <col min="6936" max="6936" width="13.85546875" customWidth="1"/>
    <col min="6937" max="6937" width="11.85546875" customWidth="1"/>
    <col min="6938" max="6939" width="0" hidden="1" customWidth="1"/>
    <col min="6940" max="6940" width="14" customWidth="1"/>
    <col min="6941" max="6941" width="0" hidden="1" customWidth="1"/>
    <col min="6942" max="6942" width="7.42578125" customWidth="1"/>
    <col min="6943" max="6943" width="8.28515625" customWidth="1"/>
    <col min="6944" max="6944" width="11.42578125" customWidth="1"/>
    <col min="7165" max="7165" width="8.28515625" customWidth="1"/>
    <col min="7166" max="7166" width="42.85546875" customWidth="1"/>
    <col min="7167" max="7167" width="14" customWidth="1"/>
    <col min="7168" max="7168" width="10.85546875" customWidth="1"/>
    <col min="7169" max="7169" width="11.7109375" customWidth="1"/>
    <col min="7170" max="7170" width="12.140625" customWidth="1"/>
    <col min="7171" max="7172" width="12.28515625" customWidth="1"/>
    <col min="7173" max="7173" width="12.140625" customWidth="1"/>
    <col min="7174" max="7174" width="8.7109375" customWidth="1"/>
    <col min="7175" max="7175" width="12.140625" customWidth="1"/>
    <col min="7176" max="7176" width="13.140625" customWidth="1"/>
    <col min="7177" max="7177" width="11.85546875" customWidth="1"/>
    <col min="7178" max="7178" width="13.5703125" customWidth="1"/>
    <col min="7179" max="7179" width="10.28515625" customWidth="1"/>
    <col min="7180" max="7180" width="10.42578125" customWidth="1"/>
    <col min="7181" max="7182" width="10.85546875" customWidth="1"/>
    <col min="7183" max="7183" width="12.5703125" customWidth="1"/>
    <col min="7184" max="7184" width="13.7109375" customWidth="1"/>
    <col min="7185" max="7185" width="13.5703125" customWidth="1"/>
    <col min="7186" max="7186" width="11" customWidth="1"/>
    <col min="7187" max="7188" width="9.42578125" customWidth="1"/>
    <col min="7189" max="7189" width="12.28515625" customWidth="1"/>
    <col min="7190" max="7190" width="12.5703125" customWidth="1"/>
    <col min="7191" max="7191" width="12" customWidth="1"/>
    <col min="7192" max="7192" width="13.85546875" customWidth="1"/>
    <col min="7193" max="7193" width="11.85546875" customWidth="1"/>
    <col min="7194" max="7195" width="0" hidden="1" customWidth="1"/>
    <col min="7196" max="7196" width="14" customWidth="1"/>
    <col min="7197" max="7197" width="0" hidden="1" customWidth="1"/>
    <col min="7198" max="7198" width="7.42578125" customWidth="1"/>
    <col min="7199" max="7199" width="8.28515625" customWidth="1"/>
    <col min="7200" max="7200" width="11.42578125" customWidth="1"/>
    <col min="7421" max="7421" width="8.28515625" customWidth="1"/>
    <col min="7422" max="7422" width="42.85546875" customWidth="1"/>
    <col min="7423" max="7423" width="14" customWidth="1"/>
    <col min="7424" max="7424" width="10.85546875" customWidth="1"/>
    <col min="7425" max="7425" width="11.7109375" customWidth="1"/>
    <col min="7426" max="7426" width="12.140625" customWidth="1"/>
    <col min="7427" max="7428" width="12.28515625" customWidth="1"/>
    <col min="7429" max="7429" width="12.140625" customWidth="1"/>
    <col min="7430" max="7430" width="8.7109375" customWidth="1"/>
    <col min="7431" max="7431" width="12.140625" customWidth="1"/>
    <col min="7432" max="7432" width="13.140625" customWidth="1"/>
    <col min="7433" max="7433" width="11.85546875" customWidth="1"/>
    <col min="7434" max="7434" width="13.5703125" customWidth="1"/>
    <col min="7435" max="7435" width="10.28515625" customWidth="1"/>
    <col min="7436" max="7436" width="10.42578125" customWidth="1"/>
    <col min="7437" max="7438" width="10.85546875" customWidth="1"/>
    <col min="7439" max="7439" width="12.5703125" customWidth="1"/>
    <col min="7440" max="7440" width="13.7109375" customWidth="1"/>
    <col min="7441" max="7441" width="13.5703125" customWidth="1"/>
    <col min="7442" max="7442" width="11" customWidth="1"/>
    <col min="7443" max="7444" width="9.42578125" customWidth="1"/>
    <col min="7445" max="7445" width="12.28515625" customWidth="1"/>
    <col min="7446" max="7446" width="12.5703125" customWidth="1"/>
    <col min="7447" max="7447" width="12" customWidth="1"/>
    <col min="7448" max="7448" width="13.85546875" customWidth="1"/>
    <col min="7449" max="7449" width="11.85546875" customWidth="1"/>
    <col min="7450" max="7451" width="0" hidden="1" customWidth="1"/>
    <col min="7452" max="7452" width="14" customWidth="1"/>
    <col min="7453" max="7453" width="0" hidden="1" customWidth="1"/>
    <col min="7454" max="7454" width="7.42578125" customWidth="1"/>
    <col min="7455" max="7455" width="8.28515625" customWidth="1"/>
    <col min="7456" max="7456" width="11.42578125" customWidth="1"/>
    <col min="7677" max="7677" width="8.28515625" customWidth="1"/>
    <col min="7678" max="7678" width="42.85546875" customWidth="1"/>
    <col min="7679" max="7679" width="14" customWidth="1"/>
    <col min="7680" max="7680" width="10.85546875" customWidth="1"/>
    <col min="7681" max="7681" width="11.7109375" customWidth="1"/>
    <col min="7682" max="7682" width="12.140625" customWidth="1"/>
    <col min="7683" max="7684" width="12.28515625" customWidth="1"/>
    <col min="7685" max="7685" width="12.140625" customWidth="1"/>
    <col min="7686" max="7686" width="8.7109375" customWidth="1"/>
    <col min="7687" max="7687" width="12.140625" customWidth="1"/>
    <col min="7688" max="7688" width="13.140625" customWidth="1"/>
    <col min="7689" max="7689" width="11.85546875" customWidth="1"/>
    <col min="7690" max="7690" width="13.5703125" customWidth="1"/>
    <col min="7691" max="7691" width="10.28515625" customWidth="1"/>
    <col min="7692" max="7692" width="10.42578125" customWidth="1"/>
    <col min="7693" max="7694" width="10.85546875" customWidth="1"/>
    <col min="7695" max="7695" width="12.5703125" customWidth="1"/>
    <col min="7696" max="7696" width="13.7109375" customWidth="1"/>
    <col min="7697" max="7697" width="13.5703125" customWidth="1"/>
    <col min="7698" max="7698" width="11" customWidth="1"/>
    <col min="7699" max="7700" width="9.42578125" customWidth="1"/>
    <col min="7701" max="7701" width="12.28515625" customWidth="1"/>
    <col min="7702" max="7702" width="12.5703125" customWidth="1"/>
    <col min="7703" max="7703" width="12" customWidth="1"/>
    <col min="7704" max="7704" width="13.85546875" customWidth="1"/>
    <col min="7705" max="7705" width="11.85546875" customWidth="1"/>
    <col min="7706" max="7707" width="0" hidden="1" customWidth="1"/>
    <col min="7708" max="7708" width="14" customWidth="1"/>
    <col min="7709" max="7709" width="0" hidden="1" customWidth="1"/>
    <col min="7710" max="7710" width="7.42578125" customWidth="1"/>
    <col min="7711" max="7711" width="8.28515625" customWidth="1"/>
    <col min="7712" max="7712" width="11.42578125" customWidth="1"/>
    <col min="7933" max="7933" width="8.28515625" customWidth="1"/>
    <col min="7934" max="7934" width="42.85546875" customWidth="1"/>
    <col min="7935" max="7935" width="14" customWidth="1"/>
    <col min="7936" max="7936" width="10.85546875" customWidth="1"/>
    <col min="7937" max="7937" width="11.7109375" customWidth="1"/>
    <col min="7938" max="7938" width="12.140625" customWidth="1"/>
    <col min="7939" max="7940" width="12.28515625" customWidth="1"/>
    <col min="7941" max="7941" width="12.140625" customWidth="1"/>
    <col min="7942" max="7942" width="8.7109375" customWidth="1"/>
    <col min="7943" max="7943" width="12.140625" customWidth="1"/>
    <col min="7944" max="7944" width="13.140625" customWidth="1"/>
    <col min="7945" max="7945" width="11.85546875" customWidth="1"/>
    <col min="7946" max="7946" width="13.5703125" customWidth="1"/>
    <col min="7947" max="7947" width="10.28515625" customWidth="1"/>
    <col min="7948" max="7948" width="10.42578125" customWidth="1"/>
    <col min="7949" max="7950" width="10.85546875" customWidth="1"/>
    <col min="7951" max="7951" width="12.5703125" customWidth="1"/>
    <col min="7952" max="7952" width="13.7109375" customWidth="1"/>
    <col min="7953" max="7953" width="13.5703125" customWidth="1"/>
    <col min="7954" max="7954" width="11" customWidth="1"/>
    <col min="7955" max="7956" width="9.42578125" customWidth="1"/>
    <col min="7957" max="7957" width="12.28515625" customWidth="1"/>
    <col min="7958" max="7958" width="12.5703125" customWidth="1"/>
    <col min="7959" max="7959" width="12" customWidth="1"/>
    <col min="7960" max="7960" width="13.85546875" customWidth="1"/>
    <col min="7961" max="7961" width="11.85546875" customWidth="1"/>
    <col min="7962" max="7963" width="0" hidden="1" customWidth="1"/>
    <col min="7964" max="7964" width="14" customWidth="1"/>
    <col min="7965" max="7965" width="0" hidden="1" customWidth="1"/>
    <col min="7966" max="7966" width="7.42578125" customWidth="1"/>
    <col min="7967" max="7967" width="8.28515625" customWidth="1"/>
    <col min="7968" max="7968" width="11.42578125" customWidth="1"/>
    <col min="8189" max="8189" width="8.28515625" customWidth="1"/>
    <col min="8190" max="8190" width="42.85546875" customWidth="1"/>
    <col min="8191" max="8191" width="14" customWidth="1"/>
    <col min="8192" max="8192" width="10.85546875" customWidth="1"/>
    <col min="8193" max="8193" width="11.7109375" customWidth="1"/>
    <col min="8194" max="8194" width="12.140625" customWidth="1"/>
    <col min="8195" max="8196" width="12.28515625" customWidth="1"/>
    <col min="8197" max="8197" width="12.140625" customWidth="1"/>
    <col min="8198" max="8198" width="8.7109375" customWidth="1"/>
    <col min="8199" max="8199" width="12.140625" customWidth="1"/>
    <col min="8200" max="8200" width="13.140625" customWidth="1"/>
    <col min="8201" max="8201" width="11.85546875" customWidth="1"/>
    <col min="8202" max="8202" width="13.5703125" customWidth="1"/>
    <col min="8203" max="8203" width="10.28515625" customWidth="1"/>
    <col min="8204" max="8204" width="10.42578125" customWidth="1"/>
    <col min="8205" max="8206" width="10.85546875" customWidth="1"/>
    <col min="8207" max="8207" width="12.5703125" customWidth="1"/>
    <col min="8208" max="8208" width="13.7109375" customWidth="1"/>
    <col min="8209" max="8209" width="13.5703125" customWidth="1"/>
    <col min="8210" max="8210" width="11" customWidth="1"/>
    <col min="8211" max="8212" width="9.42578125" customWidth="1"/>
    <col min="8213" max="8213" width="12.28515625" customWidth="1"/>
    <col min="8214" max="8214" width="12.5703125" customWidth="1"/>
    <col min="8215" max="8215" width="12" customWidth="1"/>
    <col min="8216" max="8216" width="13.85546875" customWidth="1"/>
    <col min="8217" max="8217" width="11.85546875" customWidth="1"/>
    <col min="8218" max="8219" width="0" hidden="1" customWidth="1"/>
    <col min="8220" max="8220" width="14" customWidth="1"/>
    <col min="8221" max="8221" width="0" hidden="1" customWidth="1"/>
    <col min="8222" max="8222" width="7.42578125" customWidth="1"/>
    <col min="8223" max="8223" width="8.28515625" customWidth="1"/>
    <col min="8224" max="8224" width="11.42578125" customWidth="1"/>
    <col min="8445" max="8445" width="8.28515625" customWidth="1"/>
    <col min="8446" max="8446" width="42.85546875" customWidth="1"/>
    <col min="8447" max="8447" width="14" customWidth="1"/>
    <col min="8448" max="8448" width="10.85546875" customWidth="1"/>
    <col min="8449" max="8449" width="11.7109375" customWidth="1"/>
    <col min="8450" max="8450" width="12.140625" customWidth="1"/>
    <col min="8451" max="8452" width="12.28515625" customWidth="1"/>
    <col min="8453" max="8453" width="12.140625" customWidth="1"/>
    <col min="8454" max="8454" width="8.7109375" customWidth="1"/>
    <col min="8455" max="8455" width="12.140625" customWidth="1"/>
    <col min="8456" max="8456" width="13.140625" customWidth="1"/>
    <col min="8457" max="8457" width="11.85546875" customWidth="1"/>
    <col min="8458" max="8458" width="13.5703125" customWidth="1"/>
    <col min="8459" max="8459" width="10.28515625" customWidth="1"/>
    <col min="8460" max="8460" width="10.42578125" customWidth="1"/>
    <col min="8461" max="8462" width="10.85546875" customWidth="1"/>
    <col min="8463" max="8463" width="12.5703125" customWidth="1"/>
    <col min="8464" max="8464" width="13.7109375" customWidth="1"/>
    <col min="8465" max="8465" width="13.5703125" customWidth="1"/>
    <col min="8466" max="8466" width="11" customWidth="1"/>
    <col min="8467" max="8468" width="9.42578125" customWidth="1"/>
    <col min="8469" max="8469" width="12.28515625" customWidth="1"/>
    <col min="8470" max="8470" width="12.5703125" customWidth="1"/>
    <col min="8471" max="8471" width="12" customWidth="1"/>
    <col min="8472" max="8472" width="13.85546875" customWidth="1"/>
    <col min="8473" max="8473" width="11.85546875" customWidth="1"/>
    <col min="8474" max="8475" width="0" hidden="1" customWidth="1"/>
    <col min="8476" max="8476" width="14" customWidth="1"/>
    <col min="8477" max="8477" width="0" hidden="1" customWidth="1"/>
    <col min="8478" max="8478" width="7.42578125" customWidth="1"/>
    <col min="8479" max="8479" width="8.28515625" customWidth="1"/>
    <col min="8480" max="8480" width="11.42578125" customWidth="1"/>
    <col min="8701" max="8701" width="8.28515625" customWidth="1"/>
    <col min="8702" max="8702" width="42.85546875" customWidth="1"/>
    <col min="8703" max="8703" width="14" customWidth="1"/>
    <col min="8704" max="8704" width="10.85546875" customWidth="1"/>
    <col min="8705" max="8705" width="11.7109375" customWidth="1"/>
    <col min="8706" max="8706" width="12.140625" customWidth="1"/>
    <col min="8707" max="8708" width="12.28515625" customWidth="1"/>
    <col min="8709" max="8709" width="12.140625" customWidth="1"/>
    <col min="8710" max="8710" width="8.7109375" customWidth="1"/>
    <col min="8711" max="8711" width="12.140625" customWidth="1"/>
    <col min="8712" max="8712" width="13.140625" customWidth="1"/>
    <col min="8713" max="8713" width="11.85546875" customWidth="1"/>
    <col min="8714" max="8714" width="13.5703125" customWidth="1"/>
    <col min="8715" max="8715" width="10.28515625" customWidth="1"/>
    <col min="8716" max="8716" width="10.42578125" customWidth="1"/>
    <col min="8717" max="8718" width="10.85546875" customWidth="1"/>
    <col min="8719" max="8719" width="12.5703125" customWidth="1"/>
    <col min="8720" max="8720" width="13.7109375" customWidth="1"/>
    <col min="8721" max="8721" width="13.5703125" customWidth="1"/>
    <col min="8722" max="8722" width="11" customWidth="1"/>
    <col min="8723" max="8724" width="9.42578125" customWidth="1"/>
    <col min="8725" max="8725" width="12.28515625" customWidth="1"/>
    <col min="8726" max="8726" width="12.5703125" customWidth="1"/>
    <col min="8727" max="8727" width="12" customWidth="1"/>
    <col min="8728" max="8728" width="13.85546875" customWidth="1"/>
    <col min="8729" max="8729" width="11.85546875" customWidth="1"/>
    <col min="8730" max="8731" width="0" hidden="1" customWidth="1"/>
    <col min="8732" max="8732" width="14" customWidth="1"/>
    <col min="8733" max="8733" width="0" hidden="1" customWidth="1"/>
    <col min="8734" max="8734" width="7.42578125" customWidth="1"/>
    <col min="8735" max="8735" width="8.28515625" customWidth="1"/>
    <col min="8736" max="8736" width="11.42578125" customWidth="1"/>
    <col min="8957" max="8957" width="8.28515625" customWidth="1"/>
    <col min="8958" max="8958" width="42.85546875" customWidth="1"/>
    <col min="8959" max="8959" width="14" customWidth="1"/>
    <col min="8960" max="8960" width="10.85546875" customWidth="1"/>
    <col min="8961" max="8961" width="11.7109375" customWidth="1"/>
    <col min="8962" max="8962" width="12.140625" customWidth="1"/>
    <col min="8963" max="8964" width="12.28515625" customWidth="1"/>
    <col min="8965" max="8965" width="12.140625" customWidth="1"/>
    <col min="8966" max="8966" width="8.7109375" customWidth="1"/>
    <col min="8967" max="8967" width="12.140625" customWidth="1"/>
    <col min="8968" max="8968" width="13.140625" customWidth="1"/>
    <col min="8969" max="8969" width="11.85546875" customWidth="1"/>
    <col min="8970" max="8970" width="13.5703125" customWidth="1"/>
    <col min="8971" max="8971" width="10.28515625" customWidth="1"/>
    <col min="8972" max="8972" width="10.42578125" customWidth="1"/>
    <col min="8973" max="8974" width="10.85546875" customWidth="1"/>
    <col min="8975" max="8975" width="12.5703125" customWidth="1"/>
    <col min="8976" max="8976" width="13.7109375" customWidth="1"/>
    <col min="8977" max="8977" width="13.5703125" customWidth="1"/>
    <col min="8978" max="8978" width="11" customWidth="1"/>
    <col min="8979" max="8980" width="9.42578125" customWidth="1"/>
    <col min="8981" max="8981" width="12.28515625" customWidth="1"/>
    <col min="8982" max="8982" width="12.5703125" customWidth="1"/>
    <col min="8983" max="8983" width="12" customWidth="1"/>
    <col min="8984" max="8984" width="13.85546875" customWidth="1"/>
    <col min="8985" max="8985" width="11.85546875" customWidth="1"/>
    <col min="8986" max="8987" width="0" hidden="1" customWidth="1"/>
    <col min="8988" max="8988" width="14" customWidth="1"/>
    <col min="8989" max="8989" width="0" hidden="1" customWidth="1"/>
    <col min="8990" max="8990" width="7.42578125" customWidth="1"/>
    <col min="8991" max="8991" width="8.28515625" customWidth="1"/>
    <col min="8992" max="8992" width="11.42578125" customWidth="1"/>
    <col min="9213" max="9213" width="8.28515625" customWidth="1"/>
    <col min="9214" max="9214" width="42.85546875" customWidth="1"/>
    <col min="9215" max="9215" width="14" customWidth="1"/>
    <col min="9216" max="9216" width="10.85546875" customWidth="1"/>
    <col min="9217" max="9217" width="11.7109375" customWidth="1"/>
    <col min="9218" max="9218" width="12.140625" customWidth="1"/>
    <col min="9219" max="9220" width="12.28515625" customWidth="1"/>
    <col min="9221" max="9221" width="12.140625" customWidth="1"/>
    <col min="9222" max="9222" width="8.7109375" customWidth="1"/>
    <col min="9223" max="9223" width="12.140625" customWidth="1"/>
    <col min="9224" max="9224" width="13.140625" customWidth="1"/>
    <col min="9225" max="9225" width="11.85546875" customWidth="1"/>
    <col min="9226" max="9226" width="13.5703125" customWidth="1"/>
    <col min="9227" max="9227" width="10.28515625" customWidth="1"/>
    <col min="9228" max="9228" width="10.42578125" customWidth="1"/>
    <col min="9229" max="9230" width="10.85546875" customWidth="1"/>
    <col min="9231" max="9231" width="12.5703125" customWidth="1"/>
    <col min="9232" max="9232" width="13.7109375" customWidth="1"/>
    <col min="9233" max="9233" width="13.5703125" customWidth="1"/>
    <col min="9234" max="9234" width="11" customWidth="1"/>
    <col min="9235" max="9236" width="9.42578125" customWidth="1"/>
    <col min="9237" max="9237" width="12.28515625" customWidth="1"/>
    <col min="9238" max="9238" width="12.5703125" customWidth="1"/>
    <col min="9239" max="9239" width="12" customWidth="1"/>
    <col min="9240" max="9240" width="13.85546875" customWidth="1"/>
    <col min="9241" max="9241" width="11.85546875" customWidth="1"/>
    <col min="9242" max="9243" width="0" hidden="1" customWidth="1"/>
    <col min="9244" max="9244" width="14" customWidth="1"/>
    <col min="9245" max="9245" width="0" hidden="1" customWidth="1"/>
    <col min="9246" max="9246" width="7.42578125" customWidth="1"/>
    <col min="9247" max="9247" width="8.28515625" customWidth="1"/>
    <col min="9248" max="9248" width="11.42578125" customWidth="1"/>
    <col min="9469" max="9469" width="8.28515625" customWidth="1"/>
    <col min="9470" max="9470" width="42.85546875" customWidth="1"/>
    <col min="9471" max="9471" width="14" customWidth="1"/>
    <col min="9472" max="9472" width="10.85546875" customWidth="1"/>
    <col min="9473" max="9473" width="11.7109375" customWidth="1"/>
    <col min="9474" max="9474" width="12.140625" customWidth="1"/>
    <col min="9475" max="9476" width="12.28515625" customWidth="1"/>
    <col min="9477" max="9477" width="12.140625" customWidth="1"/>
    <col min="9478" max="9478" width="8.7109375" customWidth="1"/>
    <col min="9479" max="9479" width="12.140625" customWidth="1"/>
    <col min="9480" max="9480" width="13.140625" customWidth="1"/>
    <col min="9481" max="9481" width="11.85546875" customWidth="1"/>
    <col min="9482" max="9482" width="13.5703125" customWidth="1"/>
    <col min="9483" max="9483" width="10.28515625" customWidth="1"/>
    <col min="9484" max="9484" width="10.42578125" customWidth="1"/>
    <col min="9485" max="9486" width="10.85546875" customWidth="1"/>
    <col min="9487" max="9487" width="12.5703125" customWidth="1"/>
    <col min="9488" max="9488" width="13.7109375" customWidth="1"/>
    <col min="9489" max="9489" width="13.5703125" customWidth="1"/>
    <col min="9490" max="9490" width="11" customWidth="1"/>
    <col min="9491" max="9492" width="9.42578125" customWidth="1"/>
    <col min="9493" max="9493" width="12.28515625" customWidth="1"/>
    <col min="9494" max="9494" width="12.5703125" customWidth="1"/>
    <col min="9495" max="9495" width="12" customWidth="1"/>
    <col min="9496" max="9496" width="13.85546875" customWidth="1"/>
    <col min="9497" max="9497" width="11.85546875" customWidth="1"/>
    <col min="9498" max="9499" width="0" hidden="1" customWidth="1"/>
    <col min="9500" max="9500" width="14" customWidth="1"/>
    <col min="9501" max="9501" width="0" hidden="1" customWidth="1"/>
    <col min="9502" max="9502" width="7.42578125" customWidth="1"/>
    <col min="9503" max="9503" width="8.28515625" customWidth="1"/>
    <col min="9504" max="9504" width="11.42578125" customWidth="1"/>
    <col min="9725" max="9725" width="8.28515625" customWidth="1"/>
    <col min="9726" max="9726" width="42.85546875" customWidth="1"/>
    <col min="9727" max="9727" width="14" customWidth="1"/>
    <col min="9728" max="9728" width="10.85546875" customWidth="1"/>
    <col min="9729" max="9729" width="11.7109375" customWidth="1"/>
    <col min="9730" max="9730" width="12.140625" customWidth="1"/>
    <col min="9731" max="9732" width="12.28515625" customWidth="1"/>
    <col min="9733" max="9733" width="12.140625" customWidth="1"/>
    <col min="9734" max="9734" width="8.7109375" customWidth="1"/>
    <col min="9735" max="9735" width="12.140625" customWidth="1"/>
    <col min="9736" max="9736" width="13.140625" customWidth="1"/>
    <col min="9737" max="9737" width="11.85546875" customWidth="1"/>
    <col min="9738" max="9738" width="13.5703125" customWidth="1"/>
    <col min="9739" max="9739" width="10.28515625" customWidth="1"/>
    <col min="9740" max="9740" width="10.42578125" customWidth="1"/>
    <col min="9741" max="9742" width="10.85546875" customWidth="1"/>
    <col min="9743" max="9743" width="12.5703125" customWidth="1"/>
    <col min="9744" max="9744" width="13.7109375" customWidth="1"/>
    <col min="9745" max="9745" width="13.5703125" customWidth="1"/>
    <col min="9746" max="9746" width="11" customWidth="1"/>
    <col min="9747" max="9748" width="9.42578125" customWidth="1"/>
    <col min="9749" max="9749" width="12.28515625" customWidth="1"/>
    <col min="9750" max="9750" width="12.5703125" customWidth="1"/>
    <col min="9751" max="9751" width="12" customWidth="1"/>
    <col min="9752" max="9752" width="13.85546875" customWidth="1"/>
    <col min="9753" max="9753" width="11.85546875" customWidth="1"/>
    <col min="9754" max="9755" width="0" hidden="1" customWidth="1"/>
    <col min="9756" max="9756" width="14" customWidth="1"/>
    <col min="9757" max="9757" width="0" hidden="1" customWidth="1"/>
    <col min="9758" max="9758" width="7.42578125" customWidth="1"/>
    <col min="9759" max="9759" width="8.28515625" customWidth="1"/>
    <col min="9760" max="9760" width="11.42578125" customWidth="1"/>
    <col min="9981" max="9981" width="8.28515625" customWidth="1"/>
    <col min="9982" max="9982" width="42.85546875" customWidth="1"/>
    <col min="9983" max="9983" width="14" customWidth="1"/>
    <col min="9984" max="9984" width="10.85546875" customWidth="1"/>
    <col min="9985" max="9985" width="11.7109375" customWidth="1"/>
    <col min="9986" max="9986" width="12.140625" customWidth="1"/>
    <col min="9987" max="9988" width="12.28515625" customWidth="1"/>
    <col min="9989" max="9989" width="12.140625" customWidth="1"/>
    <col min="9990" max="9990" width="8.7109375" customWidth="1"/>
    <col min="9991" max="9991" width="12.140625" customWidth="1"/>
    <col min="9992" max="9992" width="13.140625" customWidth="1"/>
    <col min="9993" max="9993" width="11.85546875" customWidth="1"/>
    <col min="9994" max="9994" width="13.5703125" customWidth="1"/>
    <col min="9995" max="9995" width="10.28515625" customWidth="1"/>
    <col min="9996" max="9996" width="10.42578125" customWidth="1"/>
    <col min="9997" max="9998" width="10.85546875" customWidth="1"/>
    <col min="9999" max="9999" width="12.5703125" customWidth="1"/>
    <col min="10000" max="10000" width="13.7109375" customWidth="1"/>
    <col min="10001" max="10001" width="13.5703125" customWidth="1"/>
    <col min="10002" max="10002" width="11" customWidth="1"/>
    <col min="10003" max="10004" width="9.42578125" customWidth="1"/>
    <col min="10005" max="10005" width="12.28515625" customWidth="1"/>
    <col min="10006" max="10006" width="12.5703125" customWidth="1"/>
    <col min="10007" max="10007" width="12" customWidth="1"/>
    <col min="10008" max="10008" width="13.85546875" customWidth="1"/>
    <col min="10009" max="10009" width="11.85546875" customWidth="1"/>
    <col min="10010" max="10011" width="0" hidden="1" customWidth="1"/>
    <col min="10012" max="10012" width="14" customWidth="1"/>
    <col min="10013" max="10013" width="0" hidden="1" customWidth="1"/>
    <col min="10014" max="10014" width="7.42578125" customWidth="1"/>
    <col min="10015" max="10015" width="8.28515625" customWidth="1"/>
    <col min="10016" max="10016" width="11.42578125" customWidth="1"/>
    <col min="10237" max="10237" width="8.28515625" customWidth="1"/>
    <col min="10238" max="10238" width="42.85546875" customWidth="1"/>
    <col min="10239" max="10239" width="14" customWidth="1"/>
    <col min="10240" max="10240" width="10.85546875" customWidth="1"/>
    <col min="10241" max="10241" width="11.7109375" customWidth="1"/>
    <col min="10242" max="10242" width="12.140625" customWidth="1"/>
    <col min="10243" max="10244" width="12.28515625" customWidth="1"/>
    <col min="10245" max="10245" width="12.140625" customWidth="1"/>
    <col min="10246" max="10246" width="8.7109375" customWidth="1"/>
    <col min="10247" max="10247" width="12.140625" customWidth="1"/>
    <col min="10248" max="10248" width="13.140625" customWidth="1"/>
    <col min="10249" max="10249" width="11.85546875" customWidth="1"/>
    <col min="10250" max="10250" width="13.5703125" customWidth="1"/>
    <col min="10251" max="10251" width="10.28515625" customWidth="1"/>
    <col min="10252" max="10252" width="10.42578125" customWidth="1"/>
    <col min="10253" max="10254" width="10.85546875" customWidth="1"/>
    <col min="10255" max="10255" width="12.5703125" customWidth="1"/>
    <col min="10256" max="10256" width="13.7109375" customWidth="1"/>
    <col min="10257" max="10257" width="13.5703125" customWidth="1"/>
    <col min="10258" max="10258" width="11" customWidth="1"/>
    <col min="10259" max="10260" width="9.42578125" customWidth="1"/>
    <col min="10261" max="10261" width="12.28515625" customWidth="1"/>
    <col min="10262" max="10262" width="12.5703125" customWidth="1"/>
    <col min="10263" max="10263" width="12" customWidth="1"/>
    <col min="10264" max="10264" width="13.85546875" customWidth="1"/>
    <col min="10265" max="10265" width="11.85546875" customWidth="1"/>
    <col min="10266" max="10267" width="0" hidden="1" customWidth="1"/>
    <col min="10268" max="10268" width="14" customWidth="1"/>
    <col min="10269" max="10269" width="0" hidden="1" customWidth="1"/>
    <col min="10270" max="10270" width="7.42578125" customWidth="1"/>
    <col min="10271" max="10271" width="8.28515625" customWidth="1"/>
    <col min="10272" max="10272" width="11.42578125" customWidth="1"/>
    <col min="10493" max="10493" width="8.28515625" customWidth="1"/>
    <col min="10494" max="10494" width="42.85546875" customWidth="1"/>
    <col min="10495" max="10495" width="14" customWidth="1"/>
    <col min="10496" max="10496" width="10.85546875" customWidth="1"/>
    <col min="10497" max="10497" width="11.7109375" customWidth="1"/>
    <col min="10498" max="10498" width="12.140625" customWidth="1"/>
    <col min="10499" max="10500" width="12.28515625" customWidth="1"/>
    <col min="10501" max="10501" width="12.140625" customWidth="1"/>
    <col min="10502" max="10502" width="8.7109375" customWidth="1"/>
    <col min="10503" max="10503" width="12.140625" customWidth="1"/>
    <col min="10504" max="10504" width="13.140625" customWidth="1"/>
    <col min="10505" max="10505" width="11.85546875" customWidth="1"/>
    <col min="10506" max="10506" width="13.5703125" customWidth="1"/>
    <col min="10507" max="10507" width="10.28515625" customWidth="1"/>
    <col min="10508" max="10508" width="10.42578125" customWidth="1"/>
    <col min="10509" max="10510" width="10.85546875" customWidth="1"/>
    <col min="10511" max="10511" width="12.5703125" customWidth="1"/>
    <col min="10512" max="10512" width="13.7109375" customWidth="1"/>
    <col min="10513" max="10513" width="13.5703125" customWidth="1"/>
    <col min="10514" max="10514" width="11" customWidth="1"/>
    <col min="10515" max="10516" width="9.42578125" customWidth="1"/>
    <col min="10517" max="10517" width="12.28515625" customWidth="1"/>
    <col min="10518" max="10518" width="12.5703125" customWidth="1"/>
    <col min="10519" max="10519" width="12" customWidth="1"/>
    <col min="10520" max="10520" width="13.85546875" customWidth="1"/>
    <col min="10521" max="10521" width="11.85546875" customWidth="1"/>
    <col min="10522" max="10523" width="0" hidden="1" customWidth="1"/>
    <col min="10524" max="10524" width="14" customWidth="1"/>
    <col min="10525" max="10525" width="0" hidden="1" customWidth="1"/>
    <col min="10526" max="10526" width="7.42578125" customWidth="1"/>
    <col min="10527" max="10527" width="8.28515625" customWidth="1"/>
    <col min="10528" max="10528" width="11.42578125" customWidth="1"/>
    <col min="10749" max="10749" width="8.28515625" customWidth="1"/>
    <col min="10750" max="10750" width="42.85546875" customWidth="1"/>
    <col min="10751" max="10751" width="14" customWidth="1"/>
    <col min="10752" max="10752" width="10.85546875" customWidth="1"/>
    <col min="10753" max="10753" width="11.7109375" customWidth="1"/>
    <col min="10754" max="10754" width="12.140625" customWidth="1"/>
    <col min="10755" max="10756" width="12.28515625" customWidth="1"/>
    <col min="10757" max="10757" width="12.140625" customWidth="1"/>
    <col min="10758" max="10758" width="8.7109375" customWidth="1"/>
    <col min="10759" max="10759" width="12.140625" customWidth="1"/>
    <col min="10760" max="10760" width="13.140625" customWidth="1"/>
    <col min="10761" max="10761" width="11.85546875" customWidth="1"/>
    <col min="10762" max="10762" width="13.5703125" customWidth="1"/>
    <col min="10763" max="10763" width="10.28515625" customWidth="1"/>
    <col min="10764" max="10764" width="10.42578125" customWidth="1"/>
    <col min="10765" max="10766" width="10.85546875" customWidth="1"/>
    <col min="10767" max="10767" width="12.5703125" customWidth="1"/>
    <col min="10768" max="10768" width="13.7109375" customWidth="1"/>
    <col min="10769" max="10769" width="13.5703125" customWidth="1"/>
    <col min="10770" max="10770" width="11" customWidth="1"/>
    <col min="10771" max="10772" width="9.42578125" customWidth="1"/>
    <col min="10773" max="10773" width="12.28515625" customWidth="1"/>
    <col min="10774" max="10774" width="12.5703125" customWidth="1"/>
    <col min="10775" max="10775" width="12" customWidth="1"/>
    <col min="10776" max="10776" width="13.85546875" customWidth="1"/>
    <col min="10777" max="10777" width="11.85546875" customWidth="1"/>
    <col min="10778" max="10779" width="0" hidden="1" customWidth="1"/>
    <col min="10780" max="10780" width="14" customWidth="1"/>
    <col min="10781" max="10781" width="0" hidden="1" customWidth="1"/>
    <col min="10782" max="10782" width="7.42578125" customWidth="1"/>
    <col min="10783" max="10783" width="8.28515625" customWidth="1"/>
    <col min="10784" max="10784" width="11.42578125" customWidth="1"/>
    <col min="11005" max="11005" width="8.28515625" customWidth="1"/>
    <col min="11006" max="11006" width="42.85546875" customWidth="1"/>
    <col min="11007" max="11007" width="14" customWidth="1"/>
    <col min="11008" max="11008" width="10.85546875" customWidth="1"/>
    <col min="11009" max="11009" width="11.7109375" customWidth="1"/>
    <col min="11010" max="11010" width="12.140625" customWidth="1"/>
    <col min="11011" max="11012" width="12.28515625" customWidth="1"/>
    <col min="11013" max="11013" width="12.140625" customWidth="1"/>
    <col min="11014" max="11014" width="8.7109375" customWidth="1"/>
    <col min="11015" max="11015" width="12.140625" customWidth="1"/>
    <col min="11016" max="11016" width="13.140625" customWidth="1"/>
    <col min="11017" max="11017" width="11.85546875" customWidth="1"/>
    <col min="11018" max="11018" width="13.5703125" customWidth="1"/>
    <col min="11019" max="11019" width="10.28515625" customWidth="1"/>
    <col min="11020" max="11020" width="10.42578125" customWidth="1"/>
    <col min="11021" max="11022" width="10.85546875" customWidth="1"/>
    <col min="11023" max="11023" width="12.5703125" customWidth="1"/>
    <col min="11024" max="11024" width="13.7109375" customWidth="1"/>
    <col min="11025" max="11025" width="13.5703125" customWidth="1"/>
    <col min="11026" max="11026" width="11" customWidth="1"/>
    <col min="11027" max="11028" width="9.42578125" customWidth="1"/>
    <col min="11029" max="11029" width="12.28515625" customWidth="1"/>
    <col min="11030" max="11030" width="12.5703125" customWidth="1"/>
    <col min="11031" max="11031" width="12" customWidth="1"/>
    <col min="11032" max="11032" width="13.85546875" customWidth="1"/>
    <col min="11033" max="11033" width="11.85546875" customWidth="1"/>
    <col min="11034" max="11035" width="0" hidden="1" customWidth="1"/>
    <col min="11036" max="11036" width="14" customWidth="1"/>
    <col min="11037" max="11037" width="0" hidden="1" customWidth="1"/>
    <col min="11038" max="11038" width="7.42578125" customWidth="1"/>
    <col min="11039" max="11039" width="8.28515625" customWidth="1"/>
    <col min="11040" max="11040" width="11.42578125" customWidth="1"/>
    <col min="11261" max="11261" width="8.28515625" customWidth="1"/>
    <col min="11262" max="11262" width="42.85546875" customWidth="1"/>
    <col min="11263" max="11263" width="14" customWidth="1"/>
    <col min="11264" max="11264" width="10.85546875" customWidth="1"/>
    <col min="11265" max="11265" width="11.7109375" customWidth="1"/>
    <col min="11266" max="11266" width="12.140625" customWidth="1"/>
    <col min="11267" max="11268" width="12.28515625" customWidth="1"/>
    <col min="11269" max="11269" width="12.140625" customWidth="1"/>
    <col min="11270" max="11270" width="8.7109375" customWidth="1"/>
    <col min="11271" max="11271" width="12.140625" customWidth="1"/>
    <col min="11272" max="11272" width="13.140625" customWidth="1"/>
    <col min="11273" max="11273" width="11.85546875" customWidth="1"/>
    <col min="11274" max="11274" width="13.5703125" customWidth="1"/>
    <col min="11275" max="11275" width="10.28515625" customWidth="1"/>
    <col min="11276" max="11276" width="10.42578125" customWidth="1"/>
    <col min="11277" max="11278" width="10.85546875" customWidth="1"/>
    <col min="11279" max="11279" width="12.5703125" customWidth="1"/>
    <col min="11280" max="11280" width="13.7109375" customWidth="1"/>
    <col min="11281" max="11281" width="13.5703125" customWidth="1"/>
    <col min="11282" max="11282" width="11" customWidth="1"/>
    <col min="11283" max="11284" width="9.42578125" customWidth="1"/>
    <col min="11285" max="11285" width="12.28515625" customWidth="1"/>
    <col min="11286" max="11286" width="12.5703125" customWidth="1"/>
    <col min="11287" max="11287" width="12" customWidth="1"/>
    <col min="11288" max="11288" width="13.85546875" customWidth="1"/>
    <col min="11289" max="11289" width="11.85546875" customWidth="1"/>
    <col min="11290" max="11291" width="0" hidden="1" customWidth="1"/>
    <col min="11292" max="11292" width="14" customWidth="1"/>
    <col min="11293" max="11293" width="0" hidden="1" customWidth="1"/>
    <col min="11294" max="11294" width="7.42578125" customWidth="1"/>
    <col min="11295" max="11295" width="8.28515625" customWidth="1"/>
    <col min="11296" max="11296" width="11.42578125" customWidth="1"/>
    <col min="11517" max="11517" width="8.28515625" customWidth="1"/>
    <col min="11518" max="11518" width="42.85546875" customWidth="1"/>
    <col min="11519" max="11519" width="14" customWidth="1"/>
    <col min="11520" max="11520" width="10.85546875" customWidth="1"/>
    <col min="11521" max="11521" width="11.7109375" customWidth="1"/>
    <col min="11522" max="11522" width="12.140625" customWidth="1"/>
    <col min="11523" max="11524" width="12.28515625" customWidth="1"/>
    <col min="11525" max="11525" width="12.140625" customWidth="1"/>
    <col min="11526" max="11526" width="8.7109375" customWidth="1"/>
    <col min="11527" max="11527" width="12.140625" customWidth="1"/>
    <col min="11528" max="11528" width="13.140625" customWidth="1"/>
    <col min="11529" max="11529" width="11.85546875" customWidth="1"/>
    <col min="11530" max="11530" width="13.5703125" customWidth="1"/>
    <col min="11531" max="11531" width="10.28515625" customWidth="1"/>
    <col min="11532" max="11532" width="10.42578125" customWidth="1"/>
    <col min="11533" max="11534" width="10.85546875" customWidth="1"/>
    <col min="11535" max="11535" width="12.5703125" customWidth="1"/>
    <col min="11536" max="11536" width="13.7109375" customWidth="1"/>
    <col min="11537" max="11537" width="13.5703125" customWidth="1"/>
    <col min="11538" max="11538" width="11" customWidth="1"/>
    <col min="11539" max="11540" width="9.42578125" customWidth="1"/>
    <col min="11541" max="11541" width="12.28515625" customWidth="1"/>
    <col min="11542" max="11542" width="12.5703125" customWidth="1"/>
    <col min="11543" max="11543" width="12" customWidth="1"/>
    <col min="11544" max="11544" width="13.85546875" customWidth="1"/>
    <col min="11545" max="11545" width="11.85546875" customWidth="1"/>
    <col min="11546" max="11547" width="0" hidden="1" customWidth="1"/>
    <col min="11548" max="11548" width="14" customWidth="1"/>
    <col min="11549" max="11549" width="0" hidden="1" customWidth="1"/>
    <col min="11550" max="11550" width="7.42578125" customWidth="1"/>
    <col min="11551" max="11551" width="8.28515625" customWidth="1"/>
    <col min="11552" max="11552" width="11.42578125" customWidth="1"/>
    <col min="11773" max="11773" width="8.28515625" customWidth="1"/>
    <col min="11774" max="11774" width="42.85546875" customWidth="1"/>
    <col min="11775" max="11775" width="14" customWidth="1"/>
    <col min="11776" max="11776" width="10.85546875" customWidth="1"/>
    <col min="11777" max="11777" width="11.7109375" customWidth="1"/>
    <col min="11778" max="11778" width="12.140625" customWidth="1"/>
    <col min="11779" max="11780" width="12.28515625" customWidth="1"/>
    <col min="11781" max="11781" width="12.140625" customWidth="1"/>
    <col min="11782" max="11782" width="8.7109375" customWidth="1"/>
    <col min="11783" max="11783" width="12.140625" customWidth="1"/>
    <col min="11784" max="11784" width="13.140625" customWidth="1"/>
    <col min="11785" max="11785" width="11.85546875" customWidth="1"/>
    <col min="11786" max="11786" width="13.5703125" customWidth="1"/>
    <col min="11787" max="11787" width="10.28515625" customWidth="1"/>
    <col min="11788" max="11788" width="10.42578125" customWidth="1"/>
    <col min="11789" max="11790" width="10.85546875" customWidth="1"/>
    <col min="11791" max="11791" width="12.5703125" customWidth="1"/>
    <col min="11792" max="11792" width="13.7109375" customWidth="1"/>
    <col min="11793" max="11793" width="13.5703125" customWidth="1"/>
    <col min="11794" max="11794" width="11" customWidth="1"/>
    <col min="11795" max="11796" width="9.42578125" customWidth="1"/>
    <col min="11797" max="11797" width="12.28515625" customWidth="1"/>
    <col min="11798" max="11798" width="12.5703125" customWidth="1"/>
    <col min="11799" max="11799" width="12" customWidth="1"/>
    <col min="11800" max="11800" width="13.85546875" customWidth="1"/>
    <col min="11801" max="11801" width="11.85546875" customWidth="1"/>
    <col min="11802" max="11803" width="0" hidden="1" customWidth="1"/>
    <col min="11804" max="11804" width="14" customWidth="1"/>
    <col min="11805" max="11805" width="0" hidden="1" customWidth="1"/>
    <col min="11806" max="11806" width="7.42578125" customWidth="1"/>
    <col min="11807" max="11807" width="8.28515625" customWidth="1"/>
    <col min="11808" max="11808" width="11.42578125" customWidth="1"/>
    <col min="12029" max="12029" width="8.28515625" customWidth="1"/>
    <col min="12030" max="12030" width="42.85546875" customWidth="1"/>
    <col min="12031" max="12031" width="14" customWidth="1"/>
    <col min="12032" max="12032" width="10.85546875" customWidth="1"/>
    <col min="12033" max="12033" width="11.7109375" customWidth="1"/>
    <col min="12034" max="12034" width="12.140625" customWidth="1"/>
    <col min="12035" max="12036" width="12.28515625" customWidth="1"/>
    <col min="12037" max="12037" width="12.140625" customWidth="1"/>
    <col min="12038" max="12038" width="8.7109375" customWidth="1"/>
    <col min="12039" max="12039" width="12.140625" customWidth="1"/>
    <col min="12040" max="12040" width="13.140625" customWidth="1"/>
    <col min="12041" max="12041" width="11.85546875" customWidth="1"/>
    <col min="12042" max="12042" width="13.5703125" customWidth="1"/>
    <col min="12043" max="12043" width="10.28515625" customWidth="1"/>
    <col min="12044" max="12044" width="10.42578125" customWidth="1"/>
    <col min="12045" max="12046" width="10.85546875" customWidth="1"/>
    <col min="12047" max="12047" width="12.5703125" customWidth="1"/>
    <col min="12048" max="12048" width="13.7109375" customWidth="1"/>
    <col min="12049" max="12049" width="13.5703125" customWidth="1"/>
    <col min="12050" max="12050" width="11" customWidth="1"/>
    <col min="12051" max="12052" width="9.42578125" customWidth="1"/>
    <col min="12053" max="12053" width="12.28515625" customWidth="1"/>
    <col min="12054" max="12054" width="12.5703125" customWidth="1"/>
    <col min="12055" max="12055" width="12" customWidth="1"/>
    <col min="12056" max="12056" width="13.85546875" customWidth="1"/>
    <col min="12057" max="12057" width="11.85546875" customWidth="1"/>
    <col min="12058" max="12059" width="0" hidden="1" customWidth="1"/>
    <col min="12060" max="12060" width="14" customWidth="1"/>
    <col min="12061" max="12061" width="0" hidden="1" customWidth="1"/>
    <col min="12062" max="12062" width="7.42578125" customWidth="1"/>
    <col min="12063" max="12063" width="8.28515625" customWidth="1"/>
    <col min="12064" max="12064" width="11.42578125" customWidth="1"/>
    <col min="12285" max="12285" width="8.28515625" customWidth="1"/>
    <col min="12286" max="12286" width="42.85546875" customWidth="1"/>
    <col min="12287" max="12287" width="14" customWidth="1"/>
    <col min="12288" max="12288" width="10.85546875" customWidth="1"/>
    <col min="12289" max="12289" width="11.7109375" customWidth="1"/>
    <col min="12290" max="12290" width="12.140625" customWidth="1"/>
    <col min="12291" max="12292" width="12.28515625" customWidth="1"/>
    <col min="12293" max="12293" width="12.140625" customWidth="1"/>
    <col min="12294" max="12294" width="8.7109375" customWidth="1"/>
    <col min="12295" max="12295" width="12.140625" customWidth="1"/>
    <col min="12296" max="12296" width="13.140625" customWidth="1"/>
    <col min="12297" max="12297" width="11.85546875" customWidth="1"/>
    <col min="12298" max="12298" width="13.5703125" customWidth="1"/>
    <col min="12299" max="12299" width="10.28515625" customWidth="1"/>
    <col min="12300" max="12300" width="10.42578125" customWidth="1"/>
    <col min="12301" max="12302" width="10.85546875" customWidth="1"/>
    <col min="12303" max="12303" width="12.5703125" customWidth="1"/>
    <col min="12304" max="12304" width="13.7109375" customWidth="1"/>
    <col min="12305" max="12305" width="13.5703125" customWidth="1"/>
    <col min="12306" max="12306" width="11" customWidth="1"/>
    <col min="12307" max="12308" width="9.42578125" customWidth="1"/>
    <col min="12309" max="12309" width="12.28515625" customWidth="1"/>
    <col min="12310" max="12310" width="12.5703125" customWidth="1"/>
    <col min="12311" max="12311" width="12" customWidth="1"/>
    <col min="12312" max="12312" width="13.85546875" customWidth="1"/>
    <col min="12313" max="12313" width="11.85546875" customWidth="1"/>
    <col min="12314" max="12315" width="0" hidden="1" customWidth="1"/>
    <col min="12316" max="12316" width="14" customWidth="1"/>
    <col min="12317" max="12317" width="0" hidden="1" customWidth="1"/>
    <col min="12318" max="12318" width="7.42578125" customWidth="1"/>
    <col min="12319" max="12319" width="8.28515625" customWidth="1"/>
    <col min="12320" max="12320" width="11.42578125" customWidth="1"/>
    <col min="12541" max="12541" width="8.28515625" customWidth="1"/>
    <col min="12542" max="12542" width="42.85546875" customWidth="1"/>
    <col min="12543" max="12543" width="14" customWidth="1"/>
    <col min="12544" max="12544" width="10.85546875" customWidth="1"/>
    <col min="12545" max="12545" width="11.7109375" customWidth="1"/>
    <col min="12546" max="12546" width="12.140625" customWidth="1"/>
    <col min="12547" max="12548" width="12.28515625" customWidth="1"/>
    <col min="12549" max="12549" width="12.140625" customWidth="1"/>
    <col min="12550" max="12550" width="8.7109375" customWidth="1"/>
    <col min="12551" max="12551" width="12.140625" customWidth="1"/>
    <col min="12552" max="12552" width="13.140625" customWidth="1"/>
    <col min="12553" max="12553" width="11.85546875" customWidth="1"/>
    <col min="12554" max="12554" width="13.5703125" customWidth="1"/>
    <col min="12555" max="12555" width="10.28515625" customWidth="1"/>
    <col min="12556" max="12556" width="10.42578125" customWidth="1"/>
    <col min="12557" max="12558" width="10.85546875" customWidth="1"/>
    <col min="12559" max="12559" width="12.5703125" customWidth="1"/>
    <col min="12560" max="12560" width="13.7109375" customWidth="1"/>
    <col min="12561" max="12561" width="13.5703125" customWidth="1"/>
    <col min="12562" max="12562" width="11" customWidth="1"/>
    <col min="12563" max="12564" width="9.42578125" customWidth="1"/>
    <col min="12565" max="12565" width="12.28515625" customWidth="1"/>
    <col min="12566" max="12566" width="12.5703125" customWidth="1"/>
    <col min="12567" max="12567" width="12" customWidth="1"/>
    <col min="12568" max="12568" width="13.85546875" customWidth="1"/>
    <col min="12569" max="12569" width="11.85546875" customWidth="1"/>
    <col min="12570" max="12571" width="0" hidden="1" customWidth="1"/>
    <col min="12572" max="12572" width="14" customWidth="1"/>
    <col min="12573" max="12573" width="0" hidden="1" customWidth="1"/>
    <col min="12574" max="12574" width="7.42578125" customWidth="1"/>
    <col min="12575" max="12575" width="8.28515625" customWidth="1"/>
    <col min="12576" max="12576" width="11.42578125" customWidth="1"/>
    <col min="12797" max="12797" width="8.28515625" customWidth="1"/>
    <col min="12798" max="12798" width="42.85546875" customWidth="1"/>
    <col min="12799" max="12799" width="14" customWidth="1"/>
    <col min="12800" max="12800" width="10.85546875" customWidth="1"/>
    <col min="12801" max="12801" width="11.7109375" customWidth="1"/>
    <col min="12802" max="12802" width="12.140625" customWidth="1"/>
    <col min="12803" max="12804" width="12.28515625" customWidth="1"/>
    <col min="12805" max="12805" width="12.140625" customWidth="1"/>
    <col min="12806" max="12806" width="8.7109375" customWidth="1"/>
    <col min="12807" max="12807" width="12.140625" customWidth="1"/>
    <col min="12808" max="12808" width="13.140625" customWidth="1"/>
    <col min="12809" max="12809" width="11.85546875" customWidth="1"/>
    <col min="12810" max="12810" width="13.5703125" customWidth="1"/>
    <col min="12811" max="12811" width="10.28515625" customWidth="1"/>
    <col min="12812" max="12812" width="10.42578125" customWidth="1"/>
    <col min="12813" max="12814" width="10.85546875" customWidth="1"/>
    <col min="12815" max="12815" width="12.5703125" customWidth="1"/>
    <col min="12816" max="12816" width="13.7109375" customWidth="1"/>
    <col min="12817" max="12817" width="13.5703125" customWidth="1"/>
    <col min="12818" max="12818" width="11" customWidth="1"/>
    <col min="12819" max="12820" width="9.42578125" customWidth="1"/>
    <col min="12821" max="12821" width="12.28515625" customWidth="1"/>
    <col min="12822" max="12822" width="12.5703125" customWidth="1"/>
    <col min="12823" max="12823" width="12" customWidth="1"/>
    <col min="12824" max="12824" width="13.85546875" customWidth="1"/>
    <col min="12825" max="12825" width="11.85546875" customWidth="1"/>
    <col min="12826" max="12827" width="0" hidden="1" customWidth="1"/>
    <col min="12828" max="12828" width="14" customWidth="1"/>
    <col min="12829" max="12829" width="0" hidden="1" customWidth="1"/>
    <col min="12830" max="12830" width="7.42578125" customWidth="1"/>
    <col min="12831" max="12831" width="8.28515625" customWidth="1"/>
    <col min="12832" max="12832" width="11.42578125" customWidth="1"/>
    <col min="13053" max="13053" width="8.28515625" customWidth="1"/>
    <col min="13054" max="13054" width="42.85546875" customWidth="1"/>
    <col min="13055" max="13055" width="14" customWidth="1"/>
    <col min="13056" max="13056" width="10.85546875" customWidth="1"/>
    <col min="13057" max="13057" width="11.7109375" customWidth="1"/>
    <col min="13058" max="13058" width="12.140625" customWidth="1"/>
    <col min="13059" max="13060" width="12.28515625" customWidth="1"/>
    <col min="13061" max="13061" width="12.140625" customWidth="1"/>
    <col min="13062" max="13062" width="8.7109375" customWidth="1"/>
    <col min="13063" max="13063" width="12.140625" customWidth="1"/>
    <col min="13064" max="13064" width="13.140625" customWidth="1"/>
    <col min="13065" max="13065" width="11.85546875" customWidth="1"/>
    <col min="13066" max="13066" width="13.5703125" customWidth="1"/>
    <col min="13067" max="13067" width="10.28515625" customWidth="1"/>
    <col min="13068" max="13068" width="10.42578125" customWidth="1"/>
    <col min="13069" max="13070" width="10.85546875" customWidth="1"/>
    <col min="13071" max="13071" width="12.5703125" customWidth="1"/>
    <col min="13072" max="13072" width="13.7109375" customWidth="1"/>
    <col min="13073" max="13073" width="13.5703125" customWidth="1"/>
    <col min="13074" max="13074" width="11" customWidth="1"/>
    <col min="13075" max="13076" width="9.42578125" customWidth="1"/>
    <col min="13077" max="13077" width="12.28515625" customWidth="1"/>
    <col min="13078" max="13078" width="12.5703125" customWidth="1"/>
    <col min="13079" max="13079" width="12" customWidth="1"/>
    <col min="13080" max="13080" width="13.85546875" customWidth="1"/>
    <col min="13081" max="13081" width="11.85546875" customWidth="1"/>
    <col min="13082" max="13083" width="0" hidden="1" customWidth="1"/>
    <col min="13084" max="13084" width="14" customWidth="1"/>
    <col min="13085" max="13085" width="0" hidden="1" customWidth="1"/>
    <col min="13086" max="13086" width="7.42578125" customWidth="1"/>
    <col min="13087" max="13087" width="8.28515625" customWidth="1"/>
    <col min="13088" max="13088" width="11.42578125" customWidth="1"/>
    <col min="13309" max="13309" width="8.28515625" customWidth="1"/>
    <col min="13310" max="13310" width="42.85546875" customWidth="1"/>
    <col min="13311" max="13311" width="14" customWidth="1"/>
    <col min="13312" max="13312" width="10.85546875" customWidth="1"/>
    <col min="13313" max="13313" width="11.7109375" customWidth="1"/>
    <col min="13314" max="13314" width="12.140625" customWidth="1"/>
    <col min="13315" max="13316" width="12.28515625" customWidth="1"/>
    <col min="13317" max="13317" width="12.140625" customWidth="1"/>
    <col min="13318" max="13318" width="8.7109375" customWidth="1"/>
    <col min="13319" max="13319" width="12.140625" customWidth="1"/>
    <col min="13320" max="13320" width="13.140625" customWidth="1"/>
    <col min="13321" max="13321" width="11.85546875" customWidth="1"/>
    <col min="13322" max="13322" width="13.5703125" customWidth="1"/>
    <col min="13323" max="13323" width="10.28515625" customWidth="1"/>
    <col min="13324" max="13324" width="10.42578125" customWidth="1"/>
    <col min="13325" max="13326" width="10.85546875" customWidth="1"/>
    <col min="13327" max="13327" width="12.5703125" customWidth="1"/>
    <col min="13328" max="13328" width="13.7109375" customWidth="1"/>
    <col min="13329" max="13329" width="13.5703125" customWidth="1"/>
    <col min="13330" max="13330" width="11" customWidth="1"/>
    <col min="13331" max="13332" width="9.42578125" customWidth="1"/>
    <col min="13333" max="13333" width="12.28515625" customWidth="1"/>
    <col min="13334" max="13334" width="12.5703125" customWidth="1"/>
    <col min="13335" max="13335" width="12" customWidth="1"/>
    <col min="13336" max="13336" width="13.85546875" customWidth="1"/>
    <col min="13337" max="13337" width="11.85546875" customWidth="1"/>
    <col min="13338" max="13339" width="0" hidden="1" customWidth="1"/>
    <col min="13340" max="13340" width="14" customWidth="1"/>
    <col min="13341" max="13341" width="0" hidden="1" customWidth="1"/>
    <col min="13342" max="13342" width="7.42578125" customWidth="1"/>
    <col min="13343" max="13343" width="8.28515625" customWidth="1"/>
    <col min="13344" max="13344" width="11.42578125" customWidth="1"/>
    <col min="13565" max="13565" width="8.28515625" customWidth="1"/>
    <col min="13566" max="13566" width="42.85546875" customWidth="1"/>
    <col min="13567" max="13567" width="14" customWidth="1"/>
    <col min="13568" max="13568" width="10.85546875" customWidth="1"/>
    <col min="13569" max="13569" width="11.7109375" customWidth="1"/>
    <col min="13570" max="13570" width="12.140625" customWidth="1"/>
    <col min="13571" max="13572" width="12.28515625" customWidth="1"/>
    <col min="13573" max="13573" width="12.140625" customWidth="1"/>
    <col min="13574" max="13574" width="8.7109375" customWidth="1"/>
    <col min="13575" max="13575" width="12.140625" customWidth="1"/>
    <col min="13576" max="13576" width="13.140625" customWidth="1"/>
    <col min="13577" max="13577" width="11.85546875" customWidth="1"/>
    <col min="13578" max="13578" width="13.5703125" customWidth="1"/>
    <col min="13579" max="13579" width="10.28515625" customWidth="1"/>
    <col min="13580" max="13580" width="10.42578125" customWidth="1"/>
    <col min="13581" max="13582" width="10.85546875" customWidth="1"/>
    <col min="13583" max="13583" width="12.5703125" customWidth="1"/>
    <col min="13584" max="13584" width="13.7109375" customWidth="1"/>
    <col min="13585" max="13585" width="13.5703125" customWidth="1"/>
    <col min="13586" max="13586" width="11" customWidth="1"/>
    <col min="13587" max="13588" width="9.42578125" customWidth="1"/>
    <col min="13589" max="13589" width="12.28515625" customWidth="1"/>
    <col min="13590" max="13590" width="12.5703125" customWidth="1"/>
    <col min="13591" max="13591" width="12" customWidth="1"/>
    <col min="13592" max="13592" width="13.85546875" customWidth="1"/>
    <col min="13593" max="13593" width="11.85546875" customWidth="1"/>
    <col min="13594" max="13595" width="0" hidden="1" customWidth="1"/>
    <col min="13596" max="13596" width="14" customWidth="1"/>
    <col min="13597" max="13597" width="0" hidden="1" customWidth="1"/>
    <col min="13598" max="13598" width="7.42578125" customWidth="1"/>
    <col min="13599" max="13599" width="8.28515625" customWidth="1"/>
    <col min="13600" max="13600" width="11.42578125" customWidth="1"/>
    <col min="13821" max="13821" width="8.28515625" customWidth="1"/>
    <col min="13822" max="13822" width="42.85546875" customWidth="1"/>
    <col min="13823" max="13823" width="14" customWidth="1"/>
    <col min="13824" max="13824" width="10.85546875" customWidth="1"/>
    <col min="13825" max="13825" width="11.7109375" customWidth="1"/>
    <col min="13826" max="13826" width="12.140625" customWidth="1"/>
    <col min="13827" max="13828" width="12.28515625" customWidth="1"/>
    <col min="13829" max="13829" width="12.140625" customWidth="1"/>
    <col min="13830" max="13830" width="8.7109375" customWidth="1"/>
    <col min="13831" max="13831" width="12.140625" customWidth="1"/>
    <col min="13832" max="13832" width="13.140625" customWidth="1"/>
    <col min="13833" max="13833" width="11.85546875" customWidth="1"/>
    <col min="13834" max="13834" width="13.5703125" customWidth="1"/>
    <col min="13835" max="13835" width="10.28515625" customWidth="1"/>
    <col min="13836" max="13836" width="10.42578125" customWidth="1"/>
    <col min="13837" max="13838" width="10.85546875" customWidth="1"/>
    <col min="13839" max="13839" width="12.5703125" customWidth="1"/>
    <col min="13840" max="13840" width="13.7109375" customWidth="1"/>
    <col min="13841" max="13841" width="13.5703125" customWidth="1"/>
    <col min="13842" max="13842" width="11" customWidth="1"/>
    <col min="13843" max="13844" width="9.42578125" customWidth="1"/>
    <col min="13845" max="13845" width="12.28515625" customWidth="1"/>
    <col min="13846" max="13846" width="12.5703125" customWidth="1"/>
    <col min="13847" max="13847" width="12" customWidth="1"/>
    <col min="13848" max="13848" width="13.85546875" customWidth="1"/>
    <col min="13849" max="13849" width="11.85546875" customWidth="1"/>
    <col min="13850" max="13851" width="0" hidden="1" customWidth="1"/>
    <col min="13852" max="13852" width="14" customWidth="1"/>
    <col min="13853" max="13853" width="0" hidden="1" customWidth="1"/>
    <col min="13854" max="13854" width="7.42578125" customWidth="1"/>
    <col min="13855" max="13855" width="8.28515625" customWidth="1"/>
    <col min="13856" max="13856" width="11.42578125" customWidth="1"/>
    <col min="14077" max="14077" width="8.28515625" customWidth="1"/>
    <col min="14078" max="14078" width="42.85546875" customWidth="1"/>
    <col min="14079" max="14079" width="14" customWidth="1"/>
    <col min="14080" max="14080" width="10.85546875" customWidth="1"/>
    <col min="14081" max="14081" width="11.7109375" customWidth="1"/>
    <col min="14082" max="14082" width="12.140625" customWidth="1"/>
    <col min="14083" max="14084" width="12.28515625" customWidth="1"/>
    <col min="14085" max="14085" width="12.140625" customWidth="1"/>
    <col min="14086" max="14086" width="8.7109375" customWidth="1"/>
    <col min="14087" max="14087" width="12.140625" customWidth="1"/>
    <col min="14088" max="14088" width="13.140625" customWidth="1"/>
    <col min="14089" max="14089" width="11.85546875" customWidth="1"/>
    <col min="14090" max="14090" width="13.5703125" customWidth="1"/>
    <col min="14091" max="14091" width="10.28515625" customWidth="1"/>
    <col min="14092" max="14092" width="10.42578125" customWidth="1"/>
    <col min="14093" max="14094" width="10.85546875" customWidth="1"/>
    <col min="14095" max="14095" width="12.5703125" customWidth="1"/>
    <col min="14096" max="14096" width="13.7109375" customWidth="1"/>
    <col min="14097" max="14097" width="13.5703125" customWidth="1"/>
    <col min="14098" max="14098" width="11" customWidth="1"/>
    <col min="14099" max="14100" width="9.42578125" customWidth="1"/>
    <col min="14101" max="14101" width="12.28515625" customWidth="1"/>
    <col min="14102" max="14102" width="12.5703125" customWidth="1"/>
    <col min="14103" max="14103" width="12" customWidth="1"/>
    <col min="14104" max="14104" width="13.85546875" customWidth="1"/>
    <col min="14105" max="14105" width="11.85546875" customWidth="1"/>
    <col min="14106" max="14107" width="0" hidden="1" customWidth="1"/>
    <col min="14108" max="14108" width="14" customWidth="1"/>
    <col min="14109" max="14109" width="0" hidden="1" customWidth="1"/>
    <col min="14110" max="14110" width="7.42578125" customWidth="1"/>
    <col min="14111" max="14111" width="8.28515625" customWidth="1"/>
    <col min="14112" max="14112" width="11.42578125" customWidth="1"/>
    <col min="14333" max="14333" width="8.28515625" customWidth="1"/>
    <col min="14334" max="14334" width="42.85546875" customWidth="1"/>
    <col min="14335" max="14335" width="14" customWidth="1"/>
    <col min="14336" max="14336" width="10.85546875" customWidth="1"/>
    <col min="14337" max="14337" width="11.7109375" customWidth="1"/>
    <col min="14338" max="14338" width="12.140625" customWidth="1"/>
    <col min="14339" max="14340" width="12.28515625" customWidth="1"/>
    <col min="14341" max="14341" width="12.140625" customWidth="1"/>
    <col min="14342" max="14342" width="8.7109375" customWidth="1"/>
    <col min="14343" max="14343" width="12.140625" customWidth="1"/>
    <col min="14344" max="14344" width="13.140625" customWidth="1"/>
    <col min="14345" max="14345" width="11.85546875" customWidth="1"/>
    <col min="14346" max="14346" width="13.5703125" customWidth="1"/>
    <col min="14347" max="14347" width="10.28515625" customWidth="1"/>
    <col min="14348" max="14348" width="10.42578125" customWidth="1"/>
    <col min="14349" max="14350" width="10.85546875" customWidth="1"/>
    <col min="14351" max="14351" width="12.5703125" customWidth="1"/>
    <col min="14352" max="14352" width="13.7109375" customWidth="1"/>
    <col min="14353" max="14353" width="13.5703125" customWidth="1"/>
    <col min="14354" max="14354" width="11" customWidth="1"/>
    <col min="14355" max="14356" width="9.42578125" customWidth="1"/>
    <col min="14357" max="14357" width="12.28515625" customWidth="1"/>
    <col min="14358" max="14358" width="12.5703125" customWidth="1"/>
    <col min="14359" max="14359" width="12" customWidth="1"/>
    <col min="14360" max="14360" width="13.85546875" customWidth="1"/>
    <col min="14361" max="14361" width="11.85546875" customWidth="1"/>
    <col min="14362" max="14363" width="0" hidden="1" customWidth="1"/>
    <col min="14364" max="14364" width="14" customWidth="1"/>
    <col min="14365" max="14365" width="0" hidden="1" customWidth="1"/>
    <col min="14366" max="14366" width="7.42578125" customWidth="1"/>
    <col min="14367" max="14367" width="8.28515625" customWidth="1"/>
    <col min="14368" max="14368" width="11.42578125" customWidth="1"/>
    <col min="14589" max="14589" width="8.28515625" customWidth="1"/>
    <col min="14590" max="14590" width="42.85546875" customWidth="1"/>
    <col min="14591" max="14591" width="14" customWidth="1"/>
    <col min="14592" max="14592" width="10.85546875" customWidth="1"/>
    <col min="14593" max="14593" width="11.7109375" customWidth="1"/>
    <col min="14594" max="14594" width="12.140625" customWidth="1"/>
    <col min="14595" max="14596" width="12.28515625" customWidth="1"/>
    <col min="14597" max="14597" width="12.140625" customWidth="1"/>
    <col min="14598" max="14598" width="8.7109375" customWidth="1"/>
    <col min="14599" max="14599" width="12.140625" customWidth="1"/>
    <col min="14600" max="14600" width="13.140625" customWidth="1"/>
    <col min="14601" max="14601" width="11.85546875" customWidth="1"/>
    <col min="14602" max="14602" width="13.5703125" customWidth="1"/>
    <col min="14603" max="14603" width="10.28515625" customWidth="1"/>
    <col min="14604" max="14604" width="10.42578125" customWidth="1"/>
    <col min="14605" max="14606" width="10.85546875" customWidth="1"/>
    <col min="14607" max="14607" width="12.5703125" customWidth="1"/>
    <col min="14608" max="14608" width="13.7109375" customWidth="1"/>
    <col min="14609" max="14609" width="13.5703125" customWidth="1"/>
    <col min="14610" max="14610" width="11" customWidth="1"/>
    <col min="14611" max="14612" width="9.42578125" customWidth="1"/>
    <col min="14613" max="14613" width="12.28515625" customWidth="1"/>
    <col min="14614" max="14614" width="12.5703125" customWidth="1"/>
    <col min="14615" max="14615" width="12" customWidth="1"/>
    <col min="14616" max="14616" width="13.85546875" customWidth="1"/>
    <col min="14617" max="14617" width="11.85546875" customWidth="1"/>
    <col min="14618" max="14619" width="0" hidden="1" customWidth="1"/>
    <col min="14620" max="14620" width="14" customWidth="1"/>
    <col min="14621" max="14621" width="0" hidden="1" customWidth="1"/>
    <col min="14622" max="14622" width="7.42578125" customWidth="1"/>
    <col min="14623" max="14623" width="8.28515625" customWidth="1"/>
    <col min="14624" max="14624" width="11.42578125" customWidth="1"/>
    <col min="14845" max="14845" width="8.28515625" customWidth="1"/>
    <col min="14846" max="14846" width="42.85546875" customWidth="1"/>
    <col min="14847" max="14847" width="14" customWidth="1"/>
    <col min="14848" max="14848" width="10.85546875" customWidth="1"/>
    <col min="14849" max="14849" width="11.7109375" customWidth="1"/>
    <col min="14850" max="14850" width="12.140625" customWidth="1"/>
    <col min="14851" max="14852" width="12.28515625" customWidth="1"/>
    <col min="14853" max="14853" width="12.140625" customWidth="1"/>
    <col min="14854" max="14854" width="8.7109375" customWidth="1"/>
    <col min="14855" max="14855" width="12.140625" customWidth="1"/>
    <col min="14856" max="14856" width="13.140625" customWidth="1"/>
    <col min="14857" max="14857" width="11.85546875" customWidth="1"/>
    <col min="14858" max="14858" width="13.5703125" customWidth="1"/>
    <col min="14859" max="14859" width="10.28515625" customWidth="1"/>
    <col min="14860" max="14860" width="10.42578125" customWidth="1"/>
    <col min="14861" max="14862" width="10.85546875" customWidth="1"/>
    <col min="14863" max="14863" width="12.5703125" customWidth="1"/>
    <col min="14864" max="14864" width="13.7109375" customWidth="1"/>
    <col min="14865" max="14865" width="13.5703125" customWidth="1"/>
    <col min="14866" max="14866" width="11" customWidth="1"/>
    <col min="14867" max="14868" width="9.42578125" customWidth="1"/>
    <col min="14869" max="14869" width="12.28515625" customWidth="1"/>
    <col min="14870" max="14870" width="12.5703125" customWidth="1"/>
    <col min="14871" max="14871" width="12" customWidth="1"/>
    <col min="14872" max="14872" width="13.85546875" customWidth="1"/>
    <col min="14873" max="14873" width="11.85546875" customWidth="1"/>
    <col min="14874" max="14875" width="0" hidden="1" customWidth="1"/>
    <col min="14876" max="14876" width="14" customWidth="1"/>
    <col min="14877" max="14877" width="0" hidden="1" customWidth="1"/>
    <col min="14878" max="14878" width="7.42578125" customWidth="1"/>
    <col min="14879" max="14879" width="8.28515625" customWidth="1"/>
    <col min="14880" max="14880" width="11.42578125" customWidth="1"/>
    <col min="15101" max="15101" width="8.28515625" customWidth="1"/>
    <col min="15102" max="15102" width="42.85546875" customWidth="1"/>
    <col min="15103" max="15103" width="14" customWidth="1"/>
    <col min="15104" max="15104" width="10.85546875" customWidth="1"/>
    <col min="15105" max="15105" width="11.7109375" customWidth="1"/>
    <col min="15106" max="15106" width="12.140625" customWidth="1"/>
    <col min="15107" max="15108" width="12.28515625" customWidth="1"/>
    <col min="15109" max="15109" width="12.140625" customWidth="1"/>
    <col min="15110" max="15110" width="8.7109375" customWidth="1"/>
    <col min="15111" max="15111" width="12.140625" customWidth="1"/>
    <col min="15112" max="15112" width="13.140625" customWidth="1"/>
    <col min="15113" max="15113" width="11.85546875" customWidth="1"/>
    <col min="15114" max="15114" width="13.5703125" customWidth="1"/>
    <col min="15115" max="15115" width="10.28515625" customWidth="1"/>
    <col min="15116" max="15116" width="10.42578125" customWidth="1"/>
    <col min="15117" max="15118" width="10.85546875" customWidth="1"/>
    <col min="15119" max="15119" width="12.5703125" customWidth="1"/>
    <col min="15120" max="15120" width="13.7109375" customWidth="1"/>
    <col min="15121" max="15121" width="13.5703125" customWidth="1"/>
    <col min="15122" max="15122" width="11" customWidth="1"/>
    <col min="15123" max="15124" width="9.42578125" customWidth="1"/>
    <col min="15125" max="15125" width="12.28515625" customWidth="1"/>
    <col min="15126" max="15126" width="12.5703125" customWidth="1"/>
    <col min="15127" max="15127" width="12" customWidth="1"/>
    <col min="15128" max="15128" width="13.85546875" customWidth="1"/>
    <col min="15129" max="15129" width="11.85546875" customWidth="1"/>
    <col min="15130" max="15131" width="0" hidden="1" customWidth="1"/>
    <col min="15132" max="15132" width="14" customWidth="1"/>
    <col min="15133" max="15133" width="0" hidden="1" customWidth="1"/>
    <col min="15134" max="15134" width="7.42578125" customWidth="1"/>
    <col min="15135" max="15135" width="8.28515625" customWidth="1"/>
    <col min="15136" max="15136" width="11.42578125" customWidth="1"/>
    <col min="15357" max="15357" width="8.28515625" customWidth="1"/>
    <col min="15358" max="15358" width="42.85546875" customWidth="1"/>
    <col min="15359" max="15359" width="14" customWidth="1"/>
    <col min="15360" max="15360" width="10.85546875" customWidth="1"/>
    <col min="15361" max="15361" width="11.7109375" customWidth="1"/>
    <col min="15362" max="15362" width="12.140625" customWidth="1"/>
    <col min="15363" max="15364" width="12.28515625" customWidth="1"/>
    <col min="15365" max="15365" width="12.140625" customWidth="1"/>
    <col min="15366" max="15366" width="8.7109375" customWidth="1"/>
    <col min="15367" max="15367" width="12.140625" customWidth="1"/>
    <col min="15368" max="15368" width="13.140625" customWidth="1"/>
    <col min="15369" max="15369" width="11.85546875" customWidth="1"/>
    <col min="15370" max="15370" width="13.5703125" customWidth="1"/>
    <col min="15371" max="15371" width="10.28515625" customWidth="1"/>
    <col min="15372" max="15372" width="10.42578125" customWidth="1"/>
    <col min="15373" max="15374" width="10.85546875" customWidth="1"/>
    <col min="15375" max="15375" width="12.5703125" customWidth="1"/>
    <col min="15376" max="15376" width="13.7109375" customWidth="1"/>
    <col min="15377" max="15377" width="13.5703125" customWidth="1"/>
    <col min="15378" max="15378" width="11" customWidth="1"/>
    <col min="15379" max="15380" width="9.42578125" customWidth="1"/>
    <col min="15381" max="15381" width="12.28515625" customWidth="1"/>
    <col min="15382" max="15382" width="12.5703125" customWidth="1"/>
    <col min="15383" max="15383" width="12" customWidth="1"/>
    <col min="15384" max="15384" width="13.85546875" customWidth="1"/>
    <col min="15385" max="15385" width="11.85546875" customWidth="1"/>
    <col min="15386" max="15387" width="0" hidden="1" customWidth="1"/>
    <col min="15388" max="15388" width="14" customWidth="1"/>
    <col min="15389" max="15389" width="0" hidden="1" customWidth="1"/>
    <col min="15390" max="15390" width="7.42578125" customWidth="1"/>
    <col min="15391" max="15391" width="8.28515625" customWidth="1"/>
    <col min="15392" max="15392" width="11.42578125" customWidth="1"/>
    <col min="15613" max="15613" width="8.28515625" customWidth="1"/>
    <col min="15614" max="15614" width="42.85546875" customWidth="1"/>
    <col min="15615" max="15615" width="14" customWidth="1"/>
    <col min="15616" max="15616" width="10.85546875" customWidth="1"/>
    <col min="15617" max="15617" width="11.7109375" customWidth="1"/>
    <col min="15618" max="15618" width="12.140625" customWidth="1"/>
    <col min="15619" max="15620" width="12.28515625" customWidth="1"/>
    <col min="15621" max="15621" width="12.140625" customWidth="1"/>
    <col min="15622" max="15622" width="8.7109375" customWidth="1"/>
    <col min="15623" max="15623" width="12.140625" customWidth="1"/>
    <col min="15624" max="15624" width="13.140625" customWidth="1"/>
    <col min="15625" max="15625" width="11.85546875" customWidth="1"/>
    <col min="15626" max="15626" width="13.5703125" customWidth="1"/>
    <col min="15627" max="15627" width="10.28515625" customWidth="1"/>
    <col min="15628" max="15628" width="10.42578125" customWidth="1"/>
    <col min="15629" max="15630" width="10.85546875" customWidth="1"/>
    <col min="15631" max="15631" width="12.5703125" customWidth="1"/>
    <col min="15632" max="15632" width="13.7109375" customWidth="1"/>
    <col min="15633" max="15633" width="13.5703125" customWidth="1"/>
    <col min="15634" max="15634" width="11" customWidth="1"/>
    <col min="15635" max="15636" width="9.42578125" customWidth="1"/>
    <col min="15637" max="15637" width="12.28515625" customWidth="1"/>
    <col min="15638" max="15638" width="12.5703125" customWidth="1"/>
    <col min="15639" max="15639" width="12" customWidth="1"/>
    <col min="15640" max="15640" width="13.85546875" customWidth="1"/>
    <col min="15641" max="15641" width="11.85546875" customWidth="1"/>
    <col min="15642" max="15643" width="0" hidden="1" customWidth="1"/>
    <col min="15644" max="15644" width="14" customWidth="1"/>
    <col min="15645" max="15645" width="0" hidden="1" customWidth="1"/>
    <col min="15646" max="15646" width="7.42578125" customWidth="1"/>
    <col min="15647" max="15647" width="8.28515625" customWidth="1"/>
    <col min="15648" max="15648" width="11.42578125" customWidth="1"/>
    <col min="15869" max="15869" width="8.28515625" customWidth="1"/>
    <col min="15870" max="15870" width="42.85546875" customWidth="1"/>
    <col min="15871" max="15871" width="14" customWidth="1"/>
    <col min="15872" max="15872" width="10.85546875" customWidth="1"/>
    <col min="15873" max="15873" width="11.7109375" customWidth="1"/>
    <col min="15874" max="15874" width="12.140625" customWidth="1"/>
    <col min="15875" max="15876" width="12.28515625" customWidth="1"/>
    <col min="15877" max="15877" width="12.140625" customWidth="1"/>
    <col min="15878" max="15878" width="8.7109375" customWidth="1"/>
    <col min="15879" max="15879" width="12.140625" customWidth="1"/>
    <col min="15880" max="15880" width="13.140625" customWidth="1"/>
    <col min="15881" max="15881" width="11.85546875" customWidth="1"/>
    <col min="15882" max="15882" width="13.5703125" customWidth="1"/>
    <col min="15883" max="15883" width="10.28515625" customWidth="1"/>
    <col min="15884" max="15884" width="10.42578125" customWidth="1"/>
    <col min="15885" max="15886" width="10.85546875" customWidth="1"/>
    <col min="15887" max="15887" width="12.5703125" customWidth="1"/>
    <col min="15888" max="15888" width="13.7109375" customWidth="1"/>
    <col min="15889" max="15889" width="13.5703125" customWidth="1"/>
    <col min="15890" max="15890" width="11" customWidth="1"/>
    <col min="15891" max="15892" width="9.42578125" customWidth="1"/>
    <col min="15893" max="15893" width="12.28515625" customWidth="1"/>
    <col min="15894" max="15894" width="12.5703125" customWidth="1"/>
    <col min="15895" max="15895" width="12" customWidth="1"/>
    <col min="15896" max="15896" width="13.85546875" customWidth="1"/>
    <col min="15897" max="15897" width="11.85546875" customWidth="1"/>
    <col min="15898" max="15899" width="0" hidden="1" customWidth="1"/>
    <col min="15900" max="15900" width="14" customWidth="1"/>
    <col min="15901" max="15901" width="0" hidden="1" customWidth="1"/>
    <col min="15902" max="15902" width="7.42578125" customWidth="1"/>
    <col min="15903" max="15903" width="8.28515625" customWidth="1"/>
    <col min="15904" max="15904" width="11.42578125" customWidth="1"/>
    <col min="16125" max="16125" width="8.28515625" customWidth="1"/>
    <col min="16126" max="16126" width="42.85546875" customWidth="1"/>
    <col min="16127" max="16127" width="14" customWidth="1"/>
    <col min="16128" max="16128" width="10.85546875" customWidth="1"/>
    <col min="16129" max="16129" width="11.7109375" customWidth="1"/>
    <col min="16130" max="16130" width="12.140625" customWidth="1"/>
    <col min="16131" max="16132" width="12.28515625" customWidth="1"/>
    <col min="16133" max="16133" width="12.140625" customWidth="1"/>
    <col min="16134" max="16134" width="8.7109375" customWidth="1"/>
    <col min="16135" max="16135" width="12.140625" customWidth="1"/>
    <col min="16136" max="16136" width="13.140625" customWidth="1"/>
    <col min="16137" max="16137" width="11.85546875" customWidth="1"/>
    <col min="16138" max="16138" width="13.5703125" customWidth="1"/>
    <col min="16139" max="16139" width="10.28515625" customWidth="1"/>
    <col min="16140" max="16140" width="10.42578125" customWidth="1"/>
    <col min="16141" max="16142" width="10.85546875" customWidth="1"/>
    <col min="16143" max="16143" width="12.5703125" customWidth="1"/>
    <col min="16144" max="16144" width="13.7109375" customWidth="1"/>
    <col min="16145" max="16145" width="13.5703125" customWidth="1"/>
    <col min="16146" max="16146" width="11" customWidth="1"/>
    <col min="16147" max="16148" width="9.42578125" customWidth="1"/>
    <col min="16149" max="16149" width="12.28515625" customWidth="1"/>
    <col min="16150" max="16150" width="12.5703125" customWidth="1"/>
    <col min="16151" max="16151" width="12" customWidth="1"/>
    <col min="16152" max="16152" width="13.85546875" customWidth="1"/>
    <col min="16153" max="16153" width="11.85546875" customWidth="1"/>
    <col min="16154" max="16155" width="0" hidden="1" customWidth="1"/>
    <col min="16156" max="16156" width="14" customWidth="1"/>
    <col min="16157" max="16157" width="0" hidden="1" customWidth="1"/>
    <col min="16158" max="16158" width="7.42578125" customWidth="1"/>
    <col min="16159" max="16159" width="8.28515625" customWidth="1"/>
    <col min="16160" max="16160" width="11.42578125" customWidth="1"/>
  </cols>
  <sheetData>
    <row r="1" spans="1:157" ht="15" hidden="1" customHeight="1" x14ac:dyDescent="0.3">
      <c r="A1" s="1297" t="s">
        <v>0</v>
      </c>
      <c r="B1" s="1297"/>
      <c r="C1" s="1297"/>
      <c r="D1" s="1297"/>
      <c r="E1" s="1297"/>
      <c r="F1" s="1297"/>
      <c r="G1" s="1297"/>
      <c r="H1" s="1297"/>
      <c r="I1" s="1297"/>
      <c r="J1" s="1297"/>
      <c r="K1" s="1297"/>
      <c r="L1" s="1297"/>
      <c r="M1" s="1297"/>
      <c r="N1" s="1297"/>
      <c r="O1" s="1297"/>
      <c r="P1" s="1297"/>
      <c r="Q1" s="1297"/>
      <c r="R1" s="1297"/>
      <c r="S1" s="1297"/>
      <c r="T1" s="1297"/>
      <c r="U1" s="1297"/>
      <c r="V1" s="1297"/>
      <c r="W1" s="1297"/>
      <c r="X1" s="1297"/>
      <c r="Y1" s="1297"/>
      <c r="Z1" s="1297"/>
      <c r="AA1" s="1297"/>
      <c r="AB1" s="1297"/>
      <c r="AC1" s="1297"/>
      <c r="AD1" s="1297"/>
      <c r="AE1" s="1297"/>
      <c r="AF1" s="1297"/>
    </row>
    <row r="2" spans="1:157" ht="4.5" hidden="1" customHeight="1" x14ac:dyDescent="0.3">
      <c r="C2" s="2"/>
      <c r="D2" s="2"/>
      <c r="E2" s="2"/>
      <c r="F2" s="2"/>
      <c r="G2" s="2"/>
      <c r="H2" s="2"/>
      <c r="I2" s="2"/>
      <c r="J2" s="2"/>
      <c r="K2" s="2"/>
      <c r="N2" s="2"/>
      <c r="O2" s="2"/>
      <c r="P2" s="2"/>
      <c r="Q2" s="2"/>
      <c r="R2" s="3"/>
      <c r="S2" s="2"/>
      <c r="V2" s="2"/>
    </row>
    <row r="3" spans="1:157" ht="12" hidden="1" customHeight="1" x14ac:dyDescent="0.3">
      <c r="C3" s="2"/>
      <c r="D3" s="2"/>
      <c r="E3" s="2"/>
      <c r="F3" s="1298" t="s">
        <v>1</v>
      </c>
      <c r="G3" s="1298"/>
      <c r="H3" s="1299" t="s">
        <v>2</v>
      </c>
      <c r="I3" s="1299"/>
      <c r="J3" s="6"/>
      <c r="K3" s="6"/>
      <c r="Q3" s="2"/>
      <c r="R3" s="3"/>
      <c r="S3" s="2"/>
      <c r="V3" s="2"/>
    </row>
    <row r="4" spans="1:157" ht="21" customHeight="1" x14ac:dyDescent="0.3">
      <c r="A4" s="7" t="s">
        <v>3</v>
      </c>
      <c r="B4" s="8"/>
      <c r="C4" s="9" t="s">
        <v>4</v>
      </c>
      <c r="D4" s="9" t="s">
        <v>5</v>
      </c>
      <c r="E4" s="10" t="s">
        <v>6</v>
      </c>
      <c r="F4" s="9" t="s">
        <v>7</v>
      </c>
      <c r="G4" s="9" t="s">
        <v>8</v>
      </c>
      <c r="H4" s="9" t="s">
        <v>7</v>
      </c>
      <c r="I4" s="11" t="s">
        <v>8</v>
      </c>
      <c r="J4" s="12" t="s">
        <v>9</v>
      </c>
      <c r="K4" s="13" t="s">
        <v>10</v>
      </c>
      <c r="L4" s="14" t="s">
        <v>11</v>
      </c>
      <c r="M4" s="15" t="s">
        <v>12</v>
      </c>
      <c r="N4" s="16" t="s">
        <v>13</v>
      </c>
      <c r="O4" s="17" t="s">
        <v>14</v>
      </c>
      <c r="P4" s="17" t="s">
        <v>15</v>
      </c>
      <c r="Q4" s="18" t="s">
        <v>16</v>
      </c>
      <c r="R4" s="18" t="s">
        <v>17</v>
      </c>
      <c r="S4" s="19" t="s">
        <v>18</v>
      </c>
      <c r="T4" s="11" t="s">
        <v>19</v>
      </c>
      <c r="U4" s="20" t="s">
        <v>20</v>
      </c>
      <c r="V4" s="19" t="s">
        <v>21</v>
      </c>
      <c r="W4" s="11" t="s">
        <v>22</v>
      </c>
      <c r="X4" s="21" t="s">
        <v>23</v>
      </c>
      <c r="Y4" s="22" t="s">
        <v>24</v>
      </c>
      <c r="Z4" s="23" t="s">
        <v>25</v>
      </c>
      <c r="AA4" s="20" t="s">
        <v>26</v>
      </c>
      <c r="AB4" s="16" t="s">
        <v>27</v>
      </c>
      <c r="AC4" s="24" t="s">
        <v>28</v>
      </c>
      <c r="AD4" s="25" t="s">
        <v>29</v>
      </c>
      <c r="AE4" s="25" t="s">
        <v>854</v>
      </c>
      <c r="AF4" s="1044" t="s">
        <v>30</v>
      </c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</row>
    <row r="5" spans="1:157" ht="18" customHeight="1" x14ac:dyDescent="0.25">
      <c r="A5" s="27">
        <v>1</v>
      </c>
      <c r="B5" s="28" t="s">
        <v>46</v>
      </c>
      <c r="C5" s="29">
        <f>IF(L5&gt;=401.41,401.41,IF(L5&lt;401.41,L5))</f>
        <v>401.41</v>
      </c>
      <c r="D5" s="30">
        <f>+L5-C5</f>
        <v>129.8230999999999</v>
      </c>
      <c r="E5" s="31">
        <f>+C5/13.3803</f>
        <v>30.000074736739837</v>
      </c>
      <c r="F5" s="32">
        <f>+'TALLER ACTIVOS'!BF7</f>
        <v>405.33568499999996</v>
      </c>
      <c r="G5" s="32">
        <f>+[1]TALLER!BB7</f>
        <v>0</v>
      </c>
      <c r="H5" s="32">
        <f>+'TALLER ACTIVOS'!CX7</f>
        <v>125.897415</v>
      </c>
      <c r="I5" s="32">
        <f>+[1]TALLER!CT7</f>
        <v>0</v>
      </c>
      <c r="J5" s="32"/>
      <c r="K5" s="33"/>
      <c r="L5" s="34">
        <f>+F5+G5+H5+I5+K5+J5</f>
        <v>531.23309999999992</v>
      </c>
      <c r="M5" s="35">
        <f>IF(L5&gt;=401.41,37.933,IF(L5&lt;401.41,L5*9.45%))</f>
        <v>37.933</v>
      </c>
      <c r="N5" s="36">
        <f>+L5-M5</f>
        <v>493.30009999999993</v>
      </c>
      <c r="O5" s="37">
        <f>IF(E5&gt;=30,33.45,IF(E5&lt;30,E5*1.115))</f>
        <v>33.450000000000003</v>
      </c>
      <c r="P5" s="37">
        <f>IF(E5&gt;=30,33.33,IF(E5&lt;30,E5*1.111))</f>
        <v>33.33</v>
      </c>
      <c r="Q5" s="33">
        <f>+O5+P5</f>
        <v>66.78</v>
      </c>
      <c r="R5" s="38">
        <f>33.45/30*E5</f>
        <v>33.450083331464917</v>
      </c>
      <c r="S5" s="39"/>
      <c r="T5" s="35"/>
      <c r="U5" s="40">
        <f>N5+Q5+R5+S5+T5</f>
        <v>593.53018333146485</v>
      </c>
      <c r="V5" s="41"/>
      <c r="W5" s="35"/>
      <c r="X5" s="42"/>
      <c r="Y5" s="43"/>
      <c r="Z5" s="44">
        <v>46.63</v>
      </c>
      <c r="AA5" s="40">
        <f>+W5+V5+X5+Y5+Z5</f>
        <v>46.63</v>
      </c>
      <c r="AB5" s="36">
        <f>+U5-AA5</f>
        <v>546.90018333146486</v>
      </c>
      <c r="AC5" s="288"/>
      <c r="AD5" s="45"/>
      <c r="AE5" s="45"/>
      <c r="AF5" s="46">
        <f>+AB5-AC5-AD5-AE5</f>
        <v>546.90018333146486</v>
      </c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</row>
    <row r="6" spans="1:157" ht="18" customHeight="1" x14ac:dyDescent="0.25">
      <c r="A6" s="27">
        <f>A5+1</f>
        <v>2</v>
      </c>
      <c r="B6" s="28" t="s">
        <v>49</v>
      </c>
      <c r="C6" s="29">
        <f>IF(L6&gt;=401.41,401.41,IF(L6&lt;401.41,L6))</f>
        <v>401.41</v>
      </c>
      <c r="D6" s="30">
        <f>+L6-C6</f>
        <v>99.937187931034487</v>
      </c>
      <c r="E6" s="31">
        <f t="shared" ref="E6:E45" si="0">+C6/13.3803</f>
        <v>30.000074736739837</v>
      </c>
      <c r="F6" s="32">
        <f>+'TALLER ACTIVOS'!BF8</f>
        <v>384.23382000000004</v>
      </c>
      <c r="G6" s="32">
        <f>+[1]TALLER!BB8</f>
        <v>0</v>
      </c>
      <c r="H6" s="32">
        <f>+'TALLER ACTIVOS'!CX8</f>
        <v>117.11336793103447</v>
      </c>
      <c r="I6" s="32">
        <f>+[1]TALLER!CT8</f>
        <v>0</v>
      </c>
      <c r="J6" s="32"/>
      <c r="K6" s="33"/>
      <c r="L6" s="34">
        <f t="shared" ref="L6:L30" si="1">+F6+G6+H6+I6+K6+J6</f>
        <v>501.34718793103451</v>
      </c>
      <c r="M6" s="35">
        <f t="shared" ref="M6:M45" si="2">IF(L6&gt;=401.41,37.933,IF(L6&lt;401.41,L6*9.45%))</f>
        <v>37.933</v>
      </c>
      <c r="N6" s="36">
        <f t="shared" ref="N6:N13" si="3">+L6-M6</f>
        <v>463.41418793103452</v>
      </c>
      <c r="O6" s="37">
        <f t="shared" ref="O6:O13" si="4">IF(E6&gt;=30,33.45,IF(E6&lt;30,E6*1.115))</f>
        <v>33.450000000000003</v>
      </c>
      <c r="P6" s="37">
        <f t="shared" ref="P6:P13" si="5">IF(E6&gt;=30,33.33,IF(E6&lt;30,E6*1.111))</f>
        <v>33.33</v>
      </c>
      <c r="Q6" s="33">
        <f t="shared" ref="Q6:Q13" si="6">+O6+P6</f>
        <v>66.78</v>
      </c>
      <c r="R6" s="38">
        <f>33.45/30*E6</f>
        <v>33.450083331464917</v>
      </c>
      <c r="S6" s="39"/>
      <c r="T6" s="35"/>
      <c r="U6" s="40">
        <f t="shared" ref="U6:U13" si="7">N6+Q6+R6+S6+T6</f>
        <v>563.6442712624995</v>
      </c>
      <c r="V6" s="39"/>
      <c r="W6" s="35"/>
      <c r="X6" s="42"/>
      <c r="Y6" s="43"/>
      <c r="Z6" s="47"/>
      <c r="AA6" s="40">
        <f t="shared" ref="AA6:AA25" si="8">+W6+V6+X6+Y6+Z6</f>
        <v>0</v>
      </c>
      <c r="AB6" s="36">
        <f t="shared" ref="AB6:AB13" si="9">+U6-AA6</f>
        <v>563.6442712624995</v>
      </c>
      <c r="AC6" s="288"/>
      <c r="AD6" s="45"/>
      <c r="AE6" s="45"/>
      <c r="AF6" s="46">
        <f t="shared" ref="AF6:AF13" si="10">+AB6-AC6-AD6-AE6</f>
        <v>563.6442712624995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</row>
    <row r="7" spans="1:157" s="52" customFormat="1" ht="18" customHeight="1" x14ac:dyDescent="0.25">
      <c r="A7" s="27">
        <f t="shared" ref="A7:A11" si="11">A6+1</f>
        <v>3</v>
      </c>
      <c r="B7" s="48" t="s">
        <v>32</v>
      </c>
      <c r="C7" s="29">
        <f>IF(L7&gt;=401.41,401.41,IF(L7&lt;401.41,L7))</f>
        <v>401.41</v>
      </c>
      <c r="D7" s="30">
        <f>+L7-C7</f>
        <v>110.2607450000001</v>
      </c>
      <c r="E7" s="31">
        <f t="shared" si="0"/>
        <v>30.000074736739837</v>
      </c>
      <c r="F7" s="32">
        <f>+'TALLER ACTIVOS'!BF9</f>
        <v>375.8994100000001</v>
      </c>
      <c r="G7" s="32">
        <f>+[1]TALLER!BB9</f>
        <v>0</v>
      </c>
      <c r="H7" s="32">
        <f>+'TALLER ACTIVOS'!CX9</f>
        <v>135.77133500000002</v>
      </c>
      <c r="I7" s="32">
        <f>+[1]TALLER!CT9</f>
        <v>0</v>
      </c>
      <c r="J7" s="32"/>
      <c r="K7" s="33"/>
      <c r="L7" s="34">
        <f t="shared" si="1"/>
        <v>511.67074500000012</v>
      </c>
      <c r="M7" s="35">
        <f t="shared" si="2"/>
        <v>37.933</v>
      </c>
      <c r="N7" s="36">
        <f t="shared" si="3"/>
        <v>473.73774500000013</v>
      </c>
      <c r="O7" s="37">
        <f t="shared" si="4"/>
        <v>33.450000000000003</v>
      </c>
      <c r="P7" s="37">
        <f t="shared" si="5"/>
        <v>33.33</v>
      </c>
      <c r="Q7" s="33">
        <f t="shared" si="6"/>
        <v>66.78</v>
      </c>
      <c r="R7" s="38">
        <f>33.45/30*E7</f>
        <v>33.450083331464917</v>
      </c>
      <c r="S7" s="49"/>
      <c r="T7" s="50"/>
      <c r="U7" s="40">
        <f t="shared" si="7"/>
        <v>573.96782833146506</v>
      </c>
      <c r="V7" s="39"/>
      <c r="W7" s="35"/>
      <c r="X7" s="51"/>
      <c r="Y7" s="43"/>
      <c r="Z7" s="44"/>
      <c r="AA7" s="40">
        <f t="shared" si="8"/>
        <v>0</v>
      </c>
      <c r="AB7" s="36">
        <f t="shared" si="9"/>
        <v>573.96782833146506</v>
      </c>
      <c r="AC7" s="288"/>
      <c r="AD7" s="45"/>
      <c r="AE7" s="45"/>
      <c r="AF7" s="46">
        <f t="shared" si="10"/>
        <v>573.96782833146506</v>
      </c>
    </row>
    <row r="8" spans="1:157" ht="18" customHeight="1" x14ac:dyDescent="0.25">
      <c r="A8" s="27">
        <f t="shared" si="11"/>
        <v>4</v>
      </c>
      <c r="B8" s="28" t="s">
        <v>45</v>
      </c>
      <c r="C8" s="29">
        <f>IF(L8&gt;=401.41,401.41,IF(L8&lt;401.41,L8))</f>
        <v>401.41</v>
      </c>
      <c r="D8" s="30">
        <f>+L8-C8</f>
        <v>195.22120999999999</v>
      </c>
      <c r="E8" s="31">
        <f t="shared" si="0"/>
        <v>30.000074736739837</v>
      </c>
      <c r="F8" s="32">
        <f>+'TALLER ACTIVOS'!BF10</f>
        <v>415.95953000000003</v>
      </c>
      <c r="G8" s="32">
        <f>+[1]TALLER!BB10</f>
        <v>0</v>
      </c>
      <c r="H8" s="32">
        <f>+'TALLER ACTIVOS'!CX10</f>
        <v>180.67167999999998</v>
      </c>
      <c r="I8" s="32">
        <f>+[1]TALLER!CT10</f>
        <v>0</v>
      </c>
      <c r="J8" s="32"/>
      <c r="K8" s="33"/>
      <c r="L8" s="34">
        <f t="shared" si="1"/>
        <v>596.63121000000001</v>
      </c>
      <c r="M8" s="35">
        <f t="shared" si="2"/>
        <v>37.933</v>
      </c>
      <c r="N8" s="36">
        <f t="shared" si="3"/>
        <v>558.69821000000002</v>
      </c>
      <c r="O8" s="37">
        <f t="shared" si="4"/>
        <v>33.450000000000003</v>
      </c>
      <c r="P8" s="37">
        <f t="shared" si="5"/>
        <v>33.33</v>
      </c>
      <c r="Q8" s="33">
        <f t="shared" si="6"/>
        <v>66.78</v>
      </c>
      <c r="R8" s="38">
        <f>33.45/30*E8</f>
        <v>33.450083331464917</v>
      </c>
      <c r="S8" s="39"/>
      <c r="T8" s="35"/>
      <c r="U8" s="40">
        <f t="shared" si="7"/>
        <v>658.92829333146494</v>
      </c>
      <c r="V8" s="39"/>
      <c r="W8" s="35"/>
      <c r="X8" s="42"/>
      <c r="Y8" s="43"/>
      <c r="Z8" s="47"/>
      <c r="AA8" s="40">
        <f t="shared" si="8"/>
        <v>0</v>
      </c>
      <c r="AB8" s="36">
        <f t="shared" si="9"/>
        <v>658.92829333146494</v>
      </c>
      <c r="AC8" s="288"/>
      <c r="AD8" s="45"/>
      <c r="AE8" s="45"/>
      <c r="AF8" s="46">
        <f t="shared" si="10"/>
        <v>658.92829333146494</v>
      </c>
      <c r="AG8" s="54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</row>
    <row r="9" spans="1:157" ht="18" customHeight="1" x14ac:dyDescent="0.25">
      <c r="A9" s="27">
        <f t="shared" si="11"/>
        <v>5</v>
      </c>
      <c r="B9" s="48" t="s">
        <v>34</v>
      </c>
      <c r="C9" s="29">
        <f t="shared" ref="C9:C32" si="12">IF(L9&gt;=401.41,401.41,IF(L9&lt;401.41,L9))</f>
        <v>401.41</v>
      </c>
      <c r="D9" s="30">
        <f t="shared" ref="D9:D32" si="13">+L9-C9</f>
        <v>184.20984000000004</v>
      </c>
      <c r="E9" s="31">
        <f t="shared" si="0"/>
        <v>30.000074736739837</v>
      </c>
      <c r="F9" s="32">
        <f>+'TALLER ACTIVOS'!BF11</f>
        <v>416.88156000000004</v>
      </c>
      <c r="G9" s="32">
        <f>+[1]TALLER!BB11</f>
        <v>0</v>
      </c>
      <c r="H9" s="32">
        <f>+'TALLER ACTIVOS'!CX11</f>
        <v>168.73828</v>
      </c>
      <c r="I9" s="32">
        <f>+[1]TALLER!CT11</f>
        <v>0</v>
      </c>
      <c r="J9" s="32"/>
      <c r="K9" s="33"/>
      <c r="L9" s="34">
        <f t="shared" si="1"/>
        <v>585.61984000000007</v>
      </c>
      <c r="M9" s="35">
        <f t="shared" si="2"/>
        <v>37.933</v>
      </c>
      <c r="N9" s="36">
        <f t="shared" si="3"/>
        <v>547.68684000000007</v>
      </c>
      <c r="O9" s="37">
        <f t="shared" si="4"/>
        <v>33.450000000000003</v>
      </c>
      <c r="P9" s="37">
        <f t="shared" si="5"/>
        <v>33.33</v>
      </c>
      <c r="Q9" s="33">
        <f t="shared" si="6"/>
        <v>66.78</v>
      </c>
      <c r="R9" s="38">
        <f>33.45/30*E9</f>
        <v>33.450083331464917</v>
      </c>
      <c r="S9" s="39"/>
      <c r="T9" s="35"/>
      <c r="U9" s="40">
        <f t="shared" si="7"/>
        <v>647.916923331465</v>
      </c>
      <c r="V9" s="39"/>
      <c r="W9" s="35"/>
      <c r="X9" s="42"/>
      <c r="Y9" s="43"/>
      <c r="Z9" s="47"/>
      <c r="AA9" s="40">
        <f t="shared" si="8"/>
        <v>0</v>
      </c>
      <c r="AB9" s="36">
        <f t="shared" si="9"/>
        <v>647.916923331465</v>
      </c>
      <c r="AC9" s="288"/>
      <c r="AD9" s="45"/>
      <c r="AE9" s="45"/>
      <c r="AF9" s="46">
        <f t="shared" si="10"/>
        <v>647.916923331465</v>
      </c>
      <c r="AG9" s="54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</row>
    <row r="10" spans="1:157" s="52" customFormat="1" ht="18" customHeight="1" x14ac:dyDescent="0.25">
      <c r="A10" s="27">
        <f t="shared" si="11"/>
        <v>6</v>
      </c>
      <c r="B10" s="28" t="s">
        <v>36</v>
      </c>
      <c r="C10" s="29">
        <f t="shared" si="12"/>
        <v>401.41</v>
      </c>
      <c r="D10" s="30">
        <f t="shared" si="13"/>
        <v>131.67328499999991</v>
      </c>
      <c r="E10" s="31">
        <f t="shared" si="0"/>
        <v>30.000074736739837</v>
      </c>
      <c r="F10" s="32">
        <f>+'TALLER ACTIVOS'!BF12</f>
        <v>365.44755499999997</v>
      </c>
      <c r="G10" s="32">
        <f>+[1]TALLER!BB12</f>
        <v>0</v>
      </c>
      <c r="H10" s="32">
        <f>+'TALLER ACTIVOS'!CX12</f>
        <v>167.63573</v>
      </c>
      <c r="I10" s="32">
        <f>+[1]TALLER!CT12</f>
        <v>0</v>
      </c>
      <c r="J10" s="32"/>
      <c r="K10" s="33"/>
      <c r="L10" s="34">
        <f t="shared" si="1"/>
        <v>533.08328499999993</v>
      </c>
      <c r="M10" s="35">
        <f t="shared" si="2"/>
        <v>37.933</v>
      </c>
      <c r="N10" s="36">
        <f t="shared" si="3"/>
        <v>495.15028499999994</v>
      </c>
      <c r="O10" s="37">
        <f>IF(E10&gt;=30,33.45,IF(E10&lt;30,E10*1.115))</f>
        <v>33.450000000000003</v>
      </c>
      <c r="P10" s="37">
        <f t="shared" si="5"/>
        <v>33.33</v>
      </c>
      <c r="Q10" s="33">
        <f t="shared" si="6"/>
        <v>66.78</v>
      </c>
      <c r="R10" s="38">
        <f t="shared" ref="R10:R12" si="14">33.45/30*E10</f>
        <v>33.450083331464917</v>
      </c>
      <c r="S10" s="49"/>
      <c r="T10" s="50"/>
      <c r="U10" s="40">
        <f t="shared" si="7"/>
        <v>595.38036833146487</v>
      </c>
      <c r="V10" s="49"/>
      <c r="W10" s="35"/>
      <c r="X10" s="51"/>
      <c r="Y10" s="43"/>
      <c r="Z10" s="44"/>
      <c r="AA10" s="40">
        <f t="shared" si="8"/>
        <v>0</v>
      </c>
      <c r="AB10" s="36">
        <f t="shared" si="9"/>
        <v>595.38036833146487</v>
      </c>
      <c r="AC10" s="288"/>
      <c r="AD10" s="45"/>
      <c r="AE10" s="45"/>
      <c r="AF10" s="46">
        <f t="shared" si="10"/>
        <v>595.38036833146487</v>
      </c>
    </row>
    <row r="11" spans="1:157" ht="18" customHeight="1" x14ac:dyDescent="0.25">
      <c r="A11" s="27">
        <f t="shared" si="11"/>
        <v>7</v>
      </c>
      <c r="B11" s="28" t="s">
        <v>35</v>
      </c>
      <c r="C11" s="29">
        <f t="shared" si="12"/>
        <v>401.41</v>
      </c>
      <c r="D11" s="30">
        <f t="shared" si="13"/>
        <v>196.5917849999999</v>
      </c>
      <c r="E11" s="31">
        <f t="shared" si="0"/>
        <v>30.000074736739837</v>
      </c>
      <c r="F11" s="32">
        <f>+'TALLER ACTIVOS'!BF13</f>
        <v>416.51126749999997</v>
      </c>
      <c r="G11" s="32">
        <f>+[1]TALLER!BB13</f>
        <v>0</v>
      </c>
      <c r="H11" s="32">
        <f>+'TALLER ACTIVOS'!CX13</f>
        <v>181.49051750000001</v>
      </c>
      <c r="I11" s="32">
        <f>+[1]TALLER!CT13</f>
        <v>0</v>
      </c>
      <c r="J11" s="32"/>
      <c r="K11" s="33"/>
      <c r="L11" s="34">
        <f t="shared" si="1"/>
        <v>598.00178499999993</v>
      </c>
      <c r="M11" s="35">
        <f t="shared" si="2"/>
        <v>37.933</v>
      </c>
      <c r="N11" s="36">
        <f t="shared" si="3"/>
        <v>560.06878499999993</v>
      </c>
      <c r="O11" s="37">
        <f t="shared" si="4"/>
        <v>33.450000000000003</v>
      </c>
      <c r="P11" s="37">
        <f t="shared" si="5"/>
        <v>33.33</v>
      </c>
      <c r="Q11" s="33">
        <f t="shared" si="6"/>
        <v>66.78</v>
      </c>
      <c r="R11" s="38">
        <f t="shared" si="14"/>
        <v>33.450083331464917</v>
      </c>
      <c r="S11" s="39"/>
      <c r="T11" s="35"/>
      <c r="U11" s="40">
        <f t="shared" si="7"/>
        <v>660.29886833146486</v>
      </c>
      <c r="V11" s="39"/>
      <c r="W11" s="35"/>
      <c r="X11" s="42"/>
      <c r="Y11" s="43"/>
      <c r="Z11" s="47"/>
      <c r="AA11" s="40">
        <f t="shared" si="8"/>
        <v>0</v>
      </c>
      <c r="AB11" s="36">
        <f t="shared" si="9"/>
        <v>660.29886833146486</v>
      </c>
      <c r="AC11" s="288"/>
      <c r="AD11" s="45"/>
      <c r="AE11" s="45"/>
      <c r="AF11" s="46">
        <f t="shared" si="10"/>
        <v>660.29886833146486</v>
      </c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</row>
    <row r="12" spans="1:157" ht="18" customHeight="1" x14ac:dyDescent="0.25">
      <c r="A12" s="27">
        <f>A11+1</f>
        <v>8</v>
      </c>
      <c r="B12" s="28" t="s">
        <v>51</v>
      </c>
      <c r="C12" s="29">
        <f t="shared" si="12"/>
        <v>401.41</v>
      </c>
      <c r="D12" s="30">
        <f t="shared" si="13"/>
        <v>89.639272931034441</v>
      </c>
      <c r="E12" s="31">
        <f t="shared" si="0"/>
        <v>30.000074736739837</v>
      </c>
      <c r="F12" s="32">
        <f>+'TALLER ACTIVOS'!BF14</f>
        <v>379.64569</v>
      </c>
      <c r="G12" s="32">
        <f>+[1]TALLER!BB16</f>
        <v>0</v>
      </c>
      <c r="H12" s="32">
        <f>+'TALLER ACTIVOS'!CX14</f>
        <v>111.40358293103448</v>
      </c>
      <c r="I12" s="32">
        <f>+[1]TALLER!CT16</f>
        <v>0</v>
      </c>
      <c r="J12" s="32"/>
      <c r="K12" s="33"/>
      <c r="L12" s="34">
        <f t="shared" si="1"/>
        <v>491.04927293103447</v>
      </c>
      <c r="M12" s="35">
        <f t="shared" si="2"/>
        <v>37.933</v>
      </c>
      <c r="N12" s="36">
        <f t="shared" si="3"/>
        <v>453.11627293103447</v>
      </c>
      <c r="O12" s="37">
        <f t="shared" si="4"/>
        <v>33.450000000000003</v>
      </c>
      <c r="P12" s="37">
        <f t="shared" si="5"/>
        <v>33.33</v>
      </c>
      <c r="Q12" s="33">
        <f t="shared" si="6"/>
        <v>66.78</v>
      </c>
      <c r="R12" s="38">
        <f t="shared" si="14"/>
        <v>33.450083331464917</v>
      </c>
      <c r="S12" s="49"/>
      <c r="T12" s="50"/>
      <c r="U12" s="40">
        <f t="shared" si="7"/>
        <v>553.3463562624994</v>
      </c>
      <c r="V12" s="49"/>
      <c r="W12" s="35"/>
      <c r="X12" s="51"/>
      <c r="Y12" s="43"/>
      <c r="Z12" s="55"/>
      <c r="AA12" s="40">
        <f t="shared" si="8"/>
        <v>0</v>
      </c>
      <c r="AB12" s="36">
        <f t="shared" si="9"/>
        <v>553.3463562624994</v>
      </c>
      <c r="AC12" s="288"/>
      <c r="AD12" s="45"/>
      <c r="AE12" s="45"/>
      <c r="AF12" s="46">
        <f t="shared" si="10"/>
        <v>553.3463562624994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</row>
    <row r="13" spans="1:157" s="52" customFormat="1" ht="18" customHeight="1" x14ac:dyDescent="0.25">
      <c r="A13" s="27">
        <f>A12+1</f>
        <v>9</v>
      </c>
      <c r="B13" s="28" t="s">
        <v>48</v>
      </c>
      <c r="C13" s="29">
        <f t="shared" si="12"/>
        <v>401.41</v>
      </c>
      <c r="D13" s="30">
        <f t="shared" si="13"/>
        <v>114.52122749999995</v>
      </c>
      <c r="E13" s="31">
        <f t="shared" si="0"/>
        <v>30.000074736739837</v>
      </c>
      <c r="F13" s="32">
        <f>+'TALLER ACTIVOS'!BF15</f>
        <v>381.99346250000002</v>
      </c>
      <c r="G13" s="32">
        <f>+[1]TALLER!BB19</f>
        <v>0</v>
      </c>
      <c r="H13" s="32">
        <f>+'TALLER ACTIVOS'!CX15</f>
        <v>133.93776500000001</v>
      </c>
      <c r="I13" s="32">
        <f>+[1]TALLER!CT10</f>
        <v>0</v>
      </c>
      <c r="J13" s="32"/>
      <c r="K13" s="33"/>
      <c r="L13" s="34">
        <f t="shared" si="1"/>
        <v>515.93122749999998</v>
      </c>
      <c r="M13" s="35">
        <f t="shared" si="2"/>
        <v>37.933</v>
      </c>
      <c r="N13" s="36">
        <f t="shared" si="3"/>
        <v>477.99822749999998</v>
      </c>
      <c r="O13" s="37">
        <f t="shared" si="4"/>
        <v>33.450000000000003</v>
      </c>
      <c r="P13" s="37">
        <f t="shared" si="5"/>
        <v>33.33</v>
      </c>
      <c r="Q13" s="33">
        <f t="shared" si="6"/>
        <v>66.78</v>
      </c>
      <c r="R13" s="38"/>
      <c r="S13" s="39"/>
      <c r="T13" s="35"/>
      <c r="U13" s="40">
        <f t="shared" si="7"/>
        <v>544.77822749999996</v>
      </c>
      <c r="V13" s="39"/>
      <c r="W13" s="35"/>
      <c r="X13" s="42"/>
      <c r="Y13" s="43"/>
      <c r="Z13" s="59"/>
      <c r="AA13" s="40">
        <f t="shared" si="8"/>
        <v>0</v>
      </c>
      <c r="AB13" s="36">
        <f t="shared" si="9"/>
        <v>544.77822749999996</v>
      </c>
      <c r="AC13" s="288"/>
      <c r="AD13" s="45"/>
      <c r="AE13" s="45"/>
      <c r="AF13" s="46">
        <f t="shared" si="10"/>
        <v>544.77822749999996</v>
      </c>
    </row>
    <row r="14" spans="1:157" s="57" customFormat="1" ht="18" customHeight="1" x14ac:dyDescent="0.3">
      <c r="A14" s="1033" t="s">
        <v>477</v>
      </c>
      <c r="B14" s="1034"/>
      <c r="C14" s="29"/>
      <c r="D14" s="30"/>
      <c r="E14" s="31"/>
      <c r="F14" s="32"/>
      <c r="G14" s="32"/>
      <c r="H14" s="32"/>
      <c r="I14" s="32"/>
      <c r="J14" s="32"/>
      <c r="K14" s="33"/>
      <c r="L14" s="34"/>
      <c r="M14" s="35"/>
      <c r="N14" s="36"/>
      <c r="O14" s="37"/>
      <c r="P14" s="37"/>
      <c r="Q14" s="33"/>
      <c r="R14" s="38"/>
      <c r="S14" s="39"/>
      <c r="T14" s="35"/>
      <c r="U14" s="40"/>
      <c r="V14" s="39"/>
      <c r="W14" s="35"/>
      <c r="X14" s="42"/>
      <c r="Y14" s="43"/>
      <c r="Z14" s="59"/>
      <c r="AA14" s="40"/>
      <c r="AB14" s="36"/>
      <c r="AC14" s="288"/>
      <c r="AD14" s="45"/>
      <c r="AE14" s="45"/>
      <c r="AF14" s="46"/>
    </row>
    <row r="15" spans="1:157" s="57" customFormat="1" ht="18" customHeight="1" x14ac:dyDescent="0.25">
      <c r="A15" s="27">
        <f>A13+1</f>
        <v>10</v>
      </c>
      <c r="B15" s="48" t="s">
        <v>37</v>
      </c>
      <c r="C15" s="29">
        <f t="shared" ref="C15:C22" si="15">IF(L15&gt;=401.41,401.41,IF(L15&lt;401.41,L15))</f>
        <v>401.41</v>
      </c>
      <c r="D15" s="30">
        <f t="shared" ref="D15:D22" si="16">+L15-C15</f>
        <v>99.47340250000002</v>
      </c>
      <c r="E15" s="31">
        <f t="shared" ref="E15:E22" si="17">+C15/13.3803</f>
        <v>30.000074736739837</v>
      </c>
      <c r="F15" s="32">
        <f>+'TALLER RETIRADOS'!BF7</f>
        <v>343.44811750000002</v>
      </c>
      <c r="G15" s="32">
        <f>+[1]TALLER!BB20</f>
        <v>0</v>
      </c>
      <c r="H15" s="32">
        <f>+'TALLER RETIRADOS'!CX7</f>
        <v>157.43528500000002</v>
      </c>
      <c r="I15" s="32">
        <f>+[1]TALLER!CT11</f>
        <v>0</v>
      </c>
      <c r="J15" s="32"/>
      <c r="K15" s="33"/>
      <c r="L15" s="34">
        <f t="shared" ref="L15:L22" si="18">+F15+G15+H15+I15+K15+J15</f>
        <v>500.88340250000005</v>
      </c>
      <c r="M15" s="35">
        <f t="shared" ref="M15:M22" si="19">IF(L15&gt;=401.41,37.933,IF(L15&lt;401.41,L15*9.45%))</f>
        <v>37.933</v>
      </c>
      <c r="N15" s="36">
        <f t="shared" ref="N15:N22" si="20">+L15-M15</f>
        <v>462.95040250000005</v>
      </c>
      <c r="O15" s="37">
        <f t="shared" ref="O15:O22" si="21">IF(E15&gt;=30,33.45,IF(E15&lt;30,E15*1.115))</f>
        <v>33.450000000000003</v>
      </c>
      <c r="P15" s="37">
        <f t="shared" ref="P15:P22" si="22">IF(E15&gt;=30,33.33,IF(E15&lt;30,E15*1.111))</f>
        <v>33.33</v>
      </c>
      <c r="Q15" s="33">
        <f t="shared" ref="Q15:Q22" si="23">+O15+P15</f>
        <v>66.78</v>
      </c>
      <c r="R15" s="38"/>
      <c r="S15" s="39"/>
      <c r="T15" s="35"/>
      <c r="U15" s="40">
        <f t="shared" ref="U15:U22" si="24">N15+Q15+R15+S15+T15</f>
        <v>529.73040250000008</v>
      </c>
      <c r="V15" s="39">
        <v>529.73040250000008</v>
      </c>
      <c r="W15" s="35"/>
      <c r="X15" s="42"/>
      <c r="Y15" s="43"/>
      <c r="Z15" s="44"/>
      <c r="AA15" s="40">
        <f t="shared" ref="AA15:AA22" si="25">+W15+V15+X15+Y15+Z15</f>
        <v>529.73040250000008</v>
      </c>
      <c r="AB15" s="36">
        <f t="shared" ref="AB15:AB22" si="26">+U15-AA15</f>
        <v>0</v>
      </c>
      <c r="AC15" s="288"/>
      <c r="AD15" s="45"/>
      <c r="AE15" s="45"/>
      <c r="AF15" s="46">
        <f t="shared" ref="AF15:AF22" si="27">+AB15-AC15-AD15-AE15</f>
        <v>0</v>
      </c>
    </row>
    <row r="16" spans="1:157" s="57" customFormat="1" ht="18" customHeight="1" x14ac:dyDescent="0.25">
      <c r="A16" s="27">
        <f>A15+1</f>
        <v>11</v>
      </c>
      <c r="B16" s="28" t="s">
        <v>33</v>
      </c>
      <c r="C16" s="29">
        <f t="shared" si="15"/>
        <v>401.41</v>
      </c>
      <c r="D16" s="30">
        <f t="shared" si="16"/>
        <v>84.43435999999997</v>
      </c>
      <c r="E16" s="31">
        <f t="shared" si="17"/>
        <v>30.000074736739837</v>
      </c>
      <c r="F16" s="32">
        <f>+'TALLER RETIRADOS'!BF8</f>
        <v>351.90659499999998</v>
      </c>
      <c r="G16" s="32">
        <f>+[1]TALLER!BB21</f>
        <v>0</v>
      </c>
      <c r="H16" s="32">
        <f>+'TALLER RETIRADOS'!CX8</f>
        <v>133.93776500000001</v>
      </c>
      <c r="I16" s="32">
        <f>+[1]TALLER!CT12</f>
        <v>0</v>
      </c>
      <c r="J16" s="32"/>
      <c r="K16" s="33"/>
      <c r="L16" s="34">
        <f t="shared" si="18"/>
        <v>485.84435999999999</v>
      </c>
      <c r="M16" s="35">
        <f t="shared" si="19"/>
        <v>37.933</v>
      </c>
      <c r="N16" s="36">
        <f t="shared" si="20"/>
        <v>447.91136</v>
      </c>
      <c r="O16" s="37">
        <f t="shared" si="21"/>
        <v>33.450000000000003</v>
      </c>
      <c r="P16" s="37">
        <f t="shared" si="22"/>
        <v>33.33</v>
      </c>
      <c r="Q16" s="33">
        <f t="shared" si="23"/>
        <v>66.78</v>
      </c>
      <c r="R16" s="38"/>
      <c r="S16" s="39"/>
      <c r="T16" s="35"/>
      <c r="U16" s="40">
        <f t="shared" si="24"/>
        <v>514.69136000000003</v>
      </c>
      <c r="V16" s="39">
        <v>514.69136000000003</v>
      </c>
      <c r="W16" s="35"/>
      <c r="X16" s="42"/>
      <c r="Y16" s="43"/>
      <c r="Z16" s="60"/>
      <c r="AA16" s="40">
        <f t="shared" si="25"/>
        <v>514.69136000000003</v>
      </c>
      <c r="AB16" s="36">
        <f t="shared" si="26"/>
        <v>0</v>
      </c>
      <c r="AC16" s="288"/>
      <c r="AD16" s="45"/>
      <c r="AE16" s="45"/>
      <c r="AF16" s="46">
        <f t="shared" si="27"/>
        <v>0</v>
      </c>
    </row>
    <row r="17" spans="1:157" s="57" customFormat="1" ht="18" customHeight="1" x14ac:dyDescent="0.25">
      <c r="A17" s="27">
        <f>A16+1</f>
        <v>12</v>
      </c>
      <c r="B17" s="48" t="s">
        <v>31</v>
      </c>
      <c r="C17" s="29">
        <f t="shared" si="15"/>
        <v>401.41</v>
      </c>
      <c r="D17" s="30">
        <f t="shared" si="16"/>
        <v>96.798315000000002</v>
      </c>
      <c r="E17" s="31">
        <f t="shared" si="17"/>
        <v>30.000074736739837</v>
      </c>
      <c r="F17" s="32">
        <f>+'TALLER RETIRADOS'!BF9</f>
        <v>340.77303000000001</v>
      </c>
      <c r="G17" s="32">
        <f>+[1]TALLER!BB15</f>
        <v>0</v>
      </c>
      <c r="H17" s="32">
        <f>+'TALLER RETIRADOS'!CX9</f>
        <v>157.43528500000002</v>
      </c>
      <c r="I17" s="32">
        <f>+[1]TALLER!CT15</f>
        <v>0</v>
      </c>
      <c r="J17" s="32"/>
      <c r="K17" s="33"/>
      <c r="L17" s="34">
        <f t="shared" si="18"/>
        <v>498.20831500000003</v>
      </c>
      <c r="M17" s="35">
        <f t="shared" si="19"/>
        <v>37.933</v>
      </c>
      <c r="N17" s="36">
        <f t="shared" si="20"/>
        <v>460.27531500000003</v>
      </c>
      <c r="O17" s="37">
        <f t="shared" si="21"/>
        <v>33.450000000000003</v>
      </c>
      <c r="P17" s="37">
        <f t="shared" si="22"/>
        <v>33.33</v>
      </c>
      <c r="Q17" s="33">
        <f t="shared" si="23"/>
        <v>66.78</v>
      </c>
      <c r="R17" s="38">
        <f t="shared" ref="R17:R22" si="28">33.45/30*E17</f>
        <v>33.450083331464917</v>
      </c>
      <c r="S17" s="39"/>
      <c r="T17" s="35"/>
      <c r="U17" s="40">
        <f t="shared" si="24"/>
        <v>560.50539833146502</v>
      </c>
      <c r="V17" s="39">
        <v>560.50539833146502</v>
      </c>
      <c r="W17" s="35"/>
      <c r="X17" s="42"/>
      <c r="Y17" s="43"/>
      <c r="Z17" s="55"/>
      <c r="AA17" s="40">
        <f t="shared" si="25"/>
        <v>560.50539833146502</v>
      </c>
      <c r="AB17" s="36">
        <f t="shared" si="26"/>
        <v>0</v>
      </c>
      <c r="AC17" s="288"/>
      <c r="AD17" s="45"/>
      <c r="AE17" s="45"/>
      <c r="AF17" s="46">
        <f t="shared" si="27"/>
        <v>0</v>
      </c>
    </row>
    <row r="18" spans="1:157" s="57" customFormat="1" ht="18" customHeight="1" x14ac:dyDescent="0.25">
      <c r="A18" s="27">
        <f>A17+1</f>
        <v>13</v>
      </c>
      <c r="B18" s="28" t="s">
        <v>39</v>
      </c>
      <c r="C18" s="29">
        <f t="shared" si="15"/>
        <v>401.41</v>
      </c>
      <c r="D18" s="30">
        <f t="shared" si="16"/>
        <v>99.223694999999964</v>
      </c>
      <c r="E18" s="31">
        <f t="shared" si="17"/>
        <v>30.000074736739837</v>
      </c>
      <c r="F18" s="32">
        <f>+'TALLER RETIRADOS'!BF10</f>
        <v>339.66243500000002</v>
      </c>
      <c r="G18" s="32">
        <f>+[1]TALLER!BB23</f>
        <v>0</v>
      </c>
      <c r="H18" s="32">
        <f>+'TALLER RETIRADOS'!CX10</f>
        <v>160.97125999999997</v>
      </c>
      <c r="I18" s="102">
        <f>+[1]TALLER!CT16</f>
        <v>0</v>
      </c>
      <c r="J18" s="32"/>
      <c r="K18" s="33"/>
      <c r="L18" s="34">
        <f t="shared" si="18"/>
        <v>500.63369499999999</v>
      </c>
      <c r="M18" s="35">
        <f t="shared" si="19"/>
        <v>37.933</v>
      </c>
      <c r="N18" s="36">
        <f t="shared" si="20"/>
        <v>462.700695</v>
      </c>
      <c r="O18" s="37">
        <f t="shared" si="21"/>
        <v>33.450000000000003</v>
      </c>
      <c r="P18" s="37">
        <f t="shared" si="22"/>
        <v>33.33</v>
      </c>
      <c r="Q18" s="33">
        <f t="shared" si="23"/>
        <v>66.78</v>
      </c>
      <c r="R18" s="38">
        <f t="shared" si="28"/>
        <v>33.450083331464917</v>
      </c>
      <c r="S18" s="39"/>
      <c r="T18" s="35"/>
      <c r="U18" s="40">
        <f t="shared" si="24"/>
        <v>562.93077833146492</v>
      </c>
      <c r="V18" s="39">
        <v>562.93077833146492</v>
      </c>
      <c r="W18" s="35"/>
      <c r="X18" s="42"/>
      <c r="Y18" s="43"/>
      <c r="Z18" s="44"/>
      <c r="AA18" s="40">
        <f t="shared" si="25"/>
        <v>562.93077833146492</v>
      </c>
      <c r="AB18" s="36">
        <f t="shared" si="26"/>
        <v>0</v>
      </c>
      <c r="AC18" s="288"/>
      <c r="AD18" s="45"/>
      <c r="AE18" s="45"/>
      <c r="AF18" s="46">
        <f t="shared" si="27"/>
        <v>0</v>
      </c>
    </row>
    <row r="19" spans="1:157" s="57" customFormat="1" ht="18" customHeight="1" x14ac:dyDescent="0.25">
      <c r="A19" s="27">
        <f>A18+1</f>
        <v>14</v>
      </c>
      <c r="B19" s="28" t="s">
        <v>40</v>
      </c>
      <c r="C19" s="29">
        <f t="shared" si="15"/>
        <v>401.41</v>
      </c>
      <c r="D19" s="30">
        <f t="shared" si="16"/>
        <v>182.82420250000001</v>
      </c>
      <c r="E19" s="31">
        <f t="shared" si="17"/>
        <v>30.000074736739837</v>
      </c>
      <c r="F19" s="32">
        <f>+'TALLER RETIRADOS'!BF77</f>
        <v>321.34294999999997</v>
      </c>
      <c r="G19" s="32">
        <f>+[1]TALLER!BB18</f>
        <v>0</v>
      </c>
      <c r="H19" s="32">
        <f>'TALLER RETIRADOS'!CX77+'TALLER RETIRADOS'!DC77</f>
        <v>262.89125250000001</v>
      </c>
      <c r="I19" s="32">
        <f>+[1]TALLER!CT17</f>
        <v>0</v>
      </c>
      <c r="J19" s="32"/>
      <c r="K19" s="33"/>
      <c r="L19" s="34">
        <f t="shared" si="18"/>
        <v>584.23420250000004</v>
      </c>
      <c r="M19" s="35">
        <f t="shared" si="19"/>
        <v>37.933</v>
      </c>
      <c r="N19" s="36">
        <f t="shared" si="20"/>
        <v>546.30120250000004</v>
      </c>
      <c r="O19" s="37">
        <f t="shared" si="21"/>
        <v>33.450000000000003</v>
      </c>
      <c r="P19" s="37">
        <f t="shared" si="22"/>
        <v>33.33</v>
      </c>
      <c r="Q19" s="33">
        <f t="shared" si="23"/>
        <v>66.78</v>
      </c>
      <c r="R19" s="38">
        <f t="shared" si="28"/>
        <v>33.450083331464917</v>
      </c>
      <c r="S19" s="39"/>
      <c r="T19" s="35"/>
      <c r="U19" s="40">
        <f t="shared" si="24"/>
        <v>646.53128583146497</v>
      </c>
      <c r="V19" s="39">
        <v>646.53128583146497</v>
      </c>
      <c r="W19" s="35"/>
      <c r="X19" s="42"/>
      <c r="Y19" s="43"/>
      <c r="Z19" s="55"/>
      <c r="AA19" s="40">
        <f t="shared" si="25"/>
        <v>646.53128583146497</v>
      </c>
      <c r="AB19" s="36">
        <f t="shared" si="26"/>
        <v>0</v>
      </c>
      <c r="AC19" s="288"/>
      <c r="AD19" s="45"/>
      <c r="AE19" s="45"/>
      <c r="AF19" s="46">
        <f t="shared" si="27"/>
        <v>0</v>
      </c>
    </row>
    <row r="20" spans="1:157" s="57" customFormat="1" ht="18" customHeight="1" x14ac:dyDescent="0.25">
      <c r="A20" s="27">
        <f>A19+1</f>
        <v>15</v>
      </c>
      <c r="B20" s="28" t="s">
        <v>52</v>
      </c>
      <c r="C20" s="29">
        <f t="shared" si="15"/>
        <v>401.41</v>
      </c>
      <c r="D20" s="30">
        <f t="shared" si="16"/>
        <v>189.88416018909896</v>
      </c>
      <c r="E20" s="31">
        <f t="shared" si="17"/>
        <v>30.000074736739837</v>
      </c>
      <c r="F20" s="32">
        <f>+'TALLER RETIRADOS'!BF78</f>
        <v>379.64569</v>
      </c>
      <c r="G20" s="32">
        <f>+[1]TALLER!BB14</f>
        <v>0</v>
      </c>
      <c r="H20" s="32">
        <f>'TALLER RETIRADOS'!CX78+'TALLER RETIRADOS'!DC78</f>
        <v>211.64847018909899</v>
      </c>
      <c r="I20" s="102">
        <f>+[1]TALLER!CT18</f>
        <v>0</v>
      </c>
      <c r="J20" s="32"/>
      <c r="K20" s="33"/>
      <c r="L20" s="34">
        <f t="shared" si="18"/>
        <v>591.29416018909899</v>
      </c>
      <c r="M20" s="35">
        <f t="shared" si="19"/>
        <v>37.933</v>
      </c>
      <c r="N20" s="36">
        <f t="shared" si="20"/>
        <v>553.361160189099</v>
      </c>
      <c r="O20" s="37">
        <f t="shared" si="21"/>
        <v>33.450000000000003</v>
      </c>
      <c r="P20" s="37">
        <f t="shared" si="22"/>
        <v>33.33</v>
      </c>
      <c r="Q20" s="33">
        <f t="shared" si="23"/>
        <v>66.78</v>
      </c>
      <c r="R20" s="38">
        <f t="shared" si="28"/>
        <v>33.450083331464917</v>
      </c>
      <c r="S20" s="39"/>
      <c r="T20" s="35"/>
      <c r="U20" s="40">
        <f t="shared" si="24"/>
        <v>653.59124352056392</v>
      </c>
      <c r="V20" s="39">
        <v>653.59124352056392</v>
      </c>
      <c r="W20" s="35"/>
      <c r="X20" s="42"/>
      <c r="Y20" s="43"/>
      <c r="Z20" s="44"/>
      <c r="AA20" s="40">
        <f t="shared" si="25"/>
        <v>653.59124352056392</v>
      </c>
      <c r="AB20" s="36">
        <f t="shared" si="26"/>
        <v>0</v>
      </c>
      <c r="AC20" s="288"/>
      <c r="AD20" s="45"/>
      <c r="AE20" s="45"/>
      <c r="AF20" s="46">
        <f t="shared" si="27"/>
        <v>0</v>
      </c>
    </row>
    <row r="21" spans="1:157" x14ac:dyDescent="0.25">
      <c r="A21" s="27">
        <v>16</v>
      </c>
      <c r="B21" s="61" t="s">
        <v>44</v>
      </c>
      <c r="C21" s="29">
        <f t="shared" si="15"/>
        <v>401.41</v>
      </c>
      <c r="D21" s="30">
        <f t="shared" si="16"/>
        <v>194.89028500000001</v>
      </c>
      <c r="E21" s="31">
        <f t="shared" si="17"/>
        <v>30.000074736739837</v>
      </c>
      <c r="F21" s="32">
        <f>+'TALLER RETIRADOS'!BF79</f>
        <v>356.94754</v>
      </c>
      <c r="G21" s="32">
        <f>+[1]TALLER!BB22</f>
        <v>0</v>
      </c>
      <c r="H21" s="32">
        <f>'TALLER RETIRADOS'!CX79+'TALLER RETIRADOS'!DC79</f>
        <v>239.35274499999997</v>
      </c>
      <c r="I21" s="32">
        <f>+[1]TALLER!CT19</f>
        <v>0</v>
      </c>
      <c r="J21" s="32"/>
      <c r="K21" s="33"/>
      <c r="L21" s="34">
        <f t="shared" si="18"/>
        <v>596.30028500000003</v>
      </c>
      <c r="M21" s="35">
        <f t="shared" si="19"/>
        <v>37.933</v>
      </c>
      <c r="N21" s="36">
        <f t="shared" si="20"/>
        <v>558.36728500000004</v>
      </c>
      <c r="O21" s="37">
        <f t="shared" si="21"/>
        <v>33.450000000000003</v>
      </c>
      <c r="P21" s="37">
        <f t="shared" si="22"/>
        <v>33.33</v>
      </c>
      <c r="Q21" s="33">
        <f t="shared" si="23"/>
        <v>66.78</v>
      </c>
      <c r="R21" s="38">
        <f t="shared" si="28"/>
        <v>33.450083331464917</v>
      </c>
      <c r="S21" s="39"/>
      <c r="T21" s="35"/>
      <c r="U21" s="40">
        <f t="shared" si="24"/>
        <v>658.59736833146496</v>
      </c>
      <c r="V21" s="39">
        <v>658.59736833146496</v>
      </c>
      <c r="W21" s="35"/>
      <c r="X21" s="42"/>
      <c r="Y21" s="43"/>
      <c r="Z21" s="44"/>
      <c r="AA21" s="40">
        <f t="shared" si="25"/>
        <v>658.59736833146496</v>
      </c>
      <c r="AB21" s="36">
        <f t="shared" si="26"/>
        <v>0</v>
      </c>
      <c r="AC21" s="288"/>
      <c r="AD21" s="45"/>
      <c r="AE21" s="45"/>
      <c r="AF21" s="46">
        <f t="shared" si="27"/>
        <v>0</v>
      </c>
    </row>
    <row r="22" spans="1:157" ht="18" customHeight="1" x14ac:dyDescent="0.25">
      <c r="A22" s="27">
        <f>A21+1</f>
        <v>17</v>
      </c>
      <c r="B22" s="28" t="s">
        <v>41</v>
      </c>
      <c r="C22" s="29">
        <f t="shared" si="15"/>
        <v>401.41</v>
      </c>
      <c r="D22" s="30">
        <f t="shared" si="16"/>
        <v>193.01323499999995</v>
      </c>
      <c r="E22" s="31">
        <f t="shared" si="17"/>
        <v>30.000074736739837</v>
      </c>
      <c r="F22" s="32">
        <f>+'TALLER RETIRADOS'!BF80</f>
        <v>377.90636749999999</v>
      </c>
      <c r="G22" s="32">
        <f>+[1]TALLER!BB17</f>
        <v>0</v>
      </c>
      <c r="H22" s="32">
        <f>'TALLER RETIRADOS'!CX80+'TALLER RETIRADOS'!DC80</f>
        <v>216.51686749999999</v>
      </c>
      <c r="I22" s="102">
        <f>+[1]TALLER!CT20</f>
        <v>0</v>
      </c>
      <c r="J22" s="32"/>
      <c r="K22" s="33"/>
      <c r="L22" s="34">
        <f t="shared" si="18"/>
        <v>594.42323499999998</v>
      </c>
      <c r="M22" s="35">
        <f t="shared" si="19"/>
        <v>37.933</v>
      </c>
      <c r="N22" s="36">
        <f t="shared" si="20"/>
        <v>556.49023499999998</v>
      </c>
      <c r="O22" s="37">
        <f t="shared" si="21"/>
        <v>33.450000000000003</v>
      </c>
      <c r="P22" s="37">
        <f t="shared" si="22"/>
        <v>33.33</v>
      </c>
      <c r="Q22" s="33">
        <f t="shared" si="23"/>
        <v>66.78</v>
      </c>
      <c r="R22" s="38">
        <f t="shared" si="28"/>
        <v>33.450083331464917</v>
      </c>
      <c r="S22" s="39"/>
      <c r="T22" s="35"/>
      <c r="U22" s="40">
        <f t="shared" si="24"/>
        <v>656.72031833146491</v>
      </c>
      <c r="V22" s="39">
        <v>656.72031833146491</v>
      </c>
      <c r="W22" s="35"/>
      <c r="X22" s="42"/>
      <c r="Y22" s="43"/>
      <c r="Z22" s="58"/>
      <c r="AA22" s="40">
        <f t="shared" si="25"/>
        <v>656.72031833146491</v>
      </c>
      <c r="AB22" s="36">
        <f t="shared" si="26"/>
        <v>0</v>
      </c>
      <c r="AC22" s="288"/>
      <c r="AD22" s="45"/>
      <c r="AE22" s="45"/>
      <c r="AF22" s="46">
        <f t="shared" si="27"/>
        <v>0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</row>
    <row r="23" spans="1:157" ht="18" customHeight="1" x14ac:dyDescent="0.25">
      <c r="A23" s="1295" t="s">
        <v>53</v>
      </c>
      <c r="B23" s="1296"/>
      <c r="C23" s="29"/>
      <c r="D23" s="30"/>
      <c r="E23" s="31"/>
      <c r="F23" s="32"/>
      <c r="G23" s="32"/>
      <c r="H23" s="71"/>
      <c r="I23" s="72"/>
      <c r="J23" s="72"/>
      <c r="K23" s="73"/>
      <c r="L23" s="34"/>
      <c r="M23" s="35"/>
      <c r="N23" s="36"/>
      <c r="O23" s="37"/>
      <c r="P23" s="37"/>
      <c r="Q23" s="33"/>
      <c r="R23" s="33"/>
      <c r="S23" s="74"/>
      <c r="T23" s="37"/>
      <c r="U23" s="40"/>
      <c r="V23" s="74"/>
      <c r="W23" s="35"/>
      <c r="X23" s="75"/>
      <c r="Y23" s="76"/>
      <c r="Z23" s="74"/>
      <c r="AA23" s="40"/>
      <c r="AB23" s="36"/>
      <c r="AC23" s="288"/>
      <c r="AD23" s="67"/>
      <c r="AE23" s="67"/>
      <c r="AF23" s="46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</row>
    <row r="24" spans="1:157" s="57" customFormat="1" ht="18" customHeight="1" x14ac:dyDescent="0.25">
      <c r="A24" s="142">
        <f>A22+1</f>
        <v>18</v>
      </c>
      <c r="B24" s="48" t="s">
        <v>133</v>
      </c>
      <c r="C24" s="29">
        <f>IF(L24&gt;=401.41,401.41,IF(L24&lt;401.41,L24))</f>
        <v>401.41</v>
      </c>
      <c r="D24" s="30">
        <f>+L24-C24</f>
        <v>98.617095477386954</v>
      </c>
      <c r="E24" s="31">
        <f>+C24/13.3803</f>
        <v>30.000074736739837</v>
      </c>
      <c r="F24" s="32">
        <f>+'TALLER ACTIVOS'!BF19</f>
        <v>326.43248241206032</v>
      </c>
      <c r="G24" s="32">
        <v>0</v>
      </c>
      <c r="H24" s="32">
        <f>+'TALLER ACTIVOS'!CX19</f>
        <v>173.59461306532663</v>
      </c>
      <c r="I24" s="32">
        <v>0</v>
      </c>
      <c r="J24" s="32"/>
      <c r="K24" s="33"/>
      <c r="L24" s="34">
        <f>+F24+G24+H24+I24+K24+J24</f>
        <v>500.02709547738698</v>
      </c>
      <c r="M24" s="35">
        <f>IF(L24&gt;=401.41,37.933,IF(L24&lt;401.41,L24*9.45%))</f>
        <v>37.933</v>
      </c>
      <c r="N24" s="36">
        <f>+L24-M24</f>
        <v>462.09409547738699</v>
      </c>
      <c r="O24" s="37">
        <f>IF(E24&gt;=30,33.45,IF(E24&lt;30,E24*1.115))</f>
        <v>33.450000000000003</v>
      </c>
      <c r="P24" s="37">
        <f>IF(E24&gt;=30,33.33,IF(E24&lt;30,E24*1.111))</f>
        <v>33.33</v>
      </c>
      <c r="Q24" s="33">
        <f>+O24+P24</f>
        <v>66.78</v>
      </c>
      <c r="R24" s="38"/>
      <c r="S24" s="39"/>
      <c r="T24" s="35"/>
      <c r="U24" s="40">
        <f>N24+Q24+R24+S24+T24</f>
        <v>528.87409547738696</v>
      </c>
      <c r="V24" s="39"/>
      <c r="W24" s="35"/>
      <c r="X24" s="42"/>
      <c r="Y24" s="43"/>
      <c r="Z24" s="279"/>
      <c r="AA24" s="40">
        <f>+W24+V24+X24+Y24+Z24</f>
        <v>0</v>
      </c>
      <c r="AB24" s="36">
        <f>+U24-AA24</f>
        <v>528.87409547738696</v>
      </c>
      <c r="AC24" s="288"/>
      <c r="AD24" s="79"/>
      <c r="AE24" s="68"/>
      <c r="AF24" s="46">
        <f>+AB24-AC24-AD24-AE24</f>
        <v>528.87409547738696</v>
      </c>
    </row>
    <row r="25" spans="1:157" ht="18" customHeight="1" x14ac:dyDescent="0.25">
      <c r="A25" s="27">
        <f t="shared" ref="A25:A37" si="29">A24+1</f>
        <v>19</v>
      </c>
      <c r="B25" s="28" t="s">
        <v>136</v>
      </c>
      <c r="C25" s="29">
        <f t="shared" si="12"/>
        <v>401.41</v>
      </c>
      <c r="D25" s="30">
        <f t="shared" si="13"/>
        <v>38.893758793969823</v>
      </c>
      <c r="E25" s="31">
        <f t="shared" si="0"/>
        <v>30.000074736739837</v>
      </c>
      <c r="F25" s="32">
        <f>+'TALLER ACTIVOS'!BF20</f>
        <v>314</v>
      </c>
      <c r="G25" s="32">
        <v>0</v>
      </c>
      <c r="H25" s="32">
        <f>+'TALLER ACTIVOS'!CX20</f>
        <v>126.30375879396985</v>
      </c>
      <c r="I25" s="32">
        <v>0</v>
      </c>
      <c r="J25" s="32"/>
      <c r="K25" s="33"/>
      <c r="L25" s="34">
        <f t="shared" si="1"/>
        <v>440.30375879396985</v>
      </c>
      <c r="M25" s="35">
        <f t="shared" si="2"/>
        <v>37.933</v>
      </c>
      <c r="N25" s="36">
        <f t="shared" ref="N25:N64" si="30">+L25-M25</f>
        <v>402.37075879396986</v>
      </c>
      <c r="O25" s="37">
        <f t="shared" ref="O25:O41" si="31">IF(E25&gt;=30,33.45,IF(E25&lt;30,E25*1.115))</f>
        <v>33.450000000000003</v>
      </c>
      <c r="P25" s="37">
        <f t="shared" ref="P25:P41" si="32">IF(E25&gt;=30,33.33,IF(E25&lt;30,E25*1.111))</f>
        <v>33.33</v>
      </c>
      <c r="Q25" s="33">
        <f t="shared" ref="Q25:Q64" si="33">+O25+P25</f>
        <v>66.78</v>
      </c>
      <c r="R25" s="1036"/>
      <c r="S25" s="39"/>
      <c r="T25" s="35"/>
      <c r="U25" s="40">
        <f t="shared" ref="U25:U64" si="34">N25+Q25+R25+S25+T25</f>
        <v>469.15075879396989</v>
      </c>
      <c r="V25" s="39"/>
      <c r="W25" s="35"/>
      <c r="X25" s="42"/>
      <c r="Y25" s="43"/>
      <c r="Z25" s="63">
        <v>77.040000000000006</v>
      </c>
      <c r="AA25" s="40">
        <f t="shared" si="8"/>
        <v>77.040000000000006</v>
      </c>
      <c r="AB25" s="36">
        <f t="shared" ref="AB25:AB64" si="35">+U25-AA25</f>
        <v>392.11075879396986</v>
      </c>
      <c r="AC25" s="288"/>
      <c r="AD25" s="79"/>
      <c r="AE25" s="67"/>
      <c r="AF25" s="46">
        <f t="shared" ref="AF25:AF64" si="36">+AB25-AC25-AD25-AE25</f>
        <v>392.11075879396986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</row>
    <row r="26" spans="1:157" ht="18" customHeight="1" x14ac:dyDescent="0.25">
      <c r="A26" s="27">
        <f t="shared" si="29"/>
        <v>20</v>
      </c>
      <c r="B26" s="28" t="s">
        <v>100</v>
      </c>
      <c r="C26" s="29">
        <f t="shared" si="12"/>
        <v>401.41</v>
      </c>
      <c r="D26" s="30">
        <f t="shared" si="13"/>
        <v>117.66716180904524</v>
      </c>
      <c r="E26" s="31">
        <f t="shared" si="0"/>
        <v>30.000074736739837</v>
      </c>
      <c r="F26" s="32">
        <f>+'TALLER ACTIVOS'!BF21</f>
        <v>314</v>
      </c>
      <c r="G26" s="32">
        <v>0</v>
      </c>
      <c r="H26" s="32">
        <f>+'TALLER ACTIVOS'!CX21</f>
        <v>205.07716180904524</v>
      </c>
      <c r="I26" s="32">
        <v>0</v>
      </c>
      <c r="J26" s="32"/>
      <c r="K26" s="33"/>
      <c r="L26" s="34">
        <f t="shared" si="1"/>
        <v>519.07716180904526</v>
      </c>
      <c r="M26" s="35">
        <f t="shared" si="2"/>
        <v>37.933</v>
      </c>
      <c r="N26" s="36">
        <f t="shared" si="30"/>
        <v>481.14416180904527</v>
      </c>
      <c r="O26" s="37">
        <f t="shared" si="31"/>
        <v>33.450000000000003</v>
      </c>
      <c r="P26" s="37">
        <f t="shared" si="32"/>
        <v>33.33</v>
      </c>
      <c r="Q26" s="33">
        <f t="shared" si="33"/>
        <v>66.78</v>
      </c>
      <c r="R26" s="38">
        <f t="shared" ref="R26:R30" si="37">33.45/30*E26</f>
        <v>33.450083331464917</v>
      </c>
      <c r="S26" s="39"/>
      <c r="T26" s="37"/>
      <c r="U26" s="40">
        <f t="shared" si="34"/>
        <v>581.3742451405102</v>
      </c>
      <c r="V26" s="39"/>
      <c r="W26" s="35"/>
      <c r="X26" s="42"/>
      <c r="Y26" s="43"/>
      <c r="Z26" s="55"/>
      <c r="AA26" s="40">
        <f t="shared" ref="AA26:AA64" si="38">+W26+V26+X26+Y26+Z26</f>
        <v>0</v>
      </c>
      <c r="AB26" s="36">
        <f t="shared" si="35"/>
        <v>581.3742451405102</v>
      </c>
      <c r="AC26" s="288"/>
      <c r="AD26" s="79"/>
      <c r="AE26" s="67"/>
      <c r="AF26" s="46">
        <f t="shared" si="36"/>
        <v>581.3742451405102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</row>
    <row r="27" spans="1:157" s="57" customFormat="1" ht="18" customHeight="1" x14ac:dyDescent="0.25">
      <c r="A27" s="27">
        <f t="shared" si="29"/>
        <v>21</v>
      </c>
      <c r="B27" s="28" t="s">
        <v>90</v>
      </c>
      <c r="C27" s="29">
        <f t="shared" si="12"/>
        <v>401.41</v>
      </c>
      <c r="D27" s="30">
        <f t="shared" si="13"/>
        <v>234.11506532663321</v>
      </c>
      <c r="E27" s="31">
        <f t="shared" si="0"/>
        <v>30.000074736739837</v>
      </c>
      <c r="F27" s="32">
        <f>+'TALLER ACTIVOS'!BF22</f>
        <v>402.90765829145732</v>
      </c>
      <c r="G27" s="32">
        <v>0</v>
      </c>
      <c r="H27" s="32">
        <f>+'TALLER ACTIVOS'!CX22</f>
        <v>232.61740703517589</v>
      </c>
      <c r="I27" s="32">
        <v>0</v>
      </c>
      <c r="J27" s="32"/>
      <c r="K27" s="33"/>
      <c r="L27" s="34">
        <f t="shared" si="1"/>
        <v>635.52506532663324</v>
      </c>
      <c r="M27" s="35">
        <f t="shared" si="2"/>
        <v>37.933</v>
      </c>
      <c r="N27" s="36">
        <f t="shared" si="30"/>
        <v>597.59206532663325</v>
      </c>
      <c r="O27" s="37">
        <f t="shared" si="31"/>
        <v>33.450000000000003</v>
      </c>
      <c r="P27" s="37">
        <f t="shared" si="32"/>
        <v>33.33</v>
      </c>
      <c r="Q27" s="33">
        <f t="shared" si="33"/>
        <v>66.78</v>
      </c>
      <c r="R27" s="38">
        <f t="shared" si="37"/>
        <v>33.450083331464917</v>
      </c>
      <c r="S27" s="39"/>
      <c r="T27" s="35"/>
      <c r="U27" s="40">
        <f t="shared" si="34"/>
        <v>697.82214865809817</v>
      </c>
      <c r="V27" s="62"/>
      <c r="W27" s="35"/>
      <c r="X27" s="42"/>
      <c r="Y27" s="43"/>
      <c r="Z27" s="55"/>
      <c r="AA27" s="40">
        <f t="shared" si="38"/>
        <v>0</v>
      </c>
      <c r="AB27" s="36">
        <f t="shared" si="35"/>
        <v>697.82214865809817</v>
      </c>
      <c r="AC27" s="288"/>
      <c r="AD27" s="79"/>
      <c r="AE27" s="67"/>
      <c r="AF27" s="46">
        <f t="shared" si="36"/>
        <v>697.82214865809817</v>
      </c>
    </row>
    <row r="28" spans="1:157" ht="18" customHeight="1" x14ac:dyDescent="0.25">
      <c r="A28" s="27">
        <f t="shared" si="29"/>
        <v>22</v>
      </c>
      <c r="B28" s="28" t="s">
        <v>64</v>
      </c>
      <c r="C28" s="29">
        <f t="shared" si="12"/>
        <v>401.41</v>
      </c>
      <c r="D28" s="30">
        <f t="shared" si="13"/>
        <v>199.59193768844221</v>
      </c>
      <c r="E28" s="31">
        <f t="shared" si="0"/>
        <v>30.000074736739837</v>
      </c>
      <c r="F28" s="32">
        <f>+'TALLER ACTIVOS'!BF23</f>
        <v>394.18846231155783</v>
      </c>
      <c r="G28" s="32">
        <v>0</v>
      </c>
      <c r="H28" s="32">
        <f>+'TALLER ACTIVOS'!CX23</f>
        <v>206.81347537688441</v>
      </c>
      <c r="I28" s="32">
        <v>0</v>
      </c>
      <c r="J28" s="32"/>
      <c r="K28" s="33"/>
      <c r="L28" s="34">
        <f t="shared" si="1"/>
        <v>601.00193768844224</v>
      </c>
      <c r="M28" s="35">
        <f t="shared" si="2"/>
        <v>37.933</v>
      </c>
      <c r="N28" s="36">
        <f t="shared" si="30"/>
        <v>563.06893768844225</v>
      </c>
      <c r="O28" s="37">
        <f t="shared" si="31"/>
        <v>33.450000000000003</v>
      </c>
      <c r="P28" s="37">
        <f t="shared" si="32"/>
        <v>33.33</v>
      </c>
      <c r="Q28" s="33">
        <f t="shared" si="33"/>
        <v>66.78</v>
      </c>
      <c r="R28" s="38">
        <f t="shared" si="37"/>
        <v>33.450083331464917</v>
      </c>
      <c r="S28" s="39"/>
      <c r="T28" s="35"/>
      <c r="U28" s="40">
        <f t="shared" si="34"/>
        <v>663.29902101990717</v>
      </c>
      <c r="V28" s="39"/>
      <c r="W28" s="35"/>
      <c r="X28" s="42"/>
      <c r="Y28" s="43"/>
      <c r="Z28" s="55"/>
      <c r="AA28" s="40">
        <f t="shared" si="38"/>
        <v>0</v>
      </c>
      <c r="AB28" s="36">
        <f t="shared" si="35"/>
        <v>663.29902101990717</v>
      </c>
      <c r="AC28" s="288"/>
      <c r="AD28" s="79"/>
      <c r="AE28" s="67"/>
      <c r="AF28" s="46">
        <f t="shared" si="36"/>
        <v>663.29902101990717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</row>
    <row r="29" spans="1:157" s="57" customFormat="1" ht="18" customHeight="1" x14ac:dyDescent="0.25">
      <c r="A29" s="27">
        <f t="shared" si="29"/>
        <v>23</v>
      </c>
      <c r="B29" s="28" t="s">
        <v>92</v>
      </c>
      <c r="C29" s="29">
        <f t="shared" si="12"/>
        <v>401.41</v>
      </c>
      <c r="D29" s="30">
        <f t="shared" si="13"/>
        <v>308.66551356783924</v>
      </c>
      <c r="E29" s="31">
        <f t="shared" si="0"/>
        <v>30.000074736739837</v>
      </c>
      <c r="F29" s="32">
        <f>+'TALLER ACTIVOS'!BF24</f>
        <v>432.73997185929653</v>
      </c>
      <c r="G29" s="32">
        <v>0</v>
      </c>
      <c r="H29" s="32">
        <f>+'TALLER ACTIVOS'!CX24</f>
        <v>277.33554170854273</v>
      </c>
      <c r="I29" s="32">
        <v>0</v>
      </c>
      <c r="J29" s="32"/>
      <c r="K29" s="33"/>
      <c r="L29" s="34">
        <f t="shared" si="1"/>
        <v>710.07551356783927</v>
      </c>
      <c r="M29" s="35">
        <f t="shared" si="2"/>
        <v>37.933</v>
      </c>
      <c r="N29" s="36">
        <f t="shared" si="30"/>
        <v>672.14251356783927</v>
      </c>
      <c r="O29" s="37">
        <f t="shared" si="31"/>
        <v>33.450000000000003</v>
      </c>
      <c r="P29" s="37">
        <f t="shared" si="32"/>
        <v>33.33</v>
      </c>
      <c r="Q29" s="33">
        <f t="shared" si="33"/>
        <v>66.78</v>
      </c>
      <c r="R29" s="1036"/>
      <c r="S29" s="39"/>
      <c r="T29" s="35"/>
      <c r="U29" s="40">
        <f t="shared" si="34"/>
        <v>738.92251356783925</v>
      </c>
      <c r="V29" s="39"/>
      <c r="W29" s="35"/>
      <c r="X29" s="42"/>
      <c r="Y29" s="43"/>
      <c r="Z29" s="55"/>
      <c r="AA29" s="40">
        <f t="shared" si="38"/>
        <v>0</v>
      </c>
      <c r="AB29" s="36">
        <f t="shared" si="35"/>
        <v>738.92251356783925</v>
      </c>
      <c r="AC29" s="288"/>
      <c r="AD29" s="79"/>
      <c r="AE29" s="67"/>
      <c r="AF29" s="46">
        <f t="shared" si="36"/>
        <v>738.92251356783925</v>
      </c>
    </row>
    <row r="30" spans="1:157" s="57" customFormat="1" ht="18" customHeight="1" x14ac:dyDescent="0.25">
      <c r="A30" s="27">
        <f t="shared" si="29"/>
        <v>24</v>
      </c>
      <c r="B30" s="28" t="s">
        <v>119</v>
      </c>
      <c r="C30" s="29">
        <f t="shared" si="12"/>
        <v>401.41</v>
      </c>
      <c r="D30" s="30">
        <f t="shared" si="13"/>
        <v>14.641907537688382</v>
      </c>
      <c r="E30" s="31">
        <f t="shared" si="0"/>
        <v>30.000074736739837</v>
      </c>
      <c r="F30" s="32">
        <f>+'TALLER ACTIVOS'!BF25</f>
        <v>260</v>
      </c>
      <c r="G30" s="32">
        <v>0</v>
      </c>
      <c r="H30" s="32">
        <f>+'TALLER ACTIVOS'!CX25</f>
        <v>156.05190753768844</v>
      </c>
      <c r="I30" s="32">
        <v>0</v>
      </c>
      <c r="J30" s="32"/>
      <c r="K30" s="33"/>
      <c r="L30" s="34">
        <f t="shared" si="1"/>
        <v>416.05190753768841</v>
      </c>
      <c r="M30" s="35">
        <f t="shared" si="2"/>
        <v>37.933</v>
      </c>
      <c r="N30" s="36">
        <f t="shared" si="30"/>
        <v>378.11890753768841</v>
      </c>
      <c r="O30" s="37">
        <f t="shared" ref="O30" si="39">IF(E30&gt;=30,33.45,IF(E30&lt;30,E30*1.115))</f>
        <v>33.450000000000003</v>
      </c>
      <c r="P30" s="37">
        <f t="shared" ref="P30" si="40">IF(E30&gt;=30,33.33,IF(E30&lt;30,E30*1.111))</f>
        <v>33.33</v>
      </c>
      <c r="Q30" s="33">
        <f t="shared" si="33"/>
        <v>66.78</v>
      </c>
      <c r="R30" s="38">
        <f t="shared" si="37"/>
        <v>33.450083331464917</v>
      </c>
      <c r="S30" s="39"/>
      <c r="T30" s="35"/>
      <c r="U30" s="40">
        <f t="shared" si="34"/>
        <v>478.34899086915328</v>
      </c>
      <c r="V30" s="39"/>
      <c r="W30" s="35"/>
      <c r="X30" s="42"/>
      <c r="Y30" s="43"/>
      <c r="Z30" s="55"/>
      <c r="AA30" s="40">
        <f t="shared" si="38"/>
        <v>0</v>
      </c>
      <c r="AB30" s="36">
        <f t="shared" si="35"/>
        <v>478.34899086915328</v>
      </c>
      <c r="AC30" s="288"/>
      <c r="AD30" s="79"/>
      <c r="AE30" s="67"/>
      <c r="AF30" s="46">
        <f t="shared" si="36"/>
        <v>478.34899086915328</v>
      </c>
    </row>
    <row r="31" spans="1:157" s="57" customFormat="1" ht="18" customHeight="1" x14ac:dyDescent="0.25">
      <c r="A31" s="27">
        <f t="shared" si="29"/>
        <v>25</v>
      </c>
      <c r="B31" s="28" t="s">
        <v>109</v>
      </c>
      <c r="C31" s="29">
        <f t="shared" si="12"/>
        <v>401.41</v>
      </c>
      <c r="D31" s="30">
        <f t="shared" si="13"/>
        <v>209.9391859296482</v>
      </c>
      <c r="E31" s="31">
        <f t="shared" si="0"/>
        <v>30.000074736739837</v>
      </c>
      <c r="F31" s="32">
        <f>+'TALLER ACTIVOS'!BF26</f>
        <v>475.79269949748743</v>
      </c>
      <c r="G31" s="32">
        <v>0</v>
      </c>
      <c r="H31" s="32">
        <f>+'TALLER ACTIVOS'!CX26</f>
        <v>135.5564864321608</v>
      </c>
      <c r="I31" s="32">
        <v>0</v>
      </c>
      <c r="J31" s="32"/>
      <c r="K31" s="33"/>
      <c r="L31" s="34">
        <f t="shared" ref="L31:L64" si="41">+F31+G31+H31+I31+K31+J31</f>
        <v>611.34918592964823</v>
      </c>
      <c r="M31" s="35">
        <f t="shared" si="2"/>
        <v>37.933</v>
      </c>
      <c r="N31" s="36">
        <f t="shared" si="30"/>
        <v>573.41618592964824</v>
      </c>
      <c r="O31" s="37">
        <f t="shared" si="31"/>
        <v>33.450000000000003</v>
      </c>
      <c r="P31" s="37">
        <f t="shared" si="32"/>
        <v>33.33</v>
      </c>
      <c r="Q31" s="33">
        <f t="shared" si="33"/>
        <v>66.78</v>
      </c>
      <c r="R31" s="38">
        <f t="shared" ref="R31:R35" si="42">33.45/30*E31</f>
        <v>33.450083331464917</v>
      </c>
      <c r="S31" s="39"/>
      <c r="T31" s="35"/>
      <c r="U31" s="40">
        <f t="shared" si="34"/>
        <v>673.64626926111316</v>
      </c>
      <c r="V31" s="39"/>
      <c r="W31" s="35"/>
      <c r="X31" s="42"/>
      <c r="Y31" s="43"/>
      <c r="Z31" s="55"/>
      <c r="AA31" s="40">
        <f t="shared" si="38"/>
        <v>0</v>
      </c>
      <c r="AB31" s="36">
        <f t="shared" si="35"/>
        <v>673.64626926111316</v>
      </c>
      <c r="AC31" s="288"/>
      <c r="AD31" s="79"/>
      <c r="AE31" s="67"/>
      <c r="AF31" s="46">
        <f t="shared" si="36"/>
        <v>673.64626926111316</v>
      </c>
    </row>
    <row r="32" spans="1:157" s="57" customFormat="1" ht="18" customHeight="1" x14ac:dyDescent="0.25">
      <c r="A32" s="27">
        <f t="shared" si="29"/>
        <v>26</v>
      </c>
      <c r="B32" s="28" t="s">
        <v>55</v>
      </c>
      <c r="C32" s="29">
        <f t="shared" si="12"/>
        <v>401.41</v>
      </c>
      <c r="D32" s="30">
        <f t="shared" si="13"/>
        <v>39.693155778894379</v>
      </c>
      <c r="E32" s="31">
        <f t="shared" si="0"/>
        <v>30.000074736739837</v>
      </c>
      <c r="F32" s="32">
        <f>+'TALLER ACTIVOS'!BF27</f>
        <v>348.27059296482406</v>
      </c>
      <c r="G32" s="32">
        <v>0</v>
      </c>
      <c r="H32" s="32">
        <f>+'TALLER ACTIVOS'!CX27</f>
        <v>92.832562814070343</v>
      </c>
      <c r="I32" s="32">
        <v>0</v>
      </c>
      <c r="J32" s="32"/>
      <c r="K32" s="33"/>
      <c r="L32" s="34">
        <f t="shared" si="41"/>
        <v>441.1031557788944</v>
      </c>
      <c r="M32" s="35">
        <f t="shared" si="2"/>
        <v>37.933</v>
      </c>
      <c r="N32" s="36">
        <f t="shared" si="30"/>
        <v>403.17015577889441</v>
      </c>
      <c r="O32" s="37">
        <f t="shared" si="31"/>
        <v>33.450000000000003</v>
      </c>
      <c r="P32" s="37">
        <f t="shared" si="32"/>
        <v>33.33</v>
      </c>
      <c r="Q32" s="33">
        <f t="shared" si="33"/>
        <v>66.78</v>
      </c>
      <c r="R32" s="38">
        <f t="shared" si="42"/>
        <v>33.450083331464917</v>
      </c>
      <c r="S32" s="39"/>
      <c r="T32" s="35"/>
      <c r="U32" s="40">
        <f t="shared" si="34"/>
        <v>503.40023911035934</v>
      </c>
      <c r="V32" s="39"/>
      <c r="W32" s="35"/>
      <c r="X32" s="42"/>
      <c r="Y32" s="43"/>
      <c r="Z32" s="55"/>
      <c r="AA32" s="40">
        <f t="shared" si="38"/>
        <v>0</v>
      </c>
      <c r="AB32" s="36">
        <f t="shared" si="35"/>
        <v>503.40023911035934</v>
      </c>
      <c r="AC32" s="288"/>
      <c r="AD32" s="79"/>
      <c r="AE32" s="67"/>
      <c r="AF32" s="46">
        <f t="shared" si="36"/>
        <v>503.40023911035934</v>
      </c>
    </row>
    <row r="33" spans="1:157" s="57" customFormat="1" ht="18" customHeight="1" x14ac:dyDescent="0.25">
      <c r="A33" s="27">
        <f t="shared" si="29"/>
        <v>27</v>
      </c>
      <c r="B33" s="28" t="s">
        <v>65</v>
      </c>
      <c r="C33" s="29">
        <f t="shared" ref="C33:C64" si="43">IF(L33&gt;=401.41,401.41,IF(L33&lt;401.41,L33))</f>
        <v>401.41</v>
      </c>
      <c r="D33" s="30">
        <f t="shared" ref="D33:D64" si="44">+L33-C33</f>
        <v>187.09408040201009</v>
      </c>
      <c r="E33" s="31">
        <f t="shared" si="0"/>
        <v>30.000074736739837</v>
      </c>
      <c r="F33" s="32">
        <f>+'TALLER ACTIVOS'!BF28</f>
        <v>375.49479396984924</v>
      </c>
      <c r="G33" s="32">
        <v>0</v>
      </c>
      <c r="H33" s="32">
        <f>+'TALLER ACTIVOS'!CX28</f>
        <v>213.00928643216085</v>
      </c>
      <c r="I33" s="32">
        <v>0</v>
      </c>
      <c r="J33" s="32"/>
      <c r="K33" s="33"/>
      <c r="L33" s="34">
        <f t="shared" si="41"/>
        <v>588.50408040201012</v>
      </c>
      <c r="M33" s="35">
        <f t="shared" si="2"/>
        <v>37.933</v>
      </c>
      <c r="N33" s="36">
        <f t="shared" si="30"/>
        <v>550.57108040201012</v>
      </c>
      <c r="O33" s="37">
        <f t="shared" si="31"/>
        <v>33.450000000000003</v>
      </c>
      <c r="P33" s="37">
        <f t="shared" si="32"/>
        <v>33.33</v>
      </c>
      <c r="Q33" s="33">
        <f t="shared" si="33"/>
        <v>66.78</v>
      </c>
      <c r="R33" s="38">
        <f t="shared" si="42"/>
        <v>33.450083331464917</v>
      </c>
      <c r="S33" s="39"/>
      <c r="T33" s="35"/>
      <c r="U33" s="40">
        <f t="shared" si="34"/>
        <v>650.80116373347505</v>
      </c>
      <c r="V33" s="39"/>
      <c r="W33" s="35"/>
      <c r="X33" s="42"/>
      <c r="Y33" s="43"/>
      <c r="Z33" s="55">
        <v>49.87</v>
      </c>
      <c r="AA33" s="40">
        <f t="shared" si="38"/>
        <v>49.87</v>
      </c>
      <c r="AB33" s="36">
        <f t="shared" si="35"/>
        <v>600.93116373347505</v>
      </c>
      <c r="AC33" s="288"/>
      <c r="AD33" s="79"/>
      <c r="AE33" s="67"/>
      <c r="AF33" s="46">
        <f t="shared" si="36"/>
        <v>600.93116373347505</v>
      </c>
    </row>
    <row r="34" spans="1:157" ht="18" customHeight="1" x14ac:dyDescent="0.25">
      <c r="A34" s="27">
        <f t="shared" si="29"/>
        <v>28</v>
      </c>
      <c r="B34" s="28" t="s">
        <v>62</v>
      </c>
      <c r="C34" s="29">
        <f t="shared" si="43"/>
        <v>401.41</v>
      </c>
      <c r="D34" s="30">
        <f t="shared" si="44"/>
        <v>101.13433165829144</v>
      </c>
      <c r="E34" s="31">
        <f t="shared" si="0"/>
        <v>30.000074736739837</v>
      </c>
      <c r="F34" s="32">
        <f>+'TALLER ACTIVOS'!BF29</f>
        <v>254.63614874371859</v>
      </c>
      <c r="G34" s="32">
        <v>0</v>
      </c>
      <c r="H34" s="32">
        <f>+'TALLER ACTIVOS'!CX29</f>
        <v>227.83818291457288</v>
      </c>
      <c r="I34" s="32">
        <v>0</v>
      </c>
      <c r="J34" s="32">
        <f>13.38*3*50%</f>
        <v>20.07</v>
      </c>
      <c r="K34" s="33"/>
      <c r="L34" s="34">
        <f>+F34+G34+H34+I34+K34+J34</f>
        <v>502.54433165829147</v>
      </c>
      <c r="M34" s="35">
        <f t="shared" si="2"/>
        <v>37.933</v>
      </c>
      <c r="N34" s="36">
        <f t="shared" si="30"/>
        <v>464.61133165829148</v>
      </c>
      <c r="O34" s="37">
        <f t="shared" si="31"/>
        <v>33.450000000000003</v>
      </c>
      <c r="P34" s="37">
        <f t="shared" si="32"/>
        <v>33.33</v>
      </c>
      <c r="Q34" s="33">
        <f t="shared" si="33"/>
        <v>66.78</v>
      </c>
      <c r="R34" s="38">
        <f t="shared" si="42"/>
        <v>33.450083331464917</v>
      </c>
      <c r="S34" s="39"/>
      <c r="T34" s="35"/>
      <c r="U34" s="40">
        <f t="shared" si="34"/>
        <v>564.84141498975646</v>
      </c>
      <c r="V34" s="39"/>
      <c r="W34" s="35"/>
      <c r="X34" s="42"/>
      <c r="Y34" s="43"/>
      <c r="Z34" s="55">
        <v>23.36</v>
      </c>
      <c r="AA34" s="40">
        <f t="shared" si="38"/>
        <v>23.36</v>
      </c>
      <c r="AB34" s="36">
        <f t="shared" si="35"/>
        <v>541.48141498975644</v>
      </c>
      <c r="AC34" s="288"/>
      <c r="AD34" s="79"/>
      <c r="AE34" s="67"/>
      <c r="AF34" s="46">
        <f t="shared" si="36"/>
        <v>541.48141498975644</v>
      </c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</row>
    <row r="35" spans="1:157" ht="18" customHeight="1" x14ac:dyDescent="0.25">
      <c r="A35" s="27">
        <f t="shared" si="29"/>
        <v>29</v>
      </c>
      <c r="B35" s="28" t="s">
        <v>67</v>
      </c>
      <c r="C35" s="29">
        <f t="shared" si="43"/>
        <v>401.41</v>
      </c>
      <c r="D35" s="30">
        <f t="shared" si="44"/>
        <v>233.21661306532661</v>
      </c>
      <c r="E35" s="31">
        <f t="shared" si="0"/>
        <v>30.000074736739837</v>
      </c>
      <c r="F35" s="32">
        <f>+'TALLER ACTIVOS'!BF30</f>
        <v>403.39774874371858</v>
      </c>
      <c r="G35" s="32">
        <v>0</v>
      </c>
      <c r="H35" s="32">
        <f>+'TALLER ACTIVOS'!CX30</f>
        <v>231.22886432160803</v>
      </c>
      <c r="I35" s="32">
        <v>0</v>
      </c>
      <c r="J35" s="32"/>
      <c r="K35" s="65"/>
      <c r="L35" s="34">
        <f t="shared" si="41"/>
        <v>634.62661306532664</v>
      </c>
      <c r="M35" s="35">
        <f t="shared" si="2"/>
        <v>37.933</v>
      </c>
      <c r="N35" s="36">
        <f t="shared" si="30"/>
        <v>596.69361306532664</v>
      </c>
      <c r="O35" s="37">
        <f t="shared" si="31"/>
        <v>33.450000000000003</v>
      </c>
      <c r="P35" s="37">
        <f t="shared" si="32"/>
        <v>33.33</v>
      </c>
      <c r="Q35" s="33">
        <f t="shared" si="33"/>
        <v>66.78</v>
      </c>
      <c r="R35" s="38">
        <f t="shared" si="42"/>
        <v>33.450083331464917</v>
      </c>
      <c r="S35" s="39"/>
      <c r="T35" s="35"/>
      <c r="U35" s="40">
        <f t="shared" si="34"/>
        <v>696.92369639679157</v>
      </c>
      <c r="V35" s="39"/>
      <c r="W35" s="35"/>
      <c r="X35" s="42"/>
      <c r="Y35" s="43"/>
      <c r="Z35" s="55"/>
      <c r="AA35" s="40">
        <f t="shared" si="38"/>
        <v>0</v>
      </c>
      <c r="AB35" s="36">
        <f t="shared" si="35"/>
        <v>696.92369639679157</v>
      </c>
      <c r="AC35" s="288"/>
      <c r="AD35" s="79"/>
      <c r="AE35" s="67"/>
      <c r="AF35" s="46">
        <f t="shared" si="36"/>
        <v>696.92369639679157</v>
      </c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</row>
    <row r="36" spans="1:157" ht="18" customHeight="1" x14ac:dyDescent="0.25">
      <c r="A36" s="142">
        <f t="shared" si="29"/>
        <v>30</v>
      </c>
      <c r="B36" s="48" t="s">
        <v>108</v>
      </c>
      <c r="C36" s="29">
        <f>IF(L36&gt;=401.41,401.41,IF(L36&lt;401.41,L36))</f>
        <v>401.41</v>
      </c>
      <c r="D36" s="30">
        <f>+L36-C36</f>
        <v>148.01725628140701</v>
      </c>
      <c r="E36" s="31">
        <f>+C36/13.3803</f>
        <v>30.000074736739837</v>
      </c>
      <c r="F36" s="32">
        <f>+'TALLER ACTIVOS'!BF31</f>
        <v>375.76190552763819</v>
      </c>
      <c r="G36" s="32">
        <v>0</v>
      </c>
      <c r="H36" s="32">
        <f>+'TALLER ACTIVOS'!CX31</f>
        <v>173.66535075376885</v>
      </c>
      <c r="I36" s="32">
        <v>0</v>
      </c>
      <c r="J36" s="85"/>
      <c r="K36" s="33"/>
      <c r="L36" s="34">
        <f>+F36+G36+H36+I36+K36+J36</f>
        <v>549.42725628140704</v>
      </c>
      <c r="M36" s="35">
        <f>IF(L36&gt;=401.41,37.933,IF(L36&lt;401.41,L36*9.45%))</f>
        <v>37.933</v>
      </c>
      <c r="N36" s="36">
        <f>+L36-M36</f>
        <v>511.49425628140705</v>
      </c>
      <c r="O36" s="37">
        <f>IF(E36&gt;=30,33.45,IF(E36&lt;30,E36*1.115))</f>
        <v>33.450000000000003</v>
      </c>
      <c r="P36" s="37">
        <f>IF(E36&gt;=30,33.33,IF(E36&lt;30,E36*1.111))</f>
        <v>33.33</v>
      </c>
      <c r="Q36" s="33">
        <f>+O36+P36</f>
        <v>66.78</v>
      </c>
      <c r="R36" s="38">
        <f>33.45/30*E36</f>
        <v>33.450083331464917</v>
      </c>
      <c r="S36" s="39"/>
      <c r="T36" s="35"/>
      <c r="U36" s="40">
        <f>N36+Q36+R36+S36+T36</f>
        <v>611.72433961287197</v>
      </c>
      <c r="V36" s="39"/>
      <c r="W36" s="35"/>
      <c r="X36" s="42"/>
      <c r="Y36" s="43"/>
      <c r="Z36" s="279"/>
      <c r="AA36" s="40">
        <f>+W36+V36+X36+Y36+Z36</f>
        <v>0</v>
      </c>
      <c r="AB36" s="36">
        <f>+U36-AA36</f>
        <v>611.72433961287197</v>
      </c>
      <c r="AC36" s="288"/>
      <c r="AD36" s="79"/>
      <c r="AE36" s="68"/>
      <c r="AF36" s="46">
        <f>+AB36-AC36-AD36-AE36</f>
        <v>611.72433961287197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</row>
    <row r="37" spans="1:157" s="57" customFormat="1" ht="18" customHeight="1" x14ac:dyDescent="0.25">
      <c r="A37" s="27">
        <f t="shared" si="29"/>
        <v>31</v>
      </c>
      <c r="B37" s="28" t="s">
        <v>68</v>
      </c>
      <c r="C37" s="29">
        <f t="shared" si="43"/>
        <v>401.41</v>
      </c>
      <c r="D37" s="30">
        <f t="shared" si="44"/>
        <v>216.1333407035176</v>
      </c>
      <c r="E37" s="31">
        <f t="shared" si="0"/>
        <v>30.000074736739837</v>
      </c>
      <c r="F37" s="32">
        <f>+'TALLER ACTIVOS'!BF32</f>
        <v>388.28165628140704</v>
      </c>
      <c r="G37" s="32">
        <v>0</v>
      </c>
      <c r="H37" s="32">
        <f>+'TALLER ACTIVOS'!CX32</f>
        <v>229.26168442211056</v>
      </c>
      <c r="I37" s="32">
        <v>0</v>
      </c>
      <c r="J37" s="32"/>
      <c r="K37" s="33"/>
      <c r="L37" s="34">
        <f t="shared" si="41"/>
        <v>617.54334070351763</v>
      </c>
      <c r="M37" s="35">
        <f t="shared" si="2"/>
        <v>37.933</v>
      </c>
      <c r="N37" s="36">
        <f t="shared" si="30"/>
        <v>579.61034070351764</v>
      </c>
      <c r="O37" s="37">
        <f t="shared" si="31"/>
        <v>33.450000000000003</v>
      </c>
      <c r="P37" s="37">
        <f t="shared" si="32"/>
        <v>33.33</v>
      </c>
      <c r="Q37" s="33">
        <f t="shared" si="33"/>
        <v>66.78</v>
      </c>
      <c r="R37" s="38">
        <f>33.45/30*E37</f>
        <v>33.450083331464917</v>
      </c>
      <c r="S37" s="39"/>
      <c r="T37" s="35"/>
      <c r="U37" s="40">
        <f t="shared" si="34"/>
        <v>679.84042403498256</v>
      </c>
      <c r="V37" s="39"/>
      <c r="W37" s="35"/>
      <c r="X37" s="42"/>
      <c r="Y37" s="43"/>
      <c r="Z37" s="55"/>
      <c r="AA37" s="40">
        <f t="shared" si="38"/>
        <v>0</v>
      </c>
      <c r="AB37" s="36">
        <f t="shared" si="35"/>
        <v>679.84042403498256</v>
      </c>
      <c r="AC37" s="288"/>
      <c r="AD37" s="79"/>
      <c r="AE37" s="67"/>
      <c r="AF37" s="46">
        <f t="shared" si="36"/>
        <v>679.84042403498256</v>
      </c>
    </row>
    <row r="38" spans="1:157" s="57" customFormat="1" ht="18" customHeight="1" x14ac:dyDescent="0.25">
      <c r="A38" s="27">
        <f t="shared" ref="A38:A44" si="45">A37+1</f>
        <v>32</v>
      </c>
      <c r="B38" s="28" t="s">
        <v>75</v>
      </c>
      <c r="C38" s="29">
        <f t="shared" si="43"/>
        <v>401.41</v>
      </c>
      <c r="D38" s="30">
        <f t="shared" si="44"/>
        <v>224.01725628140701</v>
      </c>
      <c r="E38" s="31">
        <f t="shared" si="0"/>
        <v>30.000074736739837</v>
      </c>
      <c r="F38" s="32">
        <f>+'TALLER ACTIVOS'!BF33</f>
        <v>375.76190552763819</v>
      </c>
      <c r="G38" s="32">
        <v>0</v>
      </c>
      <c r="H38" s="32">
        <f>+'TALLER ACTIVOS'!CX33</f>
        <v>249.66535075376885</v>
      </c>
      <c r="I38" s="32">
        <v>0</v>
      </c>
      <c r="J38" s="32"/>
      <c r="K38" s="33"/>
      <c r="L38" s="34">
        <f t="shared" si="41"/>
        <v>625.42725628140704</v>
      </c>
      <c r="M38" s="35">
        <f t="shared" si="2"/>
        <v>37.933</v>
      </c>
      <c r="N38" s="36">
        <f t="shared" si="30"/>
        <v>587.49425628140705</v>
      </c>
      <c r="O38" s="37">
        <f t="shared" si="31"/>
        <v>33.450000000000003</v>
      </c>
      <c r="P38" s="37">
        <f t="shared" si="32"/>
        <v>33.33</v>
      </c>
      <c r="Q38" s="33">
        <f t="shared" si="33"/>
        <v>66.78</v>
      </c>
      <c r="R38" s="38">
        <f>33.45/30*E38</f>
        <v>33.450083331464917</v>
      </c>
      <c r="S38" s="39"/>
      <c r="T38" s="35"/>
      <c r="U38" s="40">
        <f t="shared" si="34"/>
        <v>687.72433961287197</v>
      </c>
      <c r="V38" s="39"/>
      <c r="W38" s="35"/>
      <c r="X38" s="42"/>
      <c r="Y38" s="43"/>
      <c r="Z38" s="47"/>
      <c r="AA38" s="40">
        <f t="shared" si="38"/>
        <v>0</v>
      </c>
      <c r="AB38" s="36">
        <f t="shared" si="35"/>
        <v>687.72433961287197</v>
      </c>
      <c r="AC38" s="288"/>
      <c r="AD38" s="79"/>
      <c r="AE38" s="68"/>
      <c r="AF38" s="46">
        <f t="shared" si="36"/>
        <v>687.72433961287197</v>
      </c>
    </row>
    <row r="39" spans="1:157" s="57" customFormat="1" ht="18" customHeight="1" x14ac:dyDescent="0.25">
      <c r="A39" s="27">
        <f t="shared" ref="A39:A40" si="46">A38+1</f>
        <v>33</v>
      </c>
      <c r="B39" s="28" t="s">
        <v>83</v>
      </c>
      <c r="C39" s="29">
        <f t="shared" si="43"/>
        <v>401.41</v>
      </c>
      <c r="D39" s="30">
        <f t="shared" si="44"/>
        <v>179.83008040201008</v>
      </c>
      <c r="E39" s="31">
        <f t="shared" si="0"/>
        <v>30.000074736739837</v>
      </c>
      <c r="F39" s="32">
        <f>+'TALLER ACTIVOS'!BF34</f>
        <v>396.16582914572865</v>
      </c>
      <c r="G39" s="32">
        <v>0</v>
      </c>
      <c r="H39" s="32">
        <f>+'TALLER ACTIVOS'!CX34</f>
        <v>185.07425125628143</v>
      </c>
      <c r="I39" s="32">
        <v>0</v>
      </c>
      <c r="J39" s="32"/>
      <c r="K39" s="33"/>
      <c r="L39" s="34">
        <f t="shared" si="41"/>
        <v>581.24008040201011</v>
      </c>
      <c r="M39" s="35">
        <f t="shared" si="2"/>
        <v>37.933</v>
      </c>
      <c r="N39" s="36">
        <f t="shared" si="30"/>
        <v>543.30708040201011</v>
      </c>
      <c r="O39" s="37">
        <f t="shared" si="31"/>
        <v>33.450000000000003</v>
      </c>
      <c r="P39" s="37">
        <f t="shared" si="32"/>
        <v>33.33</v>
      </c>
      <c r="Q39" s="33">
        <f t="shared" si="33"/>
        <v>66.78</v>
      </c>
      <c r="R39" s="1036"/>
      <c r="S39" s="39"/>
      <c r="T39" s="35"/>
      <c r="U39" s="40">
        <f t="shared" si="34"/>
        <v>610.08708040201009</v>
      </c>
      <c r="V39" s="49"/>
      <c r="W39" s="35"/>
      <c r="X39" s="42"/>
      <c r="Y39" s="43"/>
      <c r="Z39" s="44"/>
      <c r="AA39" s="40">
        <f t="shared" si="38"/>
        <v>0</v>
      </c>
      <c r="AB39" s="36">
        <f t="shared" si="35"/>
        <v>610.08708040201009</v>
      </c>
      <c r="AC39" s="288"/>
      <c r="AD39" s="79"/>
      <c r="AE39" s="67"/>
      <c r="AF39" s="46">
        <f t="shared" si="36"/>
        <v>610.08708040201009</v>
      </c>
    </row>
    <row r="40" spans="1:157" s="57" customFormat="1" ht="18" customHeight="1" x14ac:dyDescent="0.25">
      <c r="A40" s="27">
        <f t="shared" si="46"/>
        <v>34</v>
      </c>
      <c r="B40" s="28" t="s">
        <v>85</v>
      </c>
      <c r="C40" s="29">
        <f t="shared" si="43"/>
        <v>401.41</v>
      </c>
      <c r="D40" s="30">
        <f t="shared" si="44"/>
        <v>236.82253065326637</v>
      </c>
      <c r="E40" s="31">
        <f t="shared" si="0"/>
        <v>30.000074736739837</v>
      </c>
      <c r="F40" s="32">
        <f>+'TALLER ACTIVOS'!BF35</f>
        <v>399.56863517587942</v>
      </c>
      <c r="G40" s="32">
        <v>0</v>
      </c>
      <c r="H40" s="32">
        <f>+'TALLER ACTIVOS'!CX35</f>
        <v>238.66389547738694</v>
      </c>
      <c r="I40" s="32">
        <v>0</v>
      </c>
      <c r="J40" s="32"/>
      <c r="K40" s="33"/>
      <c r="L40" s="34">
        <f t="shared" si="41"/>
        <v>638.23253065326639</v>
      </c>
      <c r="M40" s="35">
        <f t="shared" si="2"/>
        <v>37.933</v>
      </c>
      <c r="N40" s="36">
        <f t="shared" si="30"/>
        <v>600.2995306532664</v>
      </c>
      <c r="O40" s="37">
        <f t="shared" si="31"/>
        <v>33.450000000000003</v>
      </c>
      <c r="P40" s="37">
        <f t="shared" si="32"/>
        <v>33.33</v>
      </c>
      <c r="Q40" s="33">
        <f t="shared" si="33"/>
        <v>66.78</v>
      </c>
      <c r="R40" s="1036"/>
      <c r="S40" s="39"/>
      <c r="T40" s="35"/>
      <c r="U40" s="40">
        <f t="shared" si="34"/>
        <v>667.07953065326637</v>
      </c>
      <c r="V40" s="39"/>
      <c r="W40" s="35"/>
      <c r="X40" s="42"/>
      <c r="Y40" s="43"/>
      <c r="Z40" s="58">
        <v>57.98</v>
      </c>
      <c r="AA40" s="40">
        <f t="shared" si="38"/>
        <v>57.98</v>
      </c>
      <c r="AB40" s="36">
        <f t="shared" si="35"/>
        <v>609.09953065326636</v>
      </c>
      <c r="AC40" s="288"/>
      <c r="AD40" s="79"/>
      <c r="AE40" s="67"/>
      <c r="AF40" s="46">
        <f t="shared" si="36"/>
        <v>609.09953065326636</v>
      </c>
    </row>
    <row r="41" spans="1:157" s="57" customFormat="1" ht="18" customHeight="1" x14ac:dyDescent="0.25">
      <c r="A41" s="27">
        <f t="shared" ref="A41:A64" si="47">A40+1</f>
        <v>35</v>
      </c>
      <c r="B41" s="28" t="s">
        <v>86</v>
      </c>
      <c r="C41" s="29">
        <f t="shared" si="43"/>
        <v>401.41</v>
      </c>
      <c r="D41" s="30">
        <f t="shared" si="44"/>
        <v>293.37866331658296</v>
      </c>
      <c r="E41" s="31">
        <f t="shared" si="0"/>
        <v>30.000074736739837</v>
      </c>
      <c r="F41" s="32">
        <f>+'TALLER ACTIVOS'!BF36</f>
        <v>462.37439195979903</v>
      </c>
      <c r="G41" s="32">
        <v>0</v>
      </c>
      <c r="H41" s="32">
        <f>+'TALLER ACTIVOS'!CX36</f>
        <v>232.41427135678393</v>
      </c>
      <c r="I41" s="32">
        <v>0</v>
      </c>
      <c r="J41" s="32"/>
      <c r="K41" s="33"/>
      <c r="L41" s="34">
        <f t="shared" si="41"/>
        <v>694.78866331658298</v>
      </c>
      <c r="M41" s="35">
        <f t="shared" si="2"/>
        <v>37.933</v>
      </c>
      <c r="N41" s="36">
        <f t="shared" si="30"/>
        <v>656.85566331658299</v>
      </c>
      <c r="O41" s="37">
        <f t="shared" si="31"/>
        <v>33.450000000000003</v>
      </c>
      <c r="P41" s="37">
        <f t="shared" si="32"/>
        <v>33.33</v>
      </c>
      <c r="Q41" s="33">
        <f t="shared" si="33"/>
        <v>66.78</v>
      </c>
      <c r="R41" s="1036"/>
      <c r="S41" s="39"/>
      <c r="T41" s="35"/>
      <c r="U41" s="40">
        <f t="shared" si="34"/>
        <v>723.63566331658296</v>
      </c>
      <c r="V41" s="39"/>
      <c r="W41" s="35"/>
      <c r="X41" s="42"/>
      <c r="Y41" s="43"/>
      <c r="Z41" s="55"/>
      <c r="AA41" s="40">
        <f t="shared" si="38"/>
        <v>0</v>
      </c>
      <c r="AB41" s="36">
        <f t="shared" si="35"/>
        <v>723.63566331658296</v>
      </c>
      <c r="AC41" s="288"/>
      <c r="AD41" s="79"/>
      <c r="AE41" s="67"/>
      <c r="AF41" s="46">
        <f t="shared" si="36"/>
        <v>723.63566331658296</v>
      </c>
    </row>
    <row r="42" spans="1:157" s="57" customFormat="1" ht="17.25" customHeight="1" x14ac:dyDescent="0.25">
      <c r="A42" s="27">
        <f t="shared" si="47"/>
        <v>36</v>
      </c>
      <c r="B42" s="28" t="s">
        <v>87</v>
      </c>
      <c r="C42" s="29">
        <f t="shared" si="43"/>
        <v>401.41</v>
      </c>
      <c r="D42" s="30">
        <f t="shared" si="44"/>
        <v>231.25901708542716</v>
      </c>
      <c r="E42" s="31">
        <f t="shared" si="0"/>
        <v>30.000074736739837</v>
      </c>
      <c r="F42" s="32">
        <f>+'TALLER ACTIVOS'!BF37</f>
        <v>416.02769045226131</v>
      </c>
      <c r="G42" s="32">
        <v>0</v>
      </c>
      <c r="H42" s="32">
        <f>+'TALLER ACTIVOS'!CX37</f>
        <v>216.64132663316582</v>
      </c>
      <c r="I42" s="32">
        <v>0</v>
      </c>
      <c r="J42" s="32"/>
      <c r="K42" s="33"/>
      <c r="L42" s="34">
        <f t="shared" si="41"/>
        <v>632.66901708542719</v>
      </c>
      <c r="M42" s="35">
        <f t="shared" si="2"/>
        <v>37.933</v>
      </c>
      <c r="N42" s="36">
        <f t="shared" si="30"/>
        <v>594.73601708542719</v>
      </c>
      <c r="O42" s="37">
        <f>IF(E42&gt;=30,33.45,IF(E42&lt;30,E42*1.115))</f>
        <v>33.450000000000003</v>
      </c>
      <c r="P42" s="37">
        <f>IF(E42&gt;=30,33.33,IF(E42&lt;30,E42*1.111))</f>
        <v>33.33</v>
      </c>
      <c r="Q42" s="33">
        <f>+O42+P42</f>
        <v>66.78</v>
      </c>
      <c r="R42" s="38">
        <f>33.45/30*E42</f>
        <v>33.450083331464917</v>
      </c>
      <c r="S42" s="39"/>
      <c r="T42" s="35"/>
      <c r="U42" s="40">
        <f t="shared" si="34"/>
        <v>694.96610041689212</v>
      </c>
      <c r="V42" s="39"/>
      <c r="W42" s="35"/>
      <c r="X42" s="42"/>
      <c r="Y42" s="43"/>
      <c r="Z42" s="55">
        <v>132.27000000000001</v>
      </c>
      <c r="AA42" s="40">
        <f t="shared" si="38"/>
        <v>132.27000000000001</v>
      </c>
      <c r="AB42" s="36">
        <f t="shared" si="35"/>
        <v>562.69610041689214</v>
      </c>
      <c r="AC42" s="288"/>
      <c r="AD42" s="79"/>
      <c r="AE42" s="67"/>
      <c r="AF42" s="46">
        <f t="shared" si="36"/>
        <v>562.69610041689214</v>
      </c>
    </row>
    <row r="43" spans="1:157" ht="18" customHeight="1" x14ac:dyDescent="0.25">
      <c r="A43" s="27">
        <f t="shared" si="47"/>
        <v>37</v>
      </c>
      <c r="B43" s="28" t="s">
        <v>88</v>
      </c>
      <c r="C43" s="29">
        <f t="shared" si="43"/>
        <v>401.41</v>
      </c>
      <c r="D43" s="30">
        <f t="shared" si="44"/>
        <v>299.29202211055264</v>
      </c>
      <c r="E43" s="31">
        <f t="shared" si="0"/>
        <v>30.000074736739837</v>
      </c>
      <c r="F43" s="32">
        <f>+'TALLER ACTIVOS'!BF38</f>
        <v>451.43432361809039</v>
      </c>
      <c r="G43" s="32">
        <v>0</v>
      </c>
      <c r="H43" s="32">
        <f>+'TALLER ACTIVOS'!CX38</f>
        <v>249.26769849246233</v>
      </c>
      <c r="I43" s="32">
        <v>0</v>
      </c>
      <c r="J43" s="32"/>
      <c r="K43" s="33"/>
      <c r="L43" s="34">
        <f t="shared" si="41"/>
        <v>700.70202211055266</v>
      </c>
      <c r="M43" s="35">
        <f t="shared" si="2"/>
        <v>37.933</v>
      </c>
      <c r="N43" s="36">
        <f t="shared" si="30"/>
        <v>662.76902211055267</v>
      </c>
      <c r="O43" s="37">
        <f>IF(E43&gt;=30,33.45,IF(E43&lt;30,E43*1.115))</f>
        <v>33.450000000000003</v>
      </c>
      <c r="P43" s="37">
        <f>IF(E43&gt;=30,33.33,IF(E43&lt;30,E43*1.111))</f>
        <v>33.33</v>
      </c>
      <c r="Q43" s="33">
        <f>+O43+P43</f>
        <v>66.78</v>
      </c>
      <c r="R43" s="38">
        <f>33.45/30*E43</f>
        <v>33.450083331464917</v>
      </c>
      <c r="S43" s="39"/>
      <c r="T43" s="35"/>
      <c r="U43" s="40">
        <f t="shared" si="34"/>
        <v>762.99910544201759</v>
      </c>
      <c r="V43" s="39">
        <v>100</v>
      </c>
      <c r="W43" s="35"/>
      <c r="X43" s="42"/>
      <c r="Y43" s="43"/>
      <c r="Z43" s="55">
        <v>100.81</v>
      </c>
      <c r="AA43" s="40">
        <f t="shared" si="38"/>
        <v>200.81</v>
      </c>
      <c r="AB43" s="36">
        <f t="shared" si="35"/>
        <v>562.18910544201754</v>
      </c>
      <c r="AC43" s="288"/>
      <c r="AD43" s="79"/>
      <c r="AE43" s="67"/>
      <c r="AF43" s="46">
        <f t="shared" si="36"/>
        <v>562.18910544201754</v>
      </c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</row>
    <row r="44" spans="1:157" ht="18" customHeight="1" x14ac:dyDescent="0.25">
      <c r="A44" s="27">
        <f t="shared" si="45"/>
        <v>38</v>
      </c>
      <c r="B44" s="28" t="s">
        <v>79</v>
      </c>
      <c r="C44" s="29">
        <f t="shared" si="43"/>
        <v>401.41</v>
      </c>
      <c r="D44" s="30">
        <f t="shared" si="44"/>
        <v>67.444432160803956</v>
      </c>
      <c r="E44" s="31">
        <f t="shared" si="0"/>
        <v>30.000074736739837</v>
      </c>
      <c r="F44" s="32">
        <f>+'TALLER ACTIVOS'!BF39</f>
        <v>320.92108542713567</v>
      </c>
      <c r="G44" s="32">
        <v>0</v>
      </c>
      <c r="H44" s="32">
        <f>+'TALLER ACTIVOS'!CX39</f>
        <v>147.93334673366834</v>
      </c>
      <c r="I44" s="32">
        <v>0</v>
      </c>
      <c r="J44" s="32"/>
      <c r="K44" s="33"/>
      <c r="L44" s="34">
        <f t="shared" si="41"/>
        <v>468.85443216080398</v>
      </c>
      <c r="M44" s="35">
        <f t="shared" si="2"/>
        <v>37.933</v>
      </c>
      <c r="N44" s="36">
        <f t="shared" si="30"/>
        <v>430.92143216080399</v>
      </c>
      <c r="O44" s="37">
        <f t="shared" ref="O44:O64" si="48">IF(E44&gt;=30,33.45,IF(E44&lt;30,E44*1.115))</f>
        <v>33.450000000000003</v>
      </c>
      <c r="P44" s="37">
        <f t="shared" ref="P44:P64" si="49">IF(E44&gt;=30,33.33,IF(E44&lt;30,E44*1.111))</f>
        <v>33.33</v>
      </c>
      <c r="Q44" s="33">
        <f t="shared" si="33"/>
        <v>66.78</v>
      </c>
      <c r="R44" s="38">
        <f>33.45/30*E44</f>
        <v>33.450083331464917</v>
      </c>
      <c r="S44" s="39"/>
      <c r="T44" s="35"/>
      <c r="U44" s="40">
        <f t="shared" si="34"/>
        <v>531.15151549226891</v>
      </c>
      <c r="V44" s="39"/>
      <c r="W44" s="35"/>
      <c r="X44" s="42"/>
      <c r="Y44" s="43"/>
      <c r="Z44" s="44"/>
      <c r="AA44" s="40">
        <f t="shared" si="38"/>
        <v>0</v>
      </c>
      <c r="AB44" s="36">
        <f t="shared" si="35"/>
        <v>531.15151549226891</v>
      </c>
      <c r="AC44" s="288"/>
      <c r="AD44" s="79"/>
      <c r="AE44" s="67"/>
      <c r="AF44" s="46">
        <f t="shared" si="36"/>
        <v>531.15151549226891</v>
      </c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</row>
    <row r="45" spans="1:157" ht="18" customHeight="1" x14ac:dyDescent="0.25">
      <c r="A45" s="27">
        <f t="shared" ref="A45:A61" si="50">A44+1</f>
        <v>39</v>
      </c>
      <c r="B45" s="77" t="s">
        <v>74</v>
      </c>
      <c r="C45" s="29">
        <f t="shared" si="43"/>
        <v>401.41</v>
      </c>
      <c r="D45" s="30">
        <f t="shared" si="44"/>
        <v>40.657778894472301</v>
      </c>
      <c r="E45" s="31">
        <f t="shared" si="0"/>
        <v>30.000074736739837</v>
      </c>
      <c r="F45" s="32">
        <f>+'TALLER ACTIVOS'!BF40</f>
        <v>319.98399999999998</v>
      </c>
      <c r="G45" s="32">
        <v>0</v>
      </c>
      <c r="H45" s="32">
        <f>+'TALLER ACTIVOS'!CX40</f>
        <v>122.08377889447237</v>
      </c>
      <c r="I45" s="32">
        <v>0</v>
      </c>
      <c r="J45" s="32"/>
      <c r="K45" s="33"/>
      <c r="L45" s="34">
        <f t="shared" si="41"/>
        <v>442.06777889447233</v>
      </c>
      <c r="M45" s="35">
        <f t="shared" si="2"/>
        <v>37.933</v>
      </c>
      <c r="N45" s="36">
        <f t="shared" si="30"/>
        <v>404.13477889447233</v>
      </c>
      <c r="O45" s="37">
        <f t="shared" si="48"/>
        <v>33.450000000000003</v>
      </c>
      <c r="P45" s="37">
        <f t="shared" si="49"/>
        <v>33.33</v>
      </c>
      <c r="Q45" s="33">
        <f t="shared" si="33"/>
        <v>66.78</v>
      </c>
      <c r="R45" s="38">
        <f t="shared" ref="R45" si="51">33.45/30*E45</f>
        <v>33.450083331464917</v>
      </c>
      <c r="S45" s="39"/>
      <c r="T45" s="35"/>
      <c r="U45" s="40">
        <f t="shared" si="34"/>
        <v>504.3648622259372</v>
      </c>
      <c r="V45" s="39"/>
      <c r="W45" s="35"/>
      <c r="X45" s="42"/>
      <c r="Y45" s="43"/>
      <c r="Z45" s="55"/>
      <c r="AA45" s="40">
        <f t="shared" si="38"/>
        <v>0</v>
      </c>
      <c r="AB45" s="36">
        <f t="shared" si="35"/>
        <v>504.3648622259372</v>
      </c>
      <c r="AC45" s="288"/>
      <c r="AD45" s="79"/>
      <c r="AE45" s="67"/>
      <c r="AF45" s="46">
        <f t="shared" si="36"/>
        <v>504.3648622259372</v>
      </c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</row>
    <row r="46" spans="1:157" s="57" customFormat="1" ht="18" customHeight="1" x14ac:dyDescent="0.25">
      <c r="A46" s="27">
        <f t="shared" si="50"/>
        <v>40</v>
      </c>
      <c r="B46" s="28" t="s">
        <v>138</v>
      </c>
      <c r="C46" s="29">
        <f t="shared" ref="C46:C60" si="52">IF(L46&gt;=401.41,401.41,IF(L46&lt;401.41,L46))</f>
        <v>401.41</v>
      </c>
      <c r="D46" s="30">
        <f t="shared" ref="D46:D60" si="53">+L46-C46</f>
        <v>272.47253857286438</v>
      </c>
      <c r="E46" s="31">
        <f t="shared" ref="E46:E60" si="54">+C46/13.3803</f>
        <v>30.000074736739837</v>
      </c>
      <c r="F46" s="32">
        <f>+'TALLER ACTIVOS'!BF54</f>
        <v>492.53650842211061</v>
      </c>
      <c r="G46" s="32">
        <v>0</v>
      </c>
      <c r="H46" s="32">
        <f>+'TALLER ACTIVOS'!CX54</f>
        <v>181.34603015075376</v>
      </c>
      <c r="I46" s="32">
        <v>0</v>
      </c>
      <c r="J46" s="32"/>
      <c r="K46" s="33"/>
      <c r="L46" s="34">
        <f t="shared" ref="L46:L60" si="55">+F46+G46+H46+I46+K46+J46</f>
        <v>673.88253857286441</v>
      </c>
      <c r="M46" s="35">
        <f t="shared" ref="M46:M60" si="56">IF(L46&gt;=401.41,37.933,IF(L46&lt;401.41,L46*9.45%))</f>
        <v>37.933</v>
      </c>
      <c r="N46" s="36">
        <f t="shared" ref="N46:N60" si="57">+L46-M46</f>
        <v>635.94953857286441</v>
      </c>
      <c r="O46" s="37">
        <f t="shared" ref="O46:O51" si="58">IF(E46&gt;=30,33.45,IF(E46&lt;30,E46*1.115))</f>
        <v>33.450000000000003</v>
      </c>
      <c r="P46" s="37">
        <f t="shared" ref="P46:P51" si="59">IF(E46&gt;=30,33.33,IF(E46&lt;30,E46*1.111))</f>
        <v>33.33</v>
      </c>
      <c r="Q46" s="33">
        <f t="shared" ref="Q46:Q60" si="60">+O46+P46</f>
        <v>66.78</v>
      </c>
      <c r="R46" s="38">
        <f>33.45/30*E46</f>
        <v>33.450083331464917</v>
      </c>
      <c r="S46" s="39"/>
      <c r="T46" s="35"/>
      <c r="U46" s="40">
        <f t="shared" ref="U46:U56" si="61">N46+Q46+R46+S46+T46</f>
        <v>736.17962190432934</v>
      </c>
      <c r="V46" s="39"/>
      <c r="W46" s="35"/>
      <c r="X46" s="42"/>
      <c r="Y46" s="43"/>
      <c r="Z46" s="55"/>
      <c r="AA46" s="40">
        <f t="shared" ref="AA46:AA60" si="62">+W46+V46+X46+Y46+Z46</f>
        <v>0</v>
      </c>
      <c r="AB46" s="36">
        <f t="shared" ref="AB46:AB60" si="63">+U46-AA46</f>
        <v>736.17962190432934</v>
      </c>
      <c r="AC46" s="288"/>
      <c r="AD46" s="79"/>
      <c r="AE46" s="67"/>
      <c r="AF46" s="46">
        <f t="shared" ref="AF46:AF60" si="64">+AB46-AC46-AD46-AE46</f>
        <v>736.17962190432934</v>
      </c>
    </row>
    <row r="47" spans="1:157" s="57" customFormat="1" ht="18" customHeight="1" x14ac:dyDescent="0.25">
      <c r="A47" s="27">
        <f t="shared" si="50"/>
        <v>41</v>
      </c>
      <c r="B47" s="28" t="s">
        <v>156</v>
      </c>
      <c r="C47" s="29">
        <f t="shared" si="52"/>
        <v>333</v>
      </c>
      <c r="D47" s="30">
        <f t="shared" si="53"/>
        <v>0</v>
      </c>
      <c r="E47" s="31">
        <f t="shared" si="54"/>
        <v>24.887334364700344</v>
      </c>
      <c r="F47" s="32">
        <f>+'TALLER ACTIVOS'!BF55</f>
        <v>224.99999999999997</v>
      </c>
      <c r="G47" s="32">
        <v>0</v>
      </c>
      <c r="H47" s="32">
        <f>+'TALLER ACTIVOS'!CX55</f>
        <v>108</v>
      </c>
      <c r="I47" s="32">
        <v>0</v>
      </c>
      <c r="J47" s="32"/>
      <c r="K47" s="33"/>
      <c r="L47" s="34">
        <f t="shared" si="55"/>
        <v>333</v>
      </c>
      <c r="M47" s="35">
        <f t="shared" si="56"/>
        <v>31.468499999999995</v>
      </c>
      <c r="N47" s="36">
        <f t="shared" si="57"/>
        <v>301.53149999999999</v>
      </c>
      <c r="O47" s="37">
        <f t="shared" si="58"/>
        <v>27.749377816640884</v>
      </c>
      <c r="P47" s="37">
        <f t="shared" si="59"/>
        <v>27.64982847918208</v>
      </c>
      <c r="Q47" s="33">
        <f t="shared" si="60"/>
        <v>55.399206295822964</v>
      </c>
      <c r="R47" s="38"/>
      <c r="S47" s="39"/>
      <c r="T47" s="35"/>
      <c r="U47" s="40">
        <f t="shared" si="61"/>
        <v>356.93070629582297</v>
      </c>
      <c r="V47" s="62"/>
      <c r="W47" s="35"/>
      <c r="X47" s="42"/>
      <c r="Y47" s="43"/>
      <c r="Z47" s="44"/>
      <c r="AA47" s="40">
        <f t="shared" si="62"/>
        <v>0</v>
      </c>
      <c r="AB47" s="36">
        <f t="shared" si="63"/>
        <v>356.93070629582297</v>
      </c>
      <c r="AC47" s="288"/>
      <c r="AD47" s="79"/>
      <c r="AE47" s="68"/>
      <c r="AF47" s="46">
        <f t="shared" si="64"/>
        <v>356.93070629582297</v>
      </c>
    </row>
    <row r="48" spans="1:157" s="57" customFormat="1" ht="18" customHeight="1" x14ac:dyDescent="0.25">
      <c r="A48" s="27">
        <f t="shared" si="50"/>
        <v>42</v>
      </c>
      <c r="B48" s="48" t="s">
        <v>123</v>
      </c>
      <c r="C48" s="29">
        <f t="shared" si="52"/>
        <v>401.41</v>
      </c>
      <c r="D48" s="30">
        <f t="shared" si="53"/>
        <v>204.82221708542721</v>
      </c>
      <c r="E48" s="31">
        <f t="shared" si="54"/>
        <v>30.000074736739837</v>
      </c>
      <c r="F48" s="32">
        <f>+'TALLER ACTIVOS'!BF56</f>
        <v>376.18912160804024</v>
      </c>
      <c r="G48" s="32">
        <v>0</v>
      </c>
      <c r="H48" s="32">
        <f>+'TALLER ACTIVOS'!CX56</f>
        <v>230.04309547738694</v>
      </c>
      <c r="I48" s="32">
        <v>0</v>
      </c>
      <c r="J48" s="32"/>
      <c r="K48" s="33"/>
      <c r="L48" s="34">
        <f t="shared" si="55"/>
        <v>606.23221708542724</v>
      </c>
      <c r="M48" s="35">
        <f t="shared" si="56"/>
        <v>37.933</v>
      </c>
      <c r="N48" s="36">
        <f t="shared" si="57"/>
        <v>568.29921708542724</v>
      </c>
      <c r="O48" s="37">
        <f t="shared" si="58"/>
        <v>33.450000000000003</v>
      </c>
      <c r="P48" s="37">
        <f t="shared" si="59"/>
        <v>33.33</v>
      </c>
      <c r="Q48" s="33">
        <f t="shared" si="60"/>
        <v>66.78</v>
      </c>
      <c r="R48" s="38">
        <f t="shared" ref="R48:R58" si="65">33.45/30*E48</f>
        <v>33.450083331464917</v>
      </c>
      <c r="S48" s="39"/>
      <c r="T48" s="35"/>
      <c r="U48" s="40">
        <f t="shared" si="61"/>
        <v>668.52930041689217</v>
      </c>
      <c r="V48" s="39"/>
      <c r="W48" s="35"/>
      <c r="X48" s="42"/>
      <c r="Y48" s="43"/>
      <c r="Z48" s="55">
        <v>66.55</v>
      </c>
      <c r="AA48" s="40">
        <f t="shared" si="62"/>
        <v>66.55</v>
      </c>
      <c r="AB48" s="36">
        <f t="shared" si="63"/>
        <v>601.97930041689222</v>
      </c>
      <c r="AC48" s="288"/>
      <c r="AD48" s="79"/>
      <c r="AE48" s="67"/>
      <c r="AF48" s="46">
        <f t="shared" si="64"/>
        <v>601.97930041689222</v>
      </c>
    </row>
    <row r="49" spans="1:32" s="57" customFormat="1" ht="18" customHeight="1" x14ac:dyDescent="0.25">
      <c r="A49" s="27">
        <f t="shared" si="50"/>
        <v>43</v>
      </c>
      <c r="B49" s="28" t="s">
        <v>97</v>
      </c>
      <c r="C49" s="29">
        <f t="shared" si="52"/>
        <v>401.41</v>
      </c>
      <c r="D49" s="30">
        <f t="shared" si="53"/>
        <v>321.82805494974883</v>
      </c>
      <c r="E49" s="31">
        <f t="shared" si="54"/>
        <v>30.000074736739837</v>
      </c>
      <c r="F49" s="32">
        <f>+'TALLER ACTIVOS'!BF57</f>
        <v>497.90233635678396</v>
      </c>
      <c r="G49" s="32">
        <v>0</v>
      </c>
      <c r="H49" s="32">
        <f>+'TALLER ACTIVOS'!CX57</f>
        <v>225.33571859296484</v>
      </c>
      <c r="I49" s="32">
        <v>0</v>
      </c>
      <c r="J49" s="32"/>
      <c r="K49" s="33"/>
      <c r="L49" s="34">
        <f t="shared" si="55"/>
        <v>723.23805494974886</v>
      </c>
      <c r="M49" s="35">
        <f t="shared" si="56"/>
        <v>37.933</v>
      </c>
      <c r="N49" s="36">
        <f t="shared" si="57"/>
        <v>685.30505494974886</v>
      </c>
      <c r="O49" s="37">
        <f t="shared" si="58"/>
        <v>33.450000000000003</v>
      </c>
      <c r="P49" s="37">
        <f t="shared" si="59"/>
        <v>33.33</v>
      </c>
      <c r="Q49" s="33">
        <f t="shared" si="60"/>
        <v>66.78</v>
      </c>
      <c r="R49" s="38">
        <f t="shared" si="65"/>
        <v>33.450083331464917</v>
      </c>
      <c r="S49" s="39"/>
      <c r="T49" s="35"/>
      <c r="U49" s="40">
        <f t="shared" si="61"/>
        <v>785.53513828121379</v>
      </c>
      <c r="V49" s="39"/>
      <c r="W49" s="35"/>
      <c r="X49" s="42"/>
      <c r="Y49" s="43"/>
      <c r="Z49" s="55">
        <v>68.75</v>
      </c>
      <c r="AA49" s="40">
        <f t="shared" si="62"/>
        <v>68.75</v>
      </c>
      <c r="AB49" s="36">
        <f t="shared" si="63"/>
        <v>716.78513828121379</v>
      </c>
      <c r="AC49" s="288"/>
      <c r="AD49" s="79"/>
      <c r="AE49" s="67"/>
      <c r="AF49" s="46">
        <f t="shared" si="64"/>
        <v>716.78513828121379</v>
      </c>
    </row>
    <row r="50" spans="1:32" s="57" customFormat="1" ht="18" customHeight="1" x14ac:dyDescent="0.25">
      <c r="A50" s="27">
        <f t="shared" si="50"/>
        <v>44</v>
      </c>
      <c r="B50" s="28" t="s">
        <v>98</v>
      </c>
      <c r="C50" s="29">
        <f t="shared" si="52"/>
        <v>401.41</v>
      </c>
      <c r="D50" s="30">
        <f t="shared" si="53"/>
        <v>278.94263416582913</v>
      </c>
      <c r="E50" s="31">
        <f t="shared" si="54"/>
        <v>30.000074736739837</v>
      </c>
      <c r="F50" s="32">
        <f>+'TALLER ACTIVOS'!BF58</f>
        <v>457.70916079899496</v>
      </c>
      <c r="G50" s="32">
        <v>0</v>
      </c>
      <c r="H50" s="32">
        <f>+'TALLER ACTIVOS'!CX58</f>
        <v>222.64347336683417</v>
      </c>
      <c r="I50" s="32">
        <v>0</v>
      </c>
      <c r="J50" s="32"/>
      <c r="K50" s="33"/>
      <c r="L50" s="34">
        <f t="shared" si="55"/>
        <v>680.35263416582916</v>
      </c>
      <c r="M50" s="35">
        <f t="shared" si="56"/>
        <v>37.933</v>
      </c>
      <c r="N50" s="36">
        <f t="shared" si="57"/>
        <v>642.41963416582917</v>
      </c>
      <c r="O50" s="37">
        <f t="shared" si="58"/>
        <v>33.450000000000003</v>
      </c>
      <c r="P50" s="37">
        <f t="shared" si="59"/>
        <v>33.33</v>
      </c>
      <c r="Q50" s="33">
        <f t="shared" si="60"/>
        <v>66.78</v>
      </c>
      <c r="R50" s="38">
        <f t="shared" si="65"/>
        <v>33.450083331464917</v>
      </c>
      <c r="S50" s="39"/>
      <c r="T50" s="35"/>
      <c r="U50" s="40">
        <f t="shared" si="61"/>
        <v>742.64971749729409</v>
      </c>
      <c r="V50" s="39"/>
      <c r="W50" s="35"/>
      <c r="X50" s="42"/>
      <c r="Y50" s="43"/>
      <c r="Z50" s="55">
        <v>53.18</v>
      </c>
      <c r="AA50" s="40">
        <f t="shared" si="62"/>
        <v>53.18</v>
      </c>
      <c r="AB50" s="36">
        <f t="shared" si="63"/>
        <v>689.46971749729414</v>
      </c>
      <c r="AC50" s="288"/>
      <c r="AD50" s="79"/>
      <c r="AE50" s="67"/>
      <c r="AF50" s="46">
        <f t="shared" si="64"/>
        <v>689.46971749729414</v>
      </c>
    </row>
    <row r="51" spans="1:32" s="57" customFormat="1" ht="18" customHeight="1" x14ac:dyDescent="0.25">
      <c r="A51" s="27">
        <f t="shared" si="50"/>
        <v>45</v>
      </c>
      <c r="B51" s="28" t="s">
        <v>77</v>
      </c>
      <c r="C51" s="29">
        <f t="shared" si="52"/>
        <v>401.41</v>
      </c>
      <c r="D51" s="30">
        <f t="shared" si="53"/>
        <v>43.637766834170804</v>
      </c>
      <c r="E51" s="31">
        <f t="shared" si="54"/>
        <v>30.000074736739837</v>
      </c>
      <c r="F51" s="32">
        <f>+'TALLER ACTIVOS'!BF59</f>
        <v>249.27187939698493</v>
      </c>
      <c r="G51" s="32">
        <v>0</v>
      </c>
      <c r="H51" s="32">
        <f>+'TALLER ACTIVOS'!CX59</f>
        <v>195.77588743718593</v>
      </c>
      <c r="I51" s="32">
        <v>0</v>
      </c>
      <c r="J51" s="32"/>
      <c r="K51" s="33"/>
      <c r="L51" s="34">
        <f t="shared" si="55"/>
        <v>445.04776683417083</v>
      </c>
      <c r="M51" s="35">
        <f t="shared" si="56"/>
        <v>37.933</v>
      </c>
      <c r="N51" s="36">
        <f t="shared" si="57"/>
        <v>407.11476683417084</v>
      </c>
      <c r="O51" s="37">
        <f t="shared" si="58"/>
        <v>33.450000000000003</v>
      </c>
      <c r="P51" s="37">
        <f t="shared" si="59"/>
        <v>33.33</v>
      </c>
      <c r="Q51" s="33">
        <f t="shared" si="60"/>
        <v>66.78</v>
      </c>
      <c r="R51" s="38">
        <f t="shared" si="65"/>
        <v>33.450083331464917</v>
      </c>
      <c r="S51" s="39"/>
      <c r="T51" s="35"/>
      <c r="U51" s="40">
        <f t="shared" si="61"/>
        <v>507.34485016563571</v>
      </c>
      <c r="V51" s="39"/>
      <c r="W51" s="35"/>
      <c r="X51" s="42"/>
      <c r="Y51" s="43"/>
      <c r="Z51" s="55"/>
      <c r="AA51" s="40">
        <f t="shared" si="62"/>
        <v>0</v>
      </c>
      <c r="AB51" s="36">
        <f t="shared" si="63"/>
        <v>507.34485016563571</v>
      </c>
      <c r="AC51" s="288"/>
      <c r="AD51" s="79"/>
      <c r="AE51" s="67"/>
      <c r="AF51" s="46">
        <f t="shared" si="64"/>
        <v>507.34485016563571</v>
      </c>
    </row>
    <row r="52" spans="1:32" s="57" customFormat="1" ht="18" customHeight="1" x14ac:dyDescent="0.25">
      <c r="A52" s="27">
        <f t="shared" si="50"/>
        <v>46</v>
      </c>
      <c r="B52" s="28" t="s">
        <v>58</v>
      </c>
      <c r="C52" s="29">
        <f t="shared" si="52"/>
        <v>401.41</v>
      </c>
      <c r="D52" s="30">
        <f t="shared" si="53"/>
        <v>303.79870196984922</v>
      </c>
      <c r="E52" s="31">
        <f t="shared" si="54"/>
        <v>30.000074736739837</v>
      </c>
      <c r="F52" s="32">
        <f>+'TALLER ACTIVOS'!BF60</f>
        <v>487.2191059899497</v>
      </c>
      <c r="G52" s="32">
        <v>0</v>
      </c>
      <c r="H52" s="32">
        <f>+'TALLER ACTIVOS'!CX60</f>
        <v>217.98959597989949</v>
      </c>
      <c r="I52" s="32">
        <v>0</v>
      </c>
      <c r="J52" s="32"/>
      <c r="K52" s="33"/>
      <c r="L52" s="34">
        <f t="shared" si="55"/>
        <v>705.20870196984924</v>
      </c>
      <c r="M52" s="35">
        <f t="shared" si="56"/>
        <v>37.933</v>
      </c>
      <c r="N52" s="36">
        <f t="shared" si="57"/>
        <v>667.27570196984925</v>
      </c>
      <c r="O52" s="270"/>
      <c r="P52" s="1036"/>
      <c r="Q52" s="33">
        <f t="shared" si="60"/>
        <v>0</v>
      </c>
      <c r="R52" s="38">
        <f t="shared" si="65"/>
        <v>33.450083331464917</v>
      </c>
      <c r="S52" s="39"/>
      <c r="T52" s="35"/>
      <c r="U52" s="40">
        <f t="shared" si="61"/>
        <v>700.7257853013142</v>
      </c>
      <c r="V52" s="39"/>
      <c r="W52" s="35"/>
      <c r="X52" s="42"/>
      <c r="Y52" s="43"/>
      <c r="Z52" s="55">
        <v>47.92</v>
      </c>
      <c r="AA52" s="40">
        <f t="shared" si="62"/>
        <v>47.92</v>
      </c>
      <c r="AB52" s="36">
        <f t="shared" si="63"/>
        <v>652.80578530131424</v>
      </c>
      <c r="AC52" s="288"/>
      <c r="AD52" s="79"/>
      <c r="AE52" s="67"/>
      <c r="AF52" s="46">
        <f t="shared" si="64"/>
        <v>652.80578530131424</v>
      </c>
    </row>
    <row r="53" spans="1:32" s="57" customFormat="1" ht="18" customHeight="1" x14ac:dyDescent="0.25">
      <c r="A53" s="27">
        <f t="shared" si="50"/>
        <v>47</v>
      </c>
      <c r="B53" s="28" t="s">
        <v>60</v>
      </c>
      <c r="C53" s="29">
        <f t="shared" si="52"/>
        <v>401.41</v>
      </c>
      <c r="D53" s="30">
        <f t="shared" si="53"/>
        <v>340.75012060301498</v>
      </c>
      <c r="E53" s="31">
        <f t="shared" si="54"/>
        <v>30.000074736739837</v>
      </c>
      <c r="F53" s="32">
        <f>+'TALLER ACTIVOS'!BF61</f>
        <v>527.06079195979896</v>
      </c>
      <c r="G53" s="32">
        <v>0</v>
      </c>
      <c r="H53" s="32">
        <f>+'TALLER ACTIVOS'!CX61</f>
        <v>215.09932864321607</v>
      </c>
      <c r="I53" s="32">
        <v>0</v>
      </c>
      <c r="J53" s="32"/>
      <c r="K53" s="33"/>
      <c r="L53" s="34">
        <f t="shared" si="55"/>
        <v>742.160120603015</v>
      </c>
      <c r="M53" s="35">
        <f t="shared" si="56"/>
        <v>37.933</v>
      </c>
      <c r="N53" s="36">
        <f t="shared" si="57"/>
        <v>704.22712060301501</v>
      </c>
      <c r="O53" s="37">
        <f t="shared" ref="O53:O60" si="66">IF(E53&gt;=30,33.45,IF(E53&lt;30,E53*1.115))</f>
        <v>33.450000000000003</v>
      </c>
      <c r="P53" s="37">
        <f t="shared" ref="P53:P60" si="67">IF(E53&gt;=30,33.33,IF(E53&lt;30,E53*1.111))</f>
        <v>33.33</v>
      </c>
      <c r="Q53" s="33">
        <f t="shared" si="60"/>
        <v>66.78</v>
      </c>
      <c r="R53" s="38">
        <f t="shared" si="65"/>
        <v>33.450083331464917</v>
      </c>
      <c r="S53" s="39"/>
      <c r="T53" s="35"/>
      <c r="U53" s="40">
        <f t="shared" si="61"/>
        <v>804.45720393447994</v>
      </c>
      <c r="V53" s="39"/>
      <c r="W53" s="35"/>
      <c r="X53" s="42"/>
      <c r="Y53" s="43"/>
      <c r="Z53" s="55"/>
      <c r="AA53" s="40">
        <f t="shared" si="62"/>
        <v>0</v>
      </c>
      <c r="AB53" s="36">
        <f t="shared" si="63"/>
        <v>804.45720393447994</v>
      </c>
      <c r="AC53" s="288"/>
      <c r="AD53" s="79"/>
      <c r="AE53" s="67"/>
      <c r="AF53" s="46">
        <f t="shared" si="64"/>
        <v>804.45720393447994</v>
      </c>
    </row>
    <row r="54" spans="1:32" s="57" customFormat="1" ht="18" customHeight="1" x14ac:dyDescent="0.25">
      <c r="A54" s="27">
        <f t="shared" si="50"/>
        <v>48</v>
      </c>
      <c r="B54" s="28" t="s">
        <v>54</v>
      </c>
      <c r="C54" s="29">
        <f t="shared" si="52"/>
        <v>401.41</v>
      </c>
      <c r="D54" s="30">
        <f t="shared" si="53"/>
        <v>307.12587939698489</v>
      </c>
      <c r="E54" s="31">
        <f t="shared" si="54"/>
        <v>30.000074736739837</v>
      </c>
      <c r="F54" s="32">
        <f>+'TALLER ACTIVOS'!BF62</f>
        <v>504.00687437185928</v>
      </c>
      <c r="G54" s="32">
        <v>0</v>
      </c>
      <c r="H54" s="32">
        <f>+'TALLER ACTIVOS'!CX62</f>
        <v>204.52900502512563</v>
      </c>
      <c r="I54" s="32">
        <v>0</v>
      </c>
      <c r="J54" s="32"/>
      <c r="K54" s="33"/>
      <c r="L54" s="34">
        <f t="shared" si="55"/>
        <v>708.53587939698491</v>
      </c>
      <c r="M54" s="35">
        <f t="shared" si="56"/>
        <v>37.933</v>
      </c>
      <c r="N54" s="36">
        <f t="shared" si="57"/>
        <v>670.60287939698492</v>
      </c>
      <c r="O54" s="37">
        <f t="shared" si="66"/>
        <v>33.450000000000003</v>
      </c>
      <c r="P54" s="37">
        <f t="shared" si="67"/>
        <v>33.33</v>
      </c>
      <c r="Q54" s="33">
        <f t="shared" si="60"/>
        <v>66.78</v>
      </c>
      <c r="R54" s="38">
        <f t="shared" si="65"/>
        <v>33.450083331464917</v>
      </c>
      <c r="S54" s="39"/>
      <c r="T54" s="35"/>
      <c r="U54" s="40">
        <f t="shared" si="61"/>
        <v>770.83296272844984</v>
      </c>
      <c r="V54" s="39">
        <v>100</v>
      </c>
      <c r="W54" s="35"/>
      <c r="X54" s="42"/>
      <c r="Y54" s="43"/>
      <c r="Z54" s="55"/>
      <c r="AA54" s="40">
        <f t="shared" si="62"/>
        <v>100</v>
      </c>
      <c r="AB54" s="36">
        <f t="shared" si="63"/>
        <v>670.83296272844984</v>
      </c>
      <c r="AC54" s="288"/>
      <c r="AD54" s="79"/>
      <c r="AE54" s="67"/>
      <c r="AF54" s="46">
        <f t="shared" si="64"/>
        <v>670.83296272844984</v>
      </c>
    </row>
    <row r="55" spans="1:32" s="57" customFormat="1" ht="18" customHeight="1" x14ac:dyDescent="0.25">
      <c r="A55" s="27">
        <f t="shared" si="50"/>
        <v>49</v>
      </c>
      <c r="B55" s="28" t="s">
        <v>135</v>
      </c>
      <c r="C55" s="29">
        <f t="shared" si="52"/>
        <v>401.41</v>
      </c>
      <c r="D55" s="30">
        <f t="shared" si="53"/>
        <v>152.99594974874373</v>
      </c>
      <c r="E55" s="31">
        <f t="shared" si="54"/>
        <v>30.000074736739837</v>
      </c>
      <c r="F55" s="32">
        <f>+'TALLER ACTIVOS'!BF63</f>
        <v>359.24695477386933</v>
      </c>
      <c r="G55" s="32">
        <v>0</v>
      </c>
      <c r="H55" s="32">
        <f>+'TALLER ACTIVOS'!CX63</f>
        <v>195.15899497487436</v>
      </c>
      <c r="I55" s="32">
        <v>0</v>
      </c>
      <c r="J55" s="32"/>
      <c r="K55" s="33"/>
      <c r="L55" s="34">
        <f t="shared" si="55"/>
        <v>554.40594974874375</v>
      </c>
      <c r="M55" s="35">
        <f t="shared" si="56"/>
        <v>37.933</v>
      </c>
      <c r="N55" s="36">
        <f t="shared" si="57"/>
        <v>516.47294974874376</v>
      </c>
      <c r="O55" s="37">
        <f t="shared" si="66"/>
        <v>33.450000000000003</v>
      </c>
      <c r="P55" s="37">
        <f t="shared" si="67"/>
        <v>33.33</v>
      </c>
      <c r="Q55" s="33">
        <f t="shared" si="60"/>
        <v>66.78</v>
      </c>
      <c r="R55" s="38">
        <f t="shared" si="65"/>
        <v>33.450083331464917</v>
      </c>
      <c r="S55" s="39"/>
      <c r="T55" s="35"/>
      <c r="U55" s="40">
        <f t="shared" si="61"/>
        <v>616.70303308020868</v>
      </c>
      <c r="V55" s="39"/>
      <c r="W55" s="35"/>
      <c r="X55" s="42"/>
      <c r="Y55" s="43"/>
      <c r="Z55" s="55">
        <v>88.09</v>
      </c>
      <c r="AA55" s="40">
        <f t="shared" si="62"/>
        <v>88.09</v>
      </c>
      <c r="AB55" s="36">
        <f t="shared" si="63"/>
        <v>528.61303308020865</v>
      </c>
      <c r="AC55" s="288"/>
      <c r="AD55" s="79"/>
      <c r="AE55" s="67"/>
      <c r="AF55" s="46">
        <f t="shared" si="64"/>
        <v>528.61303308020865</v>
      </c>
    </row>
    <row r="56" spans="1:32" s="57" customFormat="1" ht="18" customHeight="1" x14ac:dyDescent="0.25">
      <c r="A56" s="27">
        <f t="shared" si="50"/>
        <v>50</v>
      </c>
      <c r="B56" s="28" t="s">
        <v>61</v>
      </c>
      <c r="C56" s="29">
        <f t="shared" si="52"/>
        <v>401.41</v>
      </c>
      <c r="D56" s="30">
        <f t="shared" si="53"/>
        <v>259.53543115577889</v>
      </c>
      <c r="E56" s="31">
        <f t="shared" si="54"/>
        <v>30.000074736739837</v>
      </c>
      <c r="F56" s="32">
        <f>+'TALLER ACTIVOS'!BF64</f>
        <v>447.27577889447241</v>
      </c>
      <c r="G56" s="32">
        <v>0</v>
      </c>
      <c r="H56" s="32">
        <f>+'TALLER ACTIVOS'!CX64</f>
        <v>213.66965226130654</v>
      </c>
      <c r="I56" s="32">
        <v>0</v>
      </c>
      <c r="J56" s="32"/>
      <c r="K56" s="33"/>
      <c r="L56" s="34">
        <f t="shared" si="55"/>
        <v>660.94543115577892</v>
      </c>
      <c r="M56" s="35">
        <f t="shared" si="56"/>
        <v>37.933</v>
      </c>
      <c r="N56" s="36">
        <f t="shared" si="57"/>
        <v>623.01243115577893</v>
      </c>
      <c r="O56" s="37">
        <f t="shared" si="66"/>
        <v>33.450000000000003</v>
      </c>
      <c r="P56" s="37">
        <f t="shared" si="67"/>
        <v>33.33</v>
      </c>
      <c r="Q56" s="33">
        <f t="shared" si="60"/>
        <v>66.78</v>
      </c>
      <c r="R56" s="38">
        <f t="shared" si="65"/>
        <v>33.450083331464917</v>
      </c>
      <c r="S56" s="39"/>
      <c r="T56" s="35"/>
      <c r="U56" s="40">
        <f t="shared" si="61"/>
        <v>723.24251448724385</v>
      </c>
      <c r="V56" s="39"/>
      <c r="W56" s="35"/>
      <c r="X56" s="42"/>
      <c r="Y56" s="43"/>
      <c r="Z56" s="55"/>
      <c r="AA56" s="40">
        <f t="shared" si="62"/>
        <v>0</v>
      </c>
      <c r="AB56" s="36">
        <f t="shared" si="63"/>
        <v>723.24251448724385</v>
      </c>
      <c r="AC56" s="288"/>
      <c r="AD56" s="79"/>
      <c r="AE56" s="68"/>
      <c r="AF56" s="46">
        <f t="shared" si="64"/>
        <v>723.24251448724385</v>
      </c>
    </row>
    <row r="57" spans="1:32" s="57" customFormat="1" ht="18" customHeight="1" x14ac:dyDescent="0.25">
      <c r="A57" s="27">
        <f t="shared" si="50"/>
        <v>51</v>
      </c>
      <c r="B57" s="28" t="s">
        <v>76</v>
      </c>
      <c r="C57" s="29">
        <f t="shared" si="52"/>
        <v>401.41</v>
      </c>
      <c r="D57" s="30">
        <f t="shared" si="53"/>
        <v>205.52173628140707</v>
      </c>
      <c r="E57" s="31">
        <f t="shared" si="54"/>
        <v>30.000074736739837</v>
      </c>
      <c r="F57" s="32">
        <f>+'TALLER ACTIVOS'!BF65</f>
        <v>496.87674130653272</v>
      </c>
      <c r="G57" s="32">
        <v>0</v>
      </c>
      <c r="H57" s="32">
        <f>+'TALLER ACTIVOS'!CX65</f>
        <v>110.05499497487438</v>
      </c>
      <c r="I57" s="32">
        <v>0</v>
      </c>
      <c r="J57" s="32"/>
      <c r="K57" s="33"/>
      <c r="L57" s="34">
        <f t="shared" si="55"/>
        <v>606.9317362814071</v>
      </c>
      <c r="M57" s="35">
        <f t="shared" si="56"/>
        <v>37.933</v>
      </c>
      <c r="N57" s="36">
        <f t="shared" si="57"/>
        <v>568.9987362814071</v>
      </c>
      <c r="O57" s="37">
        <f t="shared" si="66"/>
        <v>33.450000000000003</v>
      </c>
      <c r="P57" s="37">
        <f t="shared" si="67"/>
        <v>33.33</v>
      </c>
      <c r="Q57" s="33">
        <f t="shared" si="60"/>
        <v>66.78</v>
      </c>
      <c r="R57" s="38">
        <f t="shared" si="65"/>
        <v>33.450083331464917</v>
      </c>
      <c r="S57" s="39"/>
      <c r="T57" s="35"/>
      <c r="U57" s="40">
        <f>N57+Q57+R58+S57+T57</f>
        <v>658.11156887858351</v>
      </c>
      <c r="V57" s="39"/>
      <c r="W57" s="35"/>
      <c r="X57" s="42"/>
      <c r="Y57" s="43"/>
      <c r="Z57" s="47">
        <v>66.739999999999995</v>
      </c>
      <c r="AA57" s="40">
        <f t="shared" si="62"/>
        <v>66.739999999999995</v>
      </c>
      <c r="AB57" s="36">
        <f t="shared" si="63"/>
        <v>591.3715688785835</v>
      </c>
      <c r="AC57" s="288"/>
      <c r="AD57" s="79"/>
      <c r="AE57" s="68"/>
      <c r="AF57" s="46">
        <f t="shared" si="64"/>
        <v>591.3715688785835</v>
      </c>
    </row>
    <row r="58" spans="1:32" s="57" customFormat="1" ht="18" customHeight="1" x14ac:dyDescent="0.25">
      <c r="A58" s="27">
        <f t="shared" si="50"/>
        <v>52</v>
      </c>
      <c r="B58" s="28" t="s">
        <v>161</v>
      </c>
      <c r="C58" s="29">
        <f t="shared" si="52"/>
        <v>268</v>
      </c>
      <c r="D58" s="30">
        <f t="shared" si="53"/>
        <v>0</v>
      </c>
      <c r="E58" s="31">
        <f t="shared" si="54"/>
        <v>20.029446275494571</v>
      </c>
      <c r="F58" s="32">
        <f>+'TALLER ACTIVOS'!BF66</f>
        <v>222</v>
      </c>
      <c r="G58" s="32">
        <v>0</v>
      </c>
      <c r="H58" s="32">
        <f>+'TALLER ACTIVOS'!CX66</f>
        <v>46</v>
      </c>
      <c r="I58" s="32">
        <v>0</v>
      </c>
      <c r="J58" s="32"/>
      <c r="K58" s="33"/>
      <c r="L58" s="34">
        <f t="shared" si="55"/>
        <v>268</v>
      </c>
      <c r="M58" s="35">
        <f t="shared" si="56"/>
        <v>25.325999999999997</v>
      </c>
      <c r="N58" s="36">
        <f t="shared" si="57"/>
        <v>242.67400000000001</v>
      </c>
      <c r="O58" s="37">
        <f t="shared" si="66"/>
        <v>22.332832597176449</v>
      </c>
      <c r="P58" s="37">
        <f t="shared" si="67"/>
        <v>22.252714812074469</v>
      </c>
      <c r="Q58" s="33">
        <f t="shared" si="60"/>
        <v>44.585547409250921</v>
      </c>
      <c r="R58" s="38">
        <f t="shared" si="65"/>
        <v>22.332832597176449</v>
      </c>
      <c r="S58" s="39"/>
      <c r="T58" s="35"/>
      <c r="U58" s="40">
        <f>N58+Q58+R117+S58+T58</f>
        <v>320.7096307407158</v>
      </c>
      <c r="V58" s="39"/>
      <c r="W58" s="35"/>
      <c r="X58" s="42"/>
      <c r="Y58" s="43"/>
      <c r="Z58" s="47"/>
      <c r="AA58" s="40">
        <f t="shared" si="62"/>
        <v>0</v>
      </c>
      <c r="AB58" s="36">
        <f t="shared" si="63"/>
        <v>320.7096307407158</v>
      </c>
      <c r="AC58" s="288"/>
      <c r="AD58" s="79"/>
      <c r="AE58" s="68"/>
      <c r="AF58" s="46">
        <f t="shared" si="64"/>
        <v>320.7096307407158</v>
      </c>
    </row>
    <row r="59" spans="1:32" s="57" customFormat="1" ht="18" customHeight="1" x14ac:dyDescent="0.25">
      <c r="A59" s="27">
        <f t="shared" si="50"/>
        <v>53</v>
      </c>
      <c r="B59" s="28" t="s">
        <v>72</v>
      </c>
      <c r="C59" s="29">
        <f t="shared" si="52"/>
        <v>401.41</v>
      </c>
      <c r="D59" s="30">
        <f t="shared" si="53"/>
        <v>144.06084221105522</v>
      </c>
      <c r="E59" s="31">
        <f t="shared" si="54"/>
        <v>30.000074736739837</v>
      </c>
      <c r="F59" s="32">
        <f>+'TALLER ACTIVOS'!BF67</f>
        <v>291.87224120603014</v>
      </c>
      <c r="G59" s="32">
        <v>0</v>
      </c>
      <c r="H59" s="32">
        <f>+'TALLER ACTIVOS'!CX67</f>
        <v>253.59860100502513</v>
      </c>
      <c r="I59" s="32">
        <v>0</v>
      </c>
      <c r="J59" s="32"/>
      <c r="K59" s="33"/>
      <c r="L59" s="34">
        <f t="shared" si="55"/>
        <v>545.47084221105524</v>
      </c>
      <c r="M59" s="35">
        <f t="shared" si="56"/>
        <v>37.933</v>
      </c>
      <c r="N59" s="36">
        <f t="shared" si="57"/>
        <v>507.53784221105525</v>
      </c>
      <c r="O59" s="37">
        <f t="shared" si="66"/>
        <v>33.450000000000003</v>
      </c>
      <c r="P59" s="37">
        <f t="shared" si="67"/>
        <v>33.33</v>
      </c>
      <c r="Q59" s="33">
        <f t="shared" si="60"/>
        <v>66.78</v>
      </c>
      <c r="R59" s="1036"/>
      <c r="S59" s="39"/>
      <c r="T59" s="35"/>
      <c r="U59" s="40">
        <f>N59+Q59+R59+S59+T59</f>
        <v>574.31784221105522</v>
      </c>
      <c r="V59" s="39"/>
      <c r="W59" s="35"/>
      <c r="X59" s="42"/>
      <c r="Y59" s="43"/>
      <c r="Z59" s="47"/>
      <c r="AA59" s="40">
        <f t="shared" si="62"/>
        <v>0</v>
      </c>
      <c r="AB59" s="36">
        <f t="shared" si="63"/>
        <v>574.31784221105522</v>
      </c>
      <c r="AC59" s="288"/>
      <c r="AD59" s="79"/>
      <c r="AE59" s="68"/>
      <c r="AF59" s="46">
        <f t="shared" si="64"/>
        <v>574.31784221105522</v>
      </c>
    </row>
    <row r="60" spans="1:32" s="57" customFormat="1" ht="18" customHeight="1" x14ac:dyDescent="0.25">
      <c r="A60" s="27">
        <f t="shared" si="50"/>
        <v>54</v>
      </c>
      <c r="B60" s="28" t="s">
        <v>112</v>
      </c>
      <c r="C60" s="29">
        <f t="shared" si="52"/>
        <v>401.41</v>
      </c>
      <c r="D60" s="30">
        <f t="shared" si="53"/>
        <v>159.65681407035169</v>
      </c>
      <c r="E60" s="31">
        <f t="shared" si="54"/>
        <v>30.000074736739837</v>
      </c>
      <c r="F60" s="32">
        <f>+'TALLER ACTIVOS'!BF68</f>
        <v>371.15734673366831</v>
      </c>
      <c r="G60" s="32">
        <v>0</v>
      </c>
      <c r="H60" s="32">
        <f>+'TALLER ACTIVOS'!CX68</f>
        <v>189.90946733668341</v>
      </c>
      <c r="I60" s="32">
        <v>0</v>
      </c>
      <c r="J60" s="32"/>
      <c r="K60" s="33"/>
      <c r="L60" s="34">
        <f t="shared" si="55"/>
        <v>561.06681407035171</v>
      </c>
      <c r="M60" s="35">
        <f t="shared" si="56"/>
        <v>37.933</v>
      </c>
      <c r="N60" s="36">
        <f t="shared" si="57"/>
        <v>523.13381407035172</v>
      </c>
      <c r="O60" s="37">
        <f t="shared" si="66"/>
        <v>33.450000000000003</v>
      </c>
      <c r="P60" s="37">
        <f t="shared" si="67"/>
        <v>33.33</v>
      </c>
      <c r="Q60" s="33">
        <f t="shared" si="60"/>
        <v>66.78</v>
      </c>
      <c r="R60" s="38">
        <f>33.45/30*E60</f>
        <v>33.450083331464917</v>
      </c>
      <c r="S60" s="39"/>
      <c r="T60" s="35"/>
      <c r="U60" s="40">
        <f>N60+Q60+R60+S60+T60</f>
        <v>623.36389740181664</v>
      </c>
      <c r="V60" s="39"/>
      <c r="W60" s="35"/>
      <c r="X60" s="42"/>
      <c r="Y60" s="43"/>
      <c r="Z60" s="55">
        <v>38.24</v>
      </c>
      <c r="AA60" s="40">
        <f t="shared" si="62"/>
        <v>38.24</v>
      </c>
      <c r="AB60" s="36">
        <f t="shared" si="63"/>
        <v>585.12389740181663</v>
      </c>
      <c r="AC60" s="288"/>
      <c r="AD60" s="79"/>
      <c r="AE60" s="68"/>
      <c r="AF60" s="46">
        <f t="shared" si="64"/>
        <v>585.12389740181663</v>
      </c>
    </row>
    <row r="61" spans="1:32" s="57" customFormat="1" ht="18" customHeight="1" x14ac:dyDescent="0.25">
      <c r="A61" s="27">
        <f t="shared" si="50"/>
        <v>55</v>
      </c>
      <c r="B61" s="28" t="s">
        <v>111</v>
      </c>
      <c r="C61" s="29">
        <f t="shared" si="43"/>
        <v>100.35000000000001</v>
      </c>
      <c r="D61" s="30">
        <f t="shared" si="44"/>
        <v>0</v>
      </c>
      <c r="E61" s="31">
        <f t="shared" ref="E61:E64" si="68">+C61/13.3803</f>
        <v>7.4998318423353743</v>
      </c>
      <c r="F61" s="32">
        <f>+'TALLER ACTIVOS'!BF69</f>
        <v>0</v>
      </c>
      <c r="G61" s="32">
        <v>0</v>
      </c>
      <c r="H61" s="32">
        <f>+'TALLER ACTIVOS'!CX69</f>
        <v>0</v>
      </c>
      <c r="I61" s="32">
        <v>0</v>
      </c>
      <c r="J61" s="32">
        <f>13.38*30*25%</f>
        <v>100.35000000000001</v>
      </c>
      <c r="K61" s="33"/>
      <c r="L61" s="34">
        <f t="shared" si="41"/>
        <v>100.35000000000001</v>
      </c>
      <c r="M61" s="35">
        <f t="shared" ref="M61:M64" si="69">IF(L61&gt;=401.41,37.933,IF(L61&lt;401.41,L61*9.45%))</f>
        <v>9.4830749999999995</v>
      </c>
      <c r="N61" s="36">
        <f t="shared" si="30"/>
        <v>90.866925000000009</v>
      </c>
      <c r="O61" s="37">
        <f t="shared" si="48"/>
        <v>8.3623125042039419</v>
      </c>
      <c r="P61" s="37">
        <f t="shared" si="49"/>
        <v>8.3323131768346013</v>
      </c>
      <c r="Q61" s="33">
        <f t="shared" si="33"/>
        <v>16.694625681038545</v>
      </c>
      <c r="R61" s="38"/>
      <c r="S61" s="39"/>
      <c r="T61" s="35"/>
      <c r="U61" s="40">
        <f t="shared" si="34"/>
        <v>107.56155068103855</v>
      </c>
      <c r="V61" s="39"/>
      <c r="W61" s="35"/>
      <c r="X61" s="42"/>
      <c r="Y61" s="43"/>
      <c r="Z61" s="44"/>
      <c r="AA61" s="40">
        <f t="shared" si="38"/>
        <v>0</v>
      </c>
      <c r="AB61" s="36">
        <f t="shared" si="35"/>
        <v>107.56155068103855</v>
      </c>
      <c r="AC61" s="288"/>
      <c r="AD61" s="79"/>
      <c r="AE61" s="68"/>
      <c r="AF61" s="46">
        <f t="shared" si="36"/>
        <v>107.56155068103855</v>
      </c>
    </row>
    <row r="62" spans="1:32" s="57" customFormat="1" ht="18" customHeight="1" x14ac:dyDescent="0.25">
      <c r="A62" s="27">
        <f t="shared" si="47"/>
        <v>56</v>
      </c>
      <c r="B62" s="28" t="s">
        <v>115</v>
      </c>
      <c r="C62" s="29">
        <f t="shared" si="43"/>
        <v>100.35000000000001</v>
      </c>
      <c r="D62" s="30">
        <f t="shared" si="44"/>
        <v>0</v>
      </c>
      <c r="E62" s="31">
        <f t="shared" si="68"/>
        <v>7.4998318423353743</v>
      </c>
      <c r="F62" s="32">
        <f>+'TALLER ACTIVOS'!BF70</f>
        <v>0</v>
      </c>
      <c r="G62" s="32">
        <v>0</v>
      </c>
      <c r="H62" s="32">
        <f>+'TALLER ACTIVOS'!CX70</f>
        <v>0</v>
      </c>
      <c r="I62" s="32">
        <v>0</v>
      </c>
      <c r="J62" s="32">
        <f>13.38*30*25%</f>
        <v>100.35000000000001</v>
      </c>
      <c r="K62" s="33"/>
      <c r="L62" s="34">
        <f t="shared" si="41"/>
        <v>100.35000000000001</v>
      </c>
      <c r="M62" s="35">
        <f t="shared" si="69"/>
        <v>9.4830749999999995</v>
      </c>
      <c r="N62" s="36">
        <f t="shared" si="30"/>
        <v>90.866925000000009</v>
      </c>
      <c r="O62" s="37">
        <f t="shared" si="48"/>
        <v>8.3623125042039419</v>
      </c>
      <c r="P62" s="37">
        <f t="shared" si="49"/>
        <v>8.3323131768346013</v>
      </c>
      <c r="Q62" s="33">
        <f t="shared" si="33"/>
        <v>16.694625681038545</v>
      </c>
      <c r="R62" s="38"/>
      <c r="S62" s="39"/>
      <c r="T62" s="35"/>
      <c r="U62" s="40">
        <f t="shared" si="34"/>
        <v>107.56155068103855</v>
      </c>
      <c r="V62" s="39"/>
      <c r="W62" s="35"/>
      <c r="X62" s="42"/>
      <c r="Y62" s="43"/>
      <c r="Z62" s="55"/>
      <c r="AA62" s="40">
        <f t="shared" si="38"/>
        <v>0</v>
      </c>
      <c r="AB62" s="36">
        <f t="shared" si="35"/>
        <v>107.56155068103855</v>
      </c>
      <c r="AC62" s="288"/>
      <c r="AD62" s="79"/>
      <c r="AE62" s="67"/>
      <c r="AF62" s="46">
        <f t="shared" si="36"/>
        <v>107.56155068103855</v>
      </c>
    </row>
    <row r="63" spans="1:32" s="57" customFormat="1" ht="18" customHeight="1" x14ac:dyDescent="0.25">
      <c r="A63" s="27">
        <f t="shared" si="47"/>
        <v>57</v>
      </c>
      <c r="B63" s="28" t="s">
        <v>160</v>
      </c>
      <c r="C63" s="29">
        <f t="shared" si="43"/>
        <v>100.35000000000001</v>
      </c>
      <c r="D63" s="30">
        <f t="shared" si="44"/>
        <v>0</v>
      </c>
      <c r="E63" s="31">
        <f t="shared" si="68"/>
        <v>7.4998318423353743</v>
      </c>
      <c r="F63" s="32">
        <f>+'TALLER ACTIVOS'!BF71</f>
        <v>0</v>
      </c>
      <c r="G63" s="32">
        <v>0</v>
      </c>
      <c r="H63" s="32">
        <f>+'TALLER ACTIVOS'!CX71</f>
        <v>0</v>
      </c>
      <c r="I63" s="32">
        <v>0</v>
      </c>
      <c r="J63" s="32">
        <f>13.38*30*25%</f>
        <v>100.35000000000001</v>
      </c>
      <c r="K63" s="33"/>
      <c r="L63" s="34">
        <f t="shared" si="41"/>
        <v>100.35000000000001</v>
      </c>
      <c r="M63" s="35">
        <f t="shared" si="69"/>
        <v>9.4830749999999995</v>
      </c>
      <c r="N63" s="36">
        <f t="shared" si="30"/>
        <v>90.866925000000009</v>
      </c>
      <c r="O63" s="37">
        <f t="shared" si="48"/>
        <v>8.3623125042039419</v>
      </c>
      <c r="P63" s="37">
        <f t="shared" si="49"/>
        <v>8.3323131768346013</v>
      </c>
      <c r="Q63" s="33">
        <f t="shared" si="33"/>
        <v>16.694625681038545</v>
      </c>
      <c r="R63" s="38">
        <f t="shared" ref="R63" si="70">33.45/30*E63</f>
        <v>8.3623125042039419</v>
      </c>
      <c r="S63" s="39"/>
      <c r="T63" s="35"/>
      <c r="U63" s="40">
        <f t="shared" si="34"/>
        <v>115.9238631852425</v>
      </c>
      <c r="V63" s="39"/>
      <c r="W63" s="35"/>
      <c r="X63" s="42"/>
      <c r="Y63" s="43"/>
      <c r="Z63" s="44"/>
      <c r="AA63" s="40">
        <f t="shared" si="38"/>
        <v>0</v>
      </c>
      <c r="AB63" s="36">
        <f t="shared" si="35"/>
        <v>115.9238631852425</v>
      </c>
      <c r="AC63" s="288"/>
      <c r="AD63" s="79"/>
      <c r="AE63" s="68"/>
      <c r="AF63" s="46">
        <f t="shared" si="36"/>
        <v>115.9238631852425</v>
      </c>
    </row>
    <row r="64" spans="1:32" s="57" customFormat="1" ht="18.75" customHeight="1" x14ac:dyDescent="0.25">
      <c r="A64" s="27">
        <f t="shared" si="47"/>
        <v>58</v>
      </c>
      <c r="B64" s="48" t="s">
        <v>128</v>
      </c>
      <c r="C64" s="29">
        <f t="shared" si="43"/>
        <v>100.35000000000001</v>
      </c>
      <c r="D64" s="30">
        <f t="shared" si="44"/>
        <v>0</v>
      </c>
      <c r="E64" s="31">
        <f t="shared" si="68"/>
        <v>7.4998318423353743</v>
      </c>
      <c r="F64" s="32">
        <f>+'TALLER ACTIVOS'!BF72</f>
        <v>0</v>
      </c>
      <c r="G64" s="32">
        <v>0</v>
      </c>
      <c r="H64" s="32">
        <f>+'TALLER ACTIVOS'!CX72</f>
        <v>0</v>
      </c>
      <c r="I64" s="32">
        <v>0</v>
      </c>
      <c r="J64" s="32">
        <f>13.38*30*25%</f>
        <v>100.35000000000001</v>
      </c>
      <c r="K64" s="33"/>
      <c r="L64" s="34">
        <f t="shared" si="41"/>
        <v>100.35000000000001</v>
      </c>
      <c r="M64" s="35">
        <f t="shared" si="69"/>
        <v>9.4830749999999995</v>
      </c>
      <c r="N64" s="36">
        <f t="shared" si="30"/>
        <v>90.866925000000009</v>
      </c>
      <c r="O64" s="37">
        <f t="shared" si="48"/>
        <v>8.3623125042039419</v>
      </c>
      <c r="P64" s="37">
        <f t="shared" si="49"/>
        <v>8.3323131768346013</v>
      </c>
      <c r="Q64" s="33">
        <f t="shared" si="33"/>
        <v>16.694625681038545</v>
      </c>
      <c r="R64" s="38"/>
      <c r="S64" s="39"/>
      <c r="T64" s="35"/>
      <c r="U64" s="40">
        <f t="shared" si="34"/>
        <v>107.56155068103855</v>
      </c>
      <c r="V64" s="39"/>
      <c r="W64" s="35"/>
      <c r="X64" s="42"/>
      <c r="Y64" s="43"/>
      <c r="Z64" s="55"/>
      <c r="AA64" s="40">
        <f t="shared" si="38"/>
        <v>0</v>
      </c>
      <c r="AB64" s="36">
        <f t="shared" si="35"/>
        <v>107.56155068103855</v>
      </c>
      <c r="AC64" s="288"/>
      <c r="AD64" s="79"/>
      <c r="AE64" s="67"/>
      <c r="AF64" s="46">
        <f t="shared" si="36"/>
        <v>107.56155068103855</v>
      </c>
    </row>
    <row r="65" spans="1:157" s="57" customFormat="1" ht="18" customHeight="1" x14ac:dyDescent="0.25">
      <c r="A65" s="1302" t="s">
        <v>271</v>
      </c>
      <c r="B65" s="1303"/>
      <c r="C65" s="29"/>
      <c r="D65" s="30"/>
      <c r="E65" s="31"/>
      <c r="F65" s="32"/>
      <c r="G65" s="32"/>
      <c r="H65" s="32"/>
      <c r="I65" s="32"/>
      <c r="J65" s="32"/>
      <c r="K65" s="33"/>
      <c r="L65" s="34"/>
      <c r="M65" s="35"/>
      <c r="N65" s="36"/>
      <c r="O65" s="37"/>
      <c r="P65" s="37"/>
      <c r="Q65" s="33"/>
      <c r="R65" s="38"/>
      <c r="S65" s="39"/>
      <c r="T65" s="35"/>
      <c r="U65" s="40"/>
      <c r="V65" s="39"/>
      <c r="W65" s="35"/>
      <c r="X65" s="42"/>
      <c r="Y65" s="43"/>
      <c r="Z65" s="44"/>
      <c r="AA65" s="40"/>
      <c r="AB65" s="36"/>
      <c r="AC65" s="45"/>
      <c r="AD65" s="79"/>
      <c r="AE65" s="68"/>
      <c r="AF65" s="46"/>
    </row>
    <row r="66" spans="1:157" s="57" customFormat="1" ht="18" customHeight="1" x14ac:dyDescent="0.25">
      <c r="A66" s="27">
        <f>A64+1</f>
        <v>59</v>
      </c>
      <c r="B66" s="28" t="s">
        <v>95</v>
      </c>
      <c r="C66" s="29">
        <f t="shared" ref="C66:C75" si="71">IF(L66&gt;=401.41,401.41,IF(L66&lt;401.41,L66))</f>
        <v>400</v>
      </c>
      <c r="D66" s="30">
        <f t="shared" ref="D66:D75" si="72">+L66-C66</f>
        <v>0</v>
      </c>
      <c r="E66" s="31">
        <f t="shared" ref="E66:E75" si="73">+C66/13.3803</f>
        <v>29.894695933573985</v>
      </c>
      <c r="F66" s="32">
        <f>+'TALLER ACTIVOS'!BF41</f>
        <v>199.99999999999997</v>
      </c>
      <c r="G66" s="32">
        <v>0</v>
      </c>
      <c r="H66" s="32">
        <f>+'TALLER ACTIVOS'!CX41</f>
        <v>200</v>
      </c>
      <c r="I66" s="32">
        <v>0</v>
      </c>
      <c r="J66" s="32"/>
      <c r="K66" s="33"/>
      <c r="L66" s="34">
        <f t="shared" ref="L66:L75" si="74">+F66+G66+H66+I66+K66+J66</f>
        <v>400</v>
      </c>
      <c r="M66" s="35">
        <f t="shared" ref="M66:M75" si="75">IF(L66&gt;=401.41,37.933,IF(L66&lt;401.41,L66*9.45%))</f>
        <v>37.799999999999997</v>
      </c>
      <c r="N66" s="36">
        <f t="shared" ref="N66:N75" si="76">+L66-M66</f>
        <v>362.2</v>
      </c>
      <c r="O66" s="37">
        <f t="shared" ref="O66:O75" si="77">IF(E66&gt;=30,33.45,IF(E66&lt;30,E66*1.115))</f>
        <v>33.332585965934996</v>
      </c>
      <c r="P66" s="37">
        <f t="shared" ref="P66:P75" si="78">IF(E66&gt;=30,33.33,IF(E66&lt;30,E66*1.111))</f>
        <v>33.213007182200698</v>
      </c>
      <c r="Q66" s="33">
        <f t="shared" ref="Q66:Q75" si="79">+O66+P66</f>
        <v>66.545593148135694</v>
      </c>
      <c r="R66" s="1036"/>
      <c r="S66" s="39"/>
      <c r="T66" s="35"/>
      <c r="U66" s="40">
        <f t="shared" ref="U66:U75" si="80">N66+Q66+R66+S66+T66</f>
        <v>428.7455931481357</v>
      </c>
      <c r="V66" s="39"/>
      <c r="W66" s="35"/>
      <c r="X66" s="42"/>
      <c r="Y66" s="43"/>
      <c r="Z66" s="59"/>
      <c r="AA66" s="40">
        <f>+W66+V66+X66+Y66+Z66</f>
        <v>0</v>
      </c>
      <c r="AB66" s="36">
        <f t="shared" ref="AB66:AB75" si="81">+U66-AA66</f>
        <v>428.7455931481357</v>
      </c>
      <c r="AC66" s="288"/>
      <c r="AD66" s="78"/>
      <c r="AE66" s="67"/>
      <c r="AF66" s="46">
        <f t="shared" ref="AF66:AF75" si="82">+AB66-AC66-AD66-AE66</f>
        <v>428.7455931481357</v>
      </c>
    </row>
    <row r="67" spans="1:157" ht="18" customHeight="1" x14ac:dyDescent="0.25">
      <c r="A67" s="27">
        <f>A66+1</f>
        <v>60</v>
      </c>
      <c r="B67" s="28" t="s">
        <v>96</v>
      </c>
      <c r="C67" s="29">
        <f>IF(L67&gt;=401.41,401.41,IF(L67&lt;401.41,L67))</f>
        <v>401.41</v>
      </c>
      <c r="D67" s="30">
        <f>+L67-C67</f>
        <v>26.477679457426973</v>
      </c>
      <c r="E67" s="31">
        <f>+C67/13.3803</f>
        <v>30.000074736739837</v>
      </c>
      <c r="F67" s="32">
        <f>+'TALLER ACTIVOS'!BF42</f>
        <v>254.90277332677374</v>
      </c>
      <c r="G67" s="32">
        <v>0</v>
      </c>
      <c r="H67" s="32">
        <f>+'TALLER ACTIVOS'!CX42</f>
        <v>172.98490613065329</v>
      </c>
      <c r="I67" s="32">
        <v>0</v>
      </c>
      <c r="J67" s="32"/>
      <c r="K67" s="33"/>
      <c r="L67" s="34">
        <f t="shared" si="74"/>
        <v>427.887679457427</v>
      </c>
      <c r="M67" s="35">
        <f>IF(L67&gt;=401.41,37.933,IF(L67&lt;401.41,L67*9.45%))</f>
        <v>37.933</v>
      </c>
      <c r="N67" s="36">
        <f>+L67-M67</f>
        <v>389.95467945742701</v>
      </c>
      <c r="O67" s="37">
        <f>IF(E67&gt;=30,33.45,IF(E67&lt;30,E67*1.115))</f>
        <v>33.450000000000003</v>
      </c>
      <c r="P67" s="37">
        <f>IF(E67&gt;=30,33.33,IF(E67&lt;30,E67*1.111))</f>
        <v>33.33</v>
      </c>
      <c r="Q67" s="33">
        <f>+O67+P67</f>
        <v>66.78</v>
      </c>
      <c r="R67" s="1036"/>
      <c r="S67" s="39"/>
      <c r="T67" s="35"/>
      <c r="U67" s="40">
        <f>N67+Q67+R67+S67+T67</f>
        <v>456.73467945742698</v>
      </c>
      <c r="V67" s="39">
        <v>75</v>
      </c>
      <c r="W67" s="35"/>
      <c r="X67" s="42"/>
      <c r="Y67" s="43"/>
      <c r="Z67" s="55">
        <v>23.74</v>
      </c>
      <c r="AA67" s="40">
        <f>+W67+V67+X67+Y67+Z67</f>
        <v>98.74</v>
      </c>
      <c r="AB67" s="36">
        <f>+U67-AA67</f>
        <v>357.99467945742697</v>
      </c>
      <c r="AC67" s="288"/>
      <c r="AD67" s="78"/>
      <c r="AE67" s="67"/>
      <c r="AF67" s="46">
        <f>+AB67-AC67-AD67-AE67</f>
        <v>357.99467945742697</v>
      </c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</row>
    <row r="68" spans="1:157" ht="18" customHeight="1" x14ac:dyDescent="0.25">
      <c r="A68" s="27">
        <f>A67+1</f>
        <v>61</v>
      </c>
      <c r="B68" s="28" t="s">
        <v>615</v>
      </c>
      <c r="C68" s="29">
        <f>IF(L68&gt;=401.41,401.41,IF(L68&lt;401.41,L68))</f>
        <v>401.41</v>
      </c>
      <c r="D68" s="30">
        <f>+L68-C68</f>
        <v>62.761989005165731</v>
      </c>
      <c r="E68" s="31">
        <f>+C68/13.3803</f>
        <v>30.000074736739837</v>
      </c>
      <c r="F68" s="32">
        <f>+'TALLER ACTIVOS'!BF43</f>
        <v>256.18708287451244</v>
      </c>
      <c r="G68" s="32">
        <v>0</v>
      </c>
      <c r="H68" s="32">
        <f>+'TALLER ACTIVOS'!CX43</f>
        <v>207.98490613065329</v>
      </c>
      <c r="I68" s="32">
        <v>0</v>
      </c>
      <c r="J68" s="32"/>
      <c r="K68" s="33"/>
      <c r="L68" s="34">
        <f t="shared" si="74"/>
        <v>464.17198900516576</v>
      </c>
      <c r="M68" s="35">
        <f>IF(L68&gt;=401.41,37.933,IF(L68&lt;401.41,L68*9.45%))</f>
        <v>37.933</v>
      </c>
      <c r="N68" s="36">
        <f>+L68-M68</f>
        <v>426.23898900516576</v>
      </c>
      <c r="O68" s="37">
        <f>IF(E68&gt;=30,33.45,IF(E68&lt;30,E68*1.115))</f>
        <v>33.450000000000003</v>
      </c>
      <c r="P68" s="37">
        <f>IF(E68&gt;=30,33.33,IF(E68&lt;30,E68*1.111))</f>
        <v>33.33</v>
      </c>
      <c r="Q68" s="33">
        <f>+O68+P68</f>
        <v>66.78</v>
      </c>
      <c r="R68" s="1036"/>
      <c r="S68" s="39"/>
      <c r="T68" s="35"/>
      <c r="U68" s="40">
        <f>N68+Q68+R68+S68+T68</f>
        <v>493.01898900516574</v>
      </c>
      <c r="V68" s="39"/>
      <c r="W68" s="35"/>
      <c r="X68" s="42"/>
      <c r="Y68" s="43"/>
      <c r="Z68" s="278">
        <v>97.27</v>
      </c>
      <c r="AA68" s="40">
        <f>+W68+V68+X68+Y68+Z68</f>
        <v>97.27</v>
      </c>
      <c r="AB68" s="36">
        <f>+U68-AA68</f>
        <v>395.74898900516575</v>
      </c>
      <c r="AC68" s="288"/>
      <c r="AD68" s="78"/>
      <c r="AE68" s="67"/>
      <c r="AF68" s="46">
        <f>+AB68-AC68-AD68-AE68</f>
        <v>395.74898900516575</v>
      </c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</row>
    <row r="69" spans="1:157" ht="18" customHeight="1" x14ac:dyDescent="0.25">
      <c r="A69" s="27">
        <f>A68+1</f>
        <v>62</v>
      </c>
      <c r="B69" s="28" t="s">
        <v>204</v>
      </c>
      <c r="C69" s="29">
        <f>IF(L69&gt;=401.41,401.41,IF(L69&lt;401.41,L69))</f>
        <v>401.41</v>
      </c>
      <c r="D69" s="30">
        <f>+L69-C69</f>
        <v>66.477679457426973</v>
      </c>
      <c r="E69" s="31">
        <f>+C69/13.3803</f>
        <v>30.000074736739837</v>
      </c>
      <c r="F69" s="32">
        <f>+'TALLER ACTIVOS'!BF44</f>
        <v>254.90277332677374</v>
      </c>
      <c r="G69" s="32">
        <v>0</v>
      </c>
      <c r="H69" s="32">
        <f>+'TALLER ACTIVOS'!CX44</f>
        <v>212.98490613065329</v>
      </c>
      <c r="I69" s="32">
        <v>0</v>
      </c>
      <c r="J69" s="32"/>
      <c r="K69" s="33"/>
      <c r="L69" s="34">
        <f t="shared" si="74"/>
        <v>467.887679457427</v>
      </c>
      <c r="M69" s="35">
        <f>IF(L69&gt;=401.41,37.933,IF(L69&lt;401.41,L69*9.45%))</f>
        <v>37.933</v>
      </c>
      <c r="N69" s="36">
        <f>+L69-M69</f>
        <v>429.95467945742701</v>
      </c>
      <c r="O69" s="37">
        <f>IF(E69&gt;=30,33.45,IF(E69&lt;30,E69*1.115))</f>
        <v>33.450000000000003</v>
      </c>
      <c r="P69" s="37">
        <f>IF(E69&gt;=30,33.33,IF(E69&lt;30,E69*1.111))</f>
        <v>33.33</v>
      </c>
      <c r="Q69" s="33">
        <f>+O69+P69</f>
        <v>66.78</v>
      </c>
      <c r="R69" s="38">
        <f>33.45/30*E69</f>
        <v>33.450083331464917</v>
      </c>
      <c r="S69" s="39"/>
      <c r="T69" s="35"/>
      <c r="U69" s="40">
        <f>N69+Q69+R69+S69+T69</f>
        <v>530.18476278889193</v>
      </c>
      <c r="V69" s="39"/>
      <c r="W69" s="35"/>
      <c r="X69" s="42"/>
      <c r="Y69" s="43"/>
      <c r="Z69" s="278"/>
      <c r="AA69" s="40">
        <f>+W69+V69+X69+Y69+Z69</f>
        <v>0</v>
      </c>
      <c r="AB69" s="36">
        <f>+U69-AA69</f>
        <v>530.18476278889193</v>
      </c>
      <c r="AC69" s="288"/>
      <c r="AD69" s="78"/>
      <c r="AE69" s="67"/>
      <c r="AF69" s="46">
        <f>+AB69-AC69-AD69-AE69</f>
        <v>530.18476278889193</v>
      </c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</row>
    <row r="70" spans="1:157" s="57" customFormat="1" ht="18" customHeight="1" x14ac:dyDescent="0.25">
      <c r="A70" s="27">
        <f>A69+1</f>
        <v>63</v>
      </c>
      <c r="B70" s="28" t="s">
        <v>99</v>
      </c>
      <c r="C70" s="29">
        <f>IF(L70&gt;=401.41,401.41,IF(L70&lt;401.41,L70))</f>
        <v>401.41</v>
      </c>
      <c r="D70" s="30">
        <f>+L70-C70</f>
        <v>39.687144966792005</v>
      </c>
      <c r="E70" s="31">
        <f>+C70/13.3803</f>
        <v>30.000074736739837</v>
      </c>
      <c r="F70" s="32">
        <f>+'TALLER ACTIVOS'!BF45</f>
        <v>228.11223883613877</v>
      </c>
      <c r="G70" s="32">
        <v>0</v>
      </c>
      <c r="H70" s="32">
        <f>+'TALLER ACTIVOS'!CX45</f>
        <v>212.98490613065329</v>
      </c>
      <c r="I70" s="32">
        <v>0</v>
      </c>
      <c r="J70" s="32"/>
      <c r="K70" s="33"/>
      <c r="L70" s="34">
        <f t="shared" si="74"/>
        <v>441.09714496679203</v>
      </c>
      <c r="M70" s="35">
        <f>IF(L70&gt;=401.41,37.933,IF(L70&lt;401.41,L70*9.45%))</f>
        <v>37.933</v>
      </c>
      <c r="N70" s="36">
        <f>+L70-M70</f>
        <v>403.16414496679204</v>
      </c>
      <c r="O70" s="37">
        <f>IF(E70&gt;=30,33.45,IF(E70&lt;30,E70*1.115))</f>
        <v>33.450000000000003</v>
      </c>
      <c r="P70" s="37">
        <f>IF(E70&gt;=30,33.33,IF(E70&lt;30,E70*1.111))</f>
        <v>33.33</v>
      </c>
      <c r="Q70" s="33">
        <f>+O70+P70</f>
        <v>66.78</v>
      </c>
      <c r="R70" s="1036"/>
      <c r="S70" s="39"/>
      <c r="T70" s="35"/>
      <c r="U70" s="40">
        <f>N70+Q70+R70+S70+T70</f>
        <v>469.94414496679201</v>
      </c>
      <c r="V70" s="39"/>
      <c r="W70" s="35"/>
      <c r="X70" s="42"/>
      <c r="Y70" s="43"/>
      <c r="Z70" s="278">
        <v>66.459999999999994</v>
      </c>
      <c r="AA70" s="40">
        <f>+W70+V70+X70+Y70+Z70</f>
        <v>66.459999999999994</v>
      </c>
      <c r="AB70" s="36">
        <f>+U70-AA70</f>
        <v>403.48414496679203</v>
      </c>
      <c r="AC70" s="288"/>
      <c r="AD70" s="78"/>
      <c r="AE70" s="67"/>
      <c r="AF70" s="46">
        <f>+AB70-AC70-AD70-AE70</f>
        <v>403.48414496679203</v>
      </c>
    </row>
    <row r="71" spans="1:157" ht="18" customHeight="1" x14ac:dyDescent="0.25">
      <c r="A71" s="27">
        <f t="shared" ref="A71:A73" si="83">A70+1</f>
        <v>64</v>
      </c>
      <c r="B71" s="28" t="s">
        <v>73</v>
      </c>
      <c r="C71" s="29">
        <f t="shared" si="71"/>
        <v>401.41</v>
      </c>
      <c r="D71" s="30">
        <f t="shared" si="72"/>
        <v>28.977679457426973</v>
      </c>
      <c r="E71" s="31">
        <f t="shared" si="73"/>
        <v>30.000074736739837</v>
      </c>
      <c r="F71" s="32">
        <f>+'TALLER ACTIVOS'!BF46</f>
        <v>229.90277332677374</v>
      </c>
      <c r="G71" s="32">
        <v>0</v>
      </c>
      <c r="H71" s="32">
        <f>+'TALLER ACTIVOS'!CX46</f>
        <v>200.48490613065329</v>
      </c>
      <c r="I71" s="32">
        <v>0</v>
      </c>
      <c r="J71" s="32"/>
      <c r="K71" s="33"/>
      <c r="L71" s="34">
        <f t="shared" si="74"/>
        <v>430.387679457427</v>
      </c>
      <c r="M71" s="35">
        <f t="shared" si="75"/>
        <v>37.933</v>
      </c>
      <c r="N71" s="36">
        <f t="shared" si="76"/>
        <v>392.45467945742701</v>
      </c>
      <c r="O71" s="37">
        <f t="shared" si="77"/>
        <v>33.450000000000003</v>
      </c>
      <c r="P71" s="37">
        <f t="shared" si="78"/>
        <v>33.33</v>
      </c>
      <c r="Q71" s="33">
        <f t="shared" si="79"/>
        <v>66.78</v>
      </c>
      <c r="R71" s="38">
        <f>33.45/30*E71</f>
        <v>33.450083331464917</v>
      </c>
      <c r="S71" s="39"/>
      <c r="T71" s="35"/>
      <c r="U71" s="40">
        <f t="shared" si="80"/>
        <v>492.68476278889187</v>
      </c>
      <c r="V71" s="39">
        <v>482.68476278889187</v>
      </c>
      <c r="W71" s="35"/>
      <c r="X71" s="42">
        <v>10</v>
      </c>
      <c r="Y71" s="43"/>
      <c r="Z71" s="278"/>
      <c r="AA71" s="40">
        <f t="shared" ref="AA71:AA75" si="84">+W71+V71+X71+Y71+Z71</f>
        <v>492.68476278889187</v>
      </c>
      <c r="AB71" s="36">
        <f t="shared" si="81"/>
        <v>0</v>
      </c>
      <c r="AC71" s="288"/>
      <c r="AD71" s="83"/>
      <c r="AE71" s="67"/>
      <c r="AF71" s="46">
        <f t="shared" si="82"/>
        <v>0</v>
      </c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</row>
    <row r="72" spans="1:157" ht="18" customHeight="1" x14ac:dyDescent="0.25">
      <c r="A72" s="27">
        <f t="shared" si="83"/>
        <v>65</v>
      </c>
      <c r="B72" s="28" t="s">
        <v>148</v>
      </c>
      <c r="C72" s="29">
        <f t="shared" si="71"/>
        <v>401.41</v>
      </c>
      <c r="D72" s="30">
        <f t="shared" si="72"/>
        <v>111.47767945742697</v>
      </c>
      <c r="E72" s="31">
        <f t="shared" si="73"/>
        <v>30.000074736739837</v>
      </c>
      <c r="F72" s="32">
        <f>+'TALLER ACTIVOS'!BF47</f>
        <v>299.90277332677374</v>
      </c>
      <c r="G72" s="32">
        <v>0</v>
      </c>
      <c r="H72" s="32">
        <f>+'TALLER ACTIVOS'!CX47</f>
        <v>212.98490613065329</v>
      </c>
      <c r="I72" s="32">
        <v>0</v>
      </c>
      <c r="J72" s="32"/>
      <c r="K72" s="33"/>
      <c r="L72" s="34">
        <f t="shared" si="74"/>
        <v>512.887679457427</v>
      </c>
      <c r="M72" s="35">
        <f t="shared" si="75"/>
        <v>37.933</v>
      </c>
      <c r="N72" s="36">
        <f t="shared" si="76"/>
        <v>474.95467945742701</v>
      </c>
      <c r="O72" s="37">
        <f t="shared" si="77"/>
        <v>33.450000000000003</v>
      </c>
      <c r="P72" s="37">
        <f t="shared" si="78"/>
        <v>33.33</v>
      </c>
      <c r="Q72" s="33">
        <f t="shared" si="79"/>
        <v>66.78</v>
      </c>
      <c r="R72" s="38">
        <f>33.45/30*E72</f>
        <v>33.450083331464917</v>
      </c>
      <c r="S72" s="39"/>
      <c r="T72" s="35"/>
      <c r="U72" s="40">
        <f t="shared" si="80"/>
        <v>575.18476278889193</v>
      </c>
      <c r="V72" s="39"/>
      <c r="W72" s="35"/>
      <c r="X72" s="42"/>
      <c r="Y72" s="43"/>
      <c r="Z72" s="278"/>
      <c r="AA72" s="40">
        <f t="shared" si="84"/>
        <v>0</v>
      </c>
      <c r="AB72" s="36">
        <f t="shared" si="81"/>
        <v>575.18476278889193</v>
      </c>
      <c r="AC72" s="288"/>
      <c r="AD72" s="79"/>
      <c r="AE72" s="67"/>
      <c r="AF72" s="46">
        <f t="shared" si="82"/>
        <v>575.18476278889193</v>
      </c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</row>
    <row r="73" spans="1:157" ht="18" customHeight="1" x14ac:dyDescent="0.25">
      <c r="A73" s="27">
        <f t="shared" si="83"/>
        <v>66</v>
      </c>
      <c r="B73" s="48" t="s">
        <v>143</v>
      </c>
      <c r="C73" s="29">
        <f t="shared" si="71"/>
        <v>401.41</v>
      </c>
      <c r="D73" s="30">
        <f t="shared" si="72"/>
        <v>136.47767945742697</v>
      </c>
      <c r="E73" s="31">
        <f t="shared" si="73"/>
        <v>30.000074736739837</v>
      </c>
      <c r="F73" s="32">
        <f>+'TALLER ACTIVOS'!BF48</f>
        <v>324.90277332677374</v>
      </c>
      <c r="G73" s="32">
        <v>0</v>
      </c>
      <c r="H73" s="32">
        <f>+'TALLER ACTIVOS'!CX48</f>
        <v>212.98490613065329</v>
      </c>
      <c r="I73" s="32">
        <v>0</v>
      </c>
      <c r="J73" s="32"/>
      <c r="K73" s="33"/>
      <c r="L73" s="34">
        <f t="shared" si="74"/>
        <v>537.887679457427</v>
      </c>
      <c r="M73" s="35">
        <f t="shared" si="75"/>
        <v>37.933</v>
      </c>
      <c r="N73" s="36">
        <f t="shared" si="76"/>
        <v>499.95467945742701</v>
      </c>
      <c r="O73" s="37">
        <f t="shared" si="77"/>
        <v>33.450000000000003</v>
      </c>
      <c r="P73" s="37">
        <f t="shared" si="78"/>
        <v>33.33</v>
      </c>
      <c r="Q73" s="33">
        <f t="shared" si="79"/>
        <v>66.78</v>
      </c>
      <c r="R73" s="38">
        <f>33.45/30*E73</f>
        <v>33.450083331464917</v>
      </c>
      <c r="S73" s="39"/>
      <c r="T73" s="35"/>
      <c r="U73" s="40">
        <f t="shared" si="80"/>
        <v>600.18476278889193</v>
      </c>
      <c r="V73" s="39"/>
      <c r="W73" s="35"/>
      <c r="X73" s="42">
        <v>20</v>
      </c>
      <c r="Y73" s="43"/>
      <c r="Z73" s="278"/>
      <c r="AA73" s="40">
        <f t="shared" si="84"/>
        <v>20</v>
      </c>
      <c r="AB73" s="36">
        <f t="shared" si="81"/>
        <v>580.18476278889193</v>
      </c>
      <c r="AC73" s="288"/>
      <c r="AD73" s="83"/>
      <c r="AE73" s="68"/>
      <c r="AF73" s="46">
        <f t="shared" si="82"/>
        <v>580.18476278889193</v>
      </c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</row>
    <row r="74" spans="1:157" ht="18" customHeight="1" x14ac:dyDescent="0.25">
      <c r="A74" s="27">
        <f>A73+1</f>
        <v>67</v>
      </c>
      <c r="B74" s="28" t="s">
        <v>94</v>
      </c>
      <c r="C74" s="29">
        <f t="shared" si="71"/>
        <v>399.23076923076923</v>
      </c>
      <c r="D74" s="30">
        <f t="shared" si="72"/>
        <v>0</v>
      </c>
      <c r="E74" s="31">
        <f t="shared" si="73"/>
        <v>29.837206133701727</v>
      </c>
      <c r="F74" s="32">
        <f>+'TALLER ACTIVOS'!BF49</f>
        <v>220</v>
      </c>
      <c r="G74" s="32">
        <v>0</v>
      </c>
      <c r="H74" s="32">
        <f>+'TALLER ACTIVOS'!CX49</f>
        <v>179.23076923076923</v>
      </c>
      <c r="I74" s="32">
        <v>0</v>
      </c>
      <c r="J74" s="32"/>
      <c r="K74" s="33"/>
      <c r="L74" s="34">
        <f t="shared" si="74"/>
        <v>399.23076923076923</v>
      </c>
      <c r="M74" s="35">
        <f t="shared" si="75"/>
        <v>37.72730769230769</v>
      </c>
      <c r="N74" s="36">
        <f t="shared" si="76"/>
        <v>361.50346153846152</v>
      </c>
      <c r="O74" s="37">
        <f>IF(E74&gt;=30,33.45,IF(E74&lt;30,E74*1.115))</f>
        <v>33.268484839077423</v>
      </c>
      <c r="P74" s="37">
        <f>IF(E74&gt;=30,33.33,IF(E74&lt;30,E74*1.111))</f>
        <v>33.14913601454262</v>
      </c>
      <c r="Q74" s="33">
        <f>+O74+P74</f>
        <v>66.417620853620036</v>
      </c>
      <c r="R74" s="38">
        <f>33.45/30*E74</f>
        <v>33.268484839077423</v>
      </c>
      <c r="S74" s="39"/>
      <c r="T74" s="35"/>
      <c r="U74" s="40">
        <f t="shared" si="80"/>
        <v>461.18956723115895</v>
      </c>
      <c r="V74" s="39"/>
      <c r="W74" s="35"/>
      <c r="X74" s="42"/>
      <c r="Y74" s="43"/>
      <c r="Z74" s="279"/>
      <c r="AA74" s="40">
        <f t="shared" si="84"/>
        <v>0</v>
      </c>
      <c r="AB74" s="36">
        <f t="shared" si="81"/>
        <v>461.18956723115895</v>
      </c>
      <c r="AC74" s="288"/>
      <c r="AD74" s="79"/>
      <c r="AE74" s="68"/>
      <c r="AF74" s="46">
        <f t="shared" si="82"/>
        <v>461.18956723115895</v>
      </c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</row>
    <row r="75" spans="1:157" ht="18" customHeight="1" x14ac:dyDescent="0.25">
      <c r="A75" s="27">
        <f t="shared" ref="A75" si="85">A74+1</f>
        <v>68</v>
      </c>
      <c r="B75" s="48" t="s">
        <v>132</v>
      </c>
      <c r="C75" s="29">
        <f t="shared" si="71"/>
        <v>401.41</v>
      </c>
      <c r="D75" s="30">
        <f t="shared" si="72"/>
        <v>13.205384615384617</v>
      </c>
      <c r="E75" s="31">
        <f t="shared" si="73"/>
        <v>30.000074736739837</v>
      </c>
      <c r="F75" s="32">
        <f>+'TALLER ACTIVOS'!BF50</f>
        <v>220</v>
      </c>
      <c r="G75" s="32">
        <v>0</v>
      </c>
      <c r="H75" s="32">
        <f>+'TALLER ACTIVOS'!CX50</f>
        <v>194.61538461538461</v>
      </c>
      <c r="I75" s="32">
        <v>0</v>
      </c>
      <c r="J75" s="85"/>
      <c r="K75" s="33"/>
      <c r="L75" s="34">
        <f t="shared" si="74"/>
        <v>414.61538461538464</v>
      </c>
      <c r="M75" s="35">
        <f t="shared" si="75"/>
        <v>37.933</v>
      </c>
      <c r="N75" s="36">
        <f t="shared" si="76"/>
        <v>376.68238461538465</v>
      </c>
      <c r="O75" s="37">
        <f t="shared" si="77"/>
        <v>33.450000000000003</v>
      </c>
      <c r="P75" s="37">
        <f t="shared" si="78"/>
        <v>33.33</v>
      </c>
      <c r="Q75" s="33">
        <f t="shared" si="79"/>
        <v>66.78</v>
      </c>
      <c r="R75" s="38">
        <f>33.45/30*E75</f>
        <v>33.450083331464917</v>
      </c>
      <c r="S75" s="39"/>
      <c r="T75" s="35"/>
      <c r="U75" s="40">
        <f t="shared" si="80"/>
        <v>476.91246794684952</v>
      </c>
      <c r="V75" s="39"/>
      <c r="W75" s="35"/>
      <c r="X75" s="42"/>
      <c r="Y75" s="43"/>
      <c r="Z75" s="279">
        <v>19.54</v>
      </c>
      <c r="AA75" s="40">
        <f t="shared" si="84"/>
        <v>19.54</v>
      </c>
      <c r="AB75" s="36">
        <f t="shared" si="81"/>
        <v>457.3724679468495</v>
      </c>
      <c r="AC75" s="288"/>
      <c r="AD75" s="79"/>
      <c r="AE75" s="68"/>
      <c r="AF75" s="46">
        <f t="shared" si="82"/>
        <v>457.3724679468495</v>
      </c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</row>
    <row r="76" spans="1:157" ht="18" customHeight="1" x14ac:dyDescent="0.25">
      <c r="A76" s="1308" t="s">
        <v>477</v>
      </c>
      <c r="B76" s="1309"/>
      <c r="C76" s="29"/>
      <c r="D76" s="30"/>
      <c r="E76" s="31"/>
      <c r="F76" s="32"/>
      <c r="G76" s="32"/>
      <c r="H76" s="32"/>
      <c r="I76" s="32"/>
      <c r="J76" s="85"/>
      <c r="K76" s="33"/>
      <c r="L76" s="34"/>
      <c r="M76" s="35"/>
      <c r="N76" s="36"/>
      <c r="O76" s="37"/>
      <c r="P76" s="37"/>
      <c r="Q76" s="33"/>
      <c r="R76" s="38"/>
      <c r="S76" s="39"/>
      <c r="T76" s="35"/>
      <c r="U76" s="40"/>
      <c r="V76" s="39"/>
      <c r="W76" s="35"/>
      <c r="X76" s="42"/>
      <c r="Y76" s="43"/>
      <c r="Z76" s="279"/>
      <c r="AA76" s="40"/>
      <c r="AB76" s="36"/>
      <c r="AC76" s="288"/>
      <c r="AD76" s="79"/>
      <c r="AE76" s="68"/>
      <c r="AF76" s="4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</row>
    <row r="77" spans="1:157" ht="18" customHeight="1" x14ac:dyDescent="0.25">
      <c r="A77" s="142">
        <f>A75+1</f>
        <v>69</v>
      </c>
      <c r="B77" s="48" t="s">
        <v>107</v>
      </c>
      <c r="C77" s="29">
        <f t="shared" ref="C77:C124" si="86">IF(L77&gt;=401.41,401.41,IF(L77&lt;401.41,L77))</f>
        <v>401.41</v>
      </c>
      <c r="D77" s="30">
        <f t="shared" ref="D77" si="87">+L77-C77</f>
        <v>16.819294472361833</v>
      </c>
      <c r="E77" s="31">
        <f t="shared" ref="E77" si="88">+C77/13.3803</f>
        <v>30.000074736739837</v>
      </c>
      <c r="F77" s="32">
        <f>+'TALLER RETIRADOS'!BF29</f>
        <v>92.776812060301509</v>
      </c>
      <c r="G77" s="32">
        <v>0</v>
      </c>
      <c r="H77" s="32">
        <f>+'TALLER RETIRADOS'!CX29</f>
        <v>124.75248241206032</v>
      </c>
      <c r="I77" s="32">
        <v>0</v>
      </c>
      <c r="J77" s="32">
        <f>13.38*15</f>
        <v>200.70000000000002</v>
      </c>
      <c r="K77" s="33"/>
      <c r="L77" s="34">
        <f t="shared" ref="L77:L124" si="89">+F77+G77+H77+I77+K77+J77</f>
        <v>418.22929447236186</v>
      </c>
      <c r="M77" s="35">
        <f t="shared" ref="M77" si="90">IF(L77&gt;=401.41,37.933,IF(L77&lt;401.41,L77*9.45%))</f>
        <v>37.933</v>
      </c>
      <c r="N77" s="36">
        <f t="shared" ref="N77" si="91">+L77-M77</f>
        <v>380.29629447236186</v>
      </c>
      <c r="O77" s="37">
        <f t="shared" ref="O77" si="92">IF(E77&gt;=30,33.45,IF(E77&lt;30,E77*1.115))</f>
        <v>33.450000000000003</v>
      </c>
      <c r="P77" s="37">
        <f t="shared" ref="P77" si="93">IF(E77&gt;=30,33.33,IF(E77&lt;30,E77*1.111))</f>
        <v>33.33</v>
      </c>
      <c r="Q77" s="33">
        <f t="shared" ref="Q77" si="94">+O77+P77</f>
        <v>66.78</v>
      </c>
      <c r="R77" s="38">
        <f>33.45/30*E77</f>
        <v>33.450083331464917</v>
      </c>
      <c r="S77" s="39"/>
      <c r="T77" s="35"/>
      <c r="U77" s="40">
        <f t="shared" ref="U77" si="95">N77+Q77+R77+S77+T77</f>
        <v>480.52637780382673</v>
      </c>
      <c r="V77" s="39">
        <v>480.52637780382673</v>
      </c>
      <c r="W77" s="35"/>
      <c r="X77" s="42"/>
      <c r="Y77" s="43"/>
      <c r="Z77" s="279"/>
      <c r="AA77" s="40">
        <f t="shared" ref="AA77" si="96">+W77+V77+X77+Y77+Z77</f>
        <v>480.52637780382673</v>
      </c>
      <c r="AB77" s="36">
        <f t="shared" ref="AB77" si="97">+U77-AA77</f>
        <v>0</v>
      </c>
      <c r="AC77" s="288"/>
      <c r="AD77" s="79"/>
      <c r="AE77" s="68"/>
      <c r="AF77" s="46">
        <f t="shared" ref="AF77" si="98">+AB77-AC77-AD77-AE77</f>
        <v>0</v>
      </c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</row>
    <row r="78" spans="1:157" ht="18" customHeight="1" x14ac:dyDescent="0.25">
      <c r="A78" s="142">
        <f t="shared" ref="A78:A87" si="99">A77+1</f>
        <v>70</v>
      </c>
      <c r="B78" s="48" t="s">
        <v>114</v>
      </c>
      <c r="C78" s="29">
        <f t="shared" si="86"/>
        <v>401.41</v>
      </c>
      <c r="D78" s="30">
        <f t="shared" ref="D78:D124" si="100">+L78-C78</f>
        <v>73.627732663316579</v>
      </c>
      <c r="E78" s="31">
        <f t="shared" ref="E78:E124" si="101">+C78/13.3803</f>
        <v>30.000074736739837</v>
      </c>
      <c r="F78" s="32">
        <f>+'TALLER RETIRADOS'!BF30</f>
        <v>317.31951758793974</v>
      </c>
      <c r="G78" s="32">
        <v>0</v>
      </c>
      <c r="H78" s="32">
        <f>+'TALLER RETIRADOS'!CX30</f>
        <v>157.71821507537686</v>
      </c>
      <c r="I78" s="32">
        <v>0</v>
      </c>
      <c r="J78" s="85"/>
      <c r="K78" s="33"/>
      <c r="L78" s="34">
        <f t="shared" si="89"/>
        <v>475.0377326633166</v>
      </c>
      <c r="M78" s="35">
        <f t="shared" ref="M78:M124" si="102">IF(L78&gt;=401.41,37.933,IF(L78&lt;401.41,L78*9.45%))</f>
        <v>37.933</v>
      </c>
      <c r="N78" s="36">
        <f t="shared" ref="N78:N124" si="103">+L78-M78</f>
        <v>437.10473266331661</v>
      </c>
      <c r="O78" s="37">
        <f t="shared" ref="O78:O124" si="104">IF(E78&gt;=30,33.45,IF(E78&lt;30,E78*1.115))</f>
        <v>33.450000000000003</v>
      </c>
      <c r="P78" s="37">
        <f t="shared" ref="P78:P124" si="105">IF(E78&gt;=30,33.33,IF(E78&lt;30,E78*1.111))</f>
        <v>33.33</v>
      </c>
      <c r="Q78" s="33">
        <f t="shared" ref="Q78:Q124" si="106">+O78+P78</f>
        <v>66.78</v>
      </c>
      <c r="R78" s="38">
        <f>33.45/30*E78</f>
        <v>33.450083331464917</v>
      </c>
      <c r="S78" s="39"/>
      <c r="T78" s="35"/>
      <c r="U78" s="40">
        <f t="shared" ref="U78:U117" si="107">N78+Q78+R78+S78+T78</f>
        <v>537.33481599478159</v>
      </c>
      <c r="V78" s="39">
        <v>537.33481599478159</v>
      </c>
      <c r="W78" s="35"/>
      <c r="X78" s="42"/>
      <c r="Y78" s="43"/>
      <c r="Z78" s="279"/>
      <c r="AA78" s="40">
        <f t="shared" ref="AA78:AA124" si="108">+W78+V78+X78+Y78+Z78</f>
        <v>537.33481599478159</v>
      </c>
      <c r="AB78" s="36">
        <f t="shared" ref="AB78:AB124" si="109">+U78-AA78</f>
        <v>0</v>
      </c>
      <c r="AC78" s="288"/>
      <c r="AD78" s="79"/>
      <c r="AE78" s="68"/>
      <c r="AF78" s="46">
        <f t="shared" ref="AF78:AF124" si="110">+AB78-AC78-AD78-AE78</f>
        <v>0</v>
      </c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</row>
    <row r="79" spans="1:157" s="57" customFormat="1" ht="18" customHeight="1" x14ac:dyDescent="0.25">
      <c r="A79" s="142">
        <f t="shared" si="99"/>
        <v>71</v>
      </c>
      <c r="B79" s="48" t="s">
        <v>101</v>
      </c>
      <c r="C79" s="29">
        <f t="shared" si="86"/>
        <v>401.41</v>
      </c>
      <c r="D79" s="30">
        <f t="shared" si="100"/>
        <v>75.551953768844214</v>
      </c>
      <c r="E79" s="31">
        <f t="shared" si="101"/>
        <v>30.000074736739837</v>
      </c>
      <c r="F79" s="32">
        <f>+'TALLER RETIRADOS'!BF31</f>
        <v>265</v>
      </c>
      <c r="G79" s="32">
        <v>0</v>
      </c>
      <c r="H79" s="32">
        <f>+'TALLER RETIRADOS'!CX31</f>
        <v>211.96195376884424</v>
      </c>
      <c r="I79" s="32">
        <v>0</v>
      </c>
      <c r="J79" s="85"/>
      <c r="K79" s="33"/>
      <c r="L79" s="34">
        <f t="shared" si="89"/>
        <v>476.96195376884424</v>
      </c>
      <c r="M79" s="35">
        <f t="shared" si="102"/>
        <v>37.933</v>
      </c>
      <c r="N79" s="36">
        <f t="shared" si="103"/>
        <v>439.02895376884425</v>
      </c>
      <c r="O79" s="37">
        <f t="shared" si="104"/>
        <v>33.450000000000003</v>
      </c>
      <c r="P79" s="37">
        <f t="shared" si="105"/>
        <v>33.33</v>
      </c>
      <c r="Q79" s="33">
        <f t="shared" si="106"/>
        <v>66.78</v>
      </c>
      <c r="R79" s="38">
        <f>33.45/30*E79</f>
        <v>33.450083331464917</v>
      </c>
      <c r="S79" s="39"/>
      <c r="T79" s="35"/>
      <c r="U79" s="40">
        <f t="shared" si="107"/>
        <v>539.25903710030923</v>
      </c>
      <c r="V79" s="39">
        <v>539.25903710030923</v>
      </c>
      <c r="W79" s="35"/>
      <c r="X79" s="42"/>
      <c r="Y79" s="43"/>
      <c r="Z79" s="279"/>
      <c r="AA79" s="40">
        <f t="shared" si="108"/>
        <v>539.25903710030923</v>
      </c>
      <c r="AB79" s="36">
        <f t="shared" si="109"/>
        <v>0</v>
      </c>
      <c r="AC79" s="288"/>
      <c r="AD79" s="79"/>
      <c r="AE79" s="68"/>
      <c r="AF79" s="46">
        <f t="shared" si="110"/>
        <v>0</v>
      </c>
    </row>
    <row r="80" spans="1:157" ht="18" customHeight="1" x14ac:dyDescent="0.25">
      <c r="A80" s="142">
        <f t="shared" si="99"/>
        <v>72</v>
      </c>
      <c r="B80" s="48" t="s">
        <v>131</v>
      </c>
      <c r="C80" s="29">
        <f t="shared" si="86"/>
        <v>401.41</v>
      </c>
      <c r="D80" s="30">
        <f t="shared" si="100"/>
        <v>30.69471557788944</v>
      </c>
      <c r="E80" s="31">
        <f t="shared" si="101"/>
        <v>30.000074736739837</v>
      </c>
      <c r="F80" s="32">
        <f>+'TALLER RETIRADOS'!BF32</f>
        <v>269.55811055276382</v>
      </c>
      <c r="G80" s="32">
        <v>0</v>
      </c>
      <c r="H80" s="32">
        <f>+'TALLER RETIRADOS'!CX32</f>
        <v>162.54660502512564</v>
      </c>
      <c r="I80" s="32">
        <v>0</v>
      </c>
      <c r="J80" s="85"/>
      <c r="K80" s="33"/>
      <c r="L80" s="34">
        <f t="shared" si="89"/>
        <v>432.10471557788946</v>
      </c>
      <c r="M80" s="35">
        <f t="shared" si="102"/>
        <v>37.933</v>
      </c>
      <c r="N80" s="36">
        <f t="shared" si="103"/>
        <v>394.17171557788947</v>
      </c>
      <c r="O80" s="37">
        <f t="shared" si="104"/>
        <v>33.450000000000003</v>
      </c>
      <c r="P80" s="37">
        <f t="shared" si="105"/>
        <v>33.33</v>
      </c>
      <c r="Q80" s="33">
        <f t="shared" si="106"/>
        <v>66.78</v>
      </c>
      <c r="R80" s="38"/>
      <c r="S80" s="39"/>
      <c r="T80" s="35"/>
      <c r="U80" s="40">
        <f t="shared" si="107"/>
        <v>460.95171557788944</v>
      </c>
      <c r="V80" s="39">
        <v>460.95171557788944</v>
      </c>
      <c r="W80" s="35"/>
      <c r="X80" s="42"/>
      <c r="Y80" s="43"/>
      <c r="Z80" s="279"/>
      <c r="AA80" s="40">
        <f t="shared" si="108"/>
        <v>460.95171557788944</v>
      </c>
      <c r="AB80" s="36">
        <f t="shared" si="109"/>
        <v>0</v>
      </c>
      <c r="AC80" s="288"/>
      <c r="AD80" s="79"/>
      <c r="AE80" s="68"/>
      <c r="AF80" s="46">
        <f t="shared" si="110"/>
        <v>0</v>
      </c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</row>
    <row r="81" spans="1:157" s="57" customFormat="1" ht="18" customHeight="1" x14ac:dyDescent="0.25">
      <c r="A81" s="142">
        <f t="shared" si="99"/>
        <v>73</v>
      </c>
      <c r="B81" s="48" t="s">
        <v>91</v>
      </c>
      <c r="C81" s="29">
        <f t="shared" si="86"/>
        <v>401.41</v>
      </c>
      <c r="D81" s="30">
        <f t="shared" si="100"/>
        <v>231.323912603015</v>
      </c>
      <c r="E81" s="31">
        <f t="shared" si="101"/>
        <v>30.000074736739837</v>
      </c>
      <c r="F81" s="32">
        <f>+'TALLER RETIRADOS'!BF33</f>
        <v>481.28788245226127</v>
      </c>
      <c r="G81" s="32">
        <v>0</v>
      </c>
      <c r="H81" s="32">
        <f>+'TALLER RETIRADOS'!CX33</f>
        <v>151.44603015075376</v>
      </c>
      <c r="I81" s="32">
        <v>0</v>
      </c>
      <c r="J81" s="85"/>
      <c r="K81" s="33"/>
      <c r="L81" s="34">
        <f t="shared" si="89"/>
        <v>632.73391260301503</v>
      </c>
      <c r="M81" s="35">
        <f t="shared" si="102"/>
        <v>37.933</v>
      </c>
      <c r="N81" s="36">
        <f t="shared" si="103"/>
        <v>594.80091260301504</v>
      </c>
      <c r="O81" s="37">
        <f t="shared" si="104"/>
        <v>33.450000000000003</v>
      </c>
      <c r="P81" s="37">
        <f t="shared" si="105"/>
        <v>33.33</v>
      </c>
      <c r="Q81" s="33">
        <f t="shared" si="106"/>
        <v>66.78</v>
      </c>
      <c r="R81" s="38">
        <f>33.45/30*E81</f>
        <v>33.450083331464917</v>
      </c>
      <c r="S81" s="39"/>
      <c r="T81" s="35"/>
      <c r="U81" s="40">
        <f t="shared" si="107"/>
        <v>695.03099593447996</v>
      </c>
      <c r="V81" s="39">
        <v>695.03099593447996</v>
      </c>
      <c r="W81" s="35"/>
      <c r="X81" s="42"/>
      <c r="Y81" s="43"/>
      <c r="Z81" s="279"/>
      <c r="AA81" s="40">
        <f t="shared" si="108"/>
        <v>695.03099593447996</v>
      </c>
      <c r="AB81" s="36">
        <f t="shared" si="109"/>
        <v>0</v>
      </c>
      <c r="AC81" s="288"/>
      <c r="AD81" s="79"/>
      <c r="AE81" s="68"/>
      <c r="AF81" s="46">
        <f t="shared" si="110"/>
        <v>0</v>
      </c>
    </row>
    <row r="82" spans="1:157" s="57" customFormat="1" ht="18" customHeight="1" x14ac:dyDescent="0.25">
      <c r="A82" s="142">
        <f t="shared" si="99"/>
        <v>74</v>
      </c>
      <c r="B82" s="48" t="s">
        <v>84</v>
      </c>
      <c r="C82" s="29">
        <f t="shared" si="86"/>
        <v>401.41</v>
      </c>
      <c r="D82" s="30">
        <f t="shared" si="100"/>
        <v>154.74783718592977</v>
      </c>
      <c r="E82" s="31">
        <f t="shared" si="101"/>
        <v>30.000074736739837</v>
      </c>
      <c r="F82" s="32">
        <f>+'TALLER RETIRADOS'!BF34</f>
        <v>369.8742753768845</v>
      </c>
      <c r="G82" s="32">
        <v>0</v>
      </c>
      <c r="H82" s="32">
        <f>+'TALLER RETIRADOS'!CX34</f>
        <v>186.28356180904524</v>
      </c>
      <c r="I82" s="32">
        <v>0</v>
      </c>
      <c r="J82" s="85"/>
      <c r="K82" s="33"/>
      <c r="L82" s="34">
        <f t="shared" si="89"/>
        <v>556.15783718592979</v>
      </c>
      <c r="M82" s="35">
        <f t="shared" si="102"/>
        <v>37.933</v>
      </c>
      <c r="N82" s="36">
        <f t="shared" si="103"/>
        <v>518.2248371859298</v>
      </c>
      <c r="O82" s="37">
        <f t="shared" si="104"/>
        <v>33.450000000000003</v>
      </c>
      <c r="P82" s="37">
        <f t="shared" si="105"/>
        <v>33.33</v>
      </c>
      <c r="Q82" s="33">
        <f t="shared" si="106"/>
        <v>66.78</v>
      </c>
      <c r="R82" s="38">
        <f>33.45/30*E82</f>
        <v>33.450083331464917</v>
      </c>
      <c r="S82" s="39"/>
      <c r="T82" s="35"/>
      <c r="U82" s="40">
        <f t="shared" si="107"/>
        <v>618.45492051739473</v>
      </c>
      <c r="V82" s="39">
        <v>618.45492051739473</v>
      </c>
      <c r="W82" s="35"/>
      <c r="X82" s="42"/>
      <c r="Y82" s="43"/>
      <c r="Z82" s="279"/>
      <c r="AA82" s="40">
        <f t="shared" si="108"/>
        <v>618.45492051739473</v>
      </c>
      <c r="AB82" s="36">
        <f t="shared" si="109"/>
        <v>0</v>
      </c>
      <c r="AC82" s="288"/>
      <c r="AD82" s="79"/>
      <c r="AE82" s="68"/>
      <c r="AF82" s="46">
        <f t="shared" si="110"/>
        <v>0</v>
      </c>
    </row>
    <row r="83" spans="1:157" s="57" customFormat="1" ht="18" customHeight="1" x14ac:dyDescent="0.25">
      <c r="A83" s="142">
        <f t="shared" si="99"/>
        <v>75</v>
      </c>
      <c r="B83" s="48" t="s">
        <v>125</v>
      </c>
      <c r="C83" s="29">
        <f t="shared" si="86"/>
        <v>401.41</v>
      </c>
      <c r="D83" s="30">
        <f t="shared" si="100"/>
        <v>57.432331658291446</v>
      </c>
      <c r="E83" s="31">
        <f t="shared" si="101"/>
        <v>30.000074736739837</v>
      </c>
      <c r="F83" s="32">
        <f>+'TALLER RETIRADOS'!BF35</f>
        <v>265</v>
      </c>
      <c r="G83" s="32">
        <v>0</v>
      </c>
      <c r="H83" s="32">
        <f>+'TALLER RETIRADOS'!CX35</f>
        <v>193.84233165829147</v>
      </c>
      <c r="I83" s="32">
        <v>0</v>
      </c>
      <c r="J83" s="85"/>
      <c r="K83" s="33"/>
      <c r="L83" s="34">
        <f t="shared" si="89"/>
        <v>458.84233165829147</v>
      </c>
      <c r="M83" s="35">
        <f t="shared" si="102"/>
        <v>37.933</v>
      </c>
      <c r="N83" s="36">
        <f t="shared" si="103"/>
        <v>420.90933165829148</v>
      </c>
      <c r="O83" s="37">
        <f t="shared" si="104"/>
        <v>33.450000000000003</v>
      </c>
      <c r="P83" s="37">
        <f t="shared" si="105"/>
        <v>33.33</v>
      </c>
      <c r="Q83" s="33">
        <f t="shared" si="106"/>
        <v>66.78</v>
      </c>
      <c r="R83" s="38">
        <f>33.45/30*E83</f>
        <v>33.450083331464917</v>
      </c>
      <c r="S83" s="39"/>
      <c r="T83" s="35"/>
      <c r="U83" s="40">
        <f t="shared" si="107"/>
        <v>521.13941498975646</v>
      </c>
      <c r="V83" s="39">
        <v>521.13941498975646</v>
      </c>
      <c r="W83" s="35"/>
      <c r="X83" s="42"/>
      <c r="Y83" s="43"/>
      <c r="Z83" s="279"/>
      <c r="AA83" s="40">
        <f t="shared" si="108"/>
        <v>521.13941498975646</v>
      </c>
      <c r="AB83" s="36">
        <f t="shared" si="109"/>
        <v>0</v>
      </c>
      <c r="AC83" s="288"/>
      <c r="AD83" s="79"/>
      <c r="AE83" s="68"/>
      <c r="AF83" s="46">
        <f t="shared" si="110"/>
        <v>0</v>
      </c>
    </row>
    <row r="84" spans="1:157" s="57" customFormat="1" ht="18" customHeight="1" x14ac:dyDescent="0.25">
      <c r="A84" s="142">
        <f t="shared" si="99"/>
        <v>76</v>
      </c>
      <c r="B84" s="48" t="s">
        <v>50</v>
      </c>
      <c r="C84" s="29">
        <f t="shared" si="86"/>
        <v>401.41</v>
      </c>
      <c r="D84" s="30">
        <f t="shared" si="100"/>
        <v>51.589999999999975</v>
      </c>
      <c r="E84" s="31">
        <f t="shared" si="101"/>
        <v>30.000074736739837</v>
      </c>
      <c r="F84" s="32">
        <f>+'TALLER RETIRADOS'!BF36</f>
        <v>283</v>
      </c>
      <c r="G84" s="32">
        <v>0</v>
      </c>
      <c r="H84" s="32">
        <f>+'TALLER RETIRADOS'!CX36</f>
        <v>170</v>
      </c>
      <c r="I84" s="32">
        <v>0</v>
      </c>
      <c r="J84" s="85"/>
      <c r="K84" s="33"/>
      <c r="L84" s="34">
        <f t="shared" si="89"/>
        <v>453</v>
      </c>
      <c r="M84" s="35">
        <f t="shared" si="102"/>
        <v>37.933</v>
      </c>
      <c r="N84" s="36">
        <f t="shared" si="103"/>
        <v>415.06700000000001</v>
      </c>
      <c r="O84" s="37">
        <f t="shared" si="104"/>
        <v>33.450000000000003</v>
      </c>
      <c r="P84" s="37">
        <f t="shared" si="105"/>
        <v>33.33</v>
      </c>
      <c r="Q84" s="33">
        <f t="shared" si="106"/>
        <v>66.78</v>
      </c>
      <c r="R84" s="38"/>
      <c r="S84" s="39"/>
      <c r="T84" s="35"/>
      <c r="U84" s="40">
        <f t="shared" si="107"/>
        <v>481.84699999999998</v>
      </c>
      <c r="V84" s="39">
        <v>481.84699999999998</v>
      </c>
      <c r="W84" s="35"/>
      <c r="X84" s="42"/>
      <c r="Y84" s="43"/>
      <c r="Z84" s="279"/>
      <c r="AA84" s="40">
        <f t="shared" si="108"/>
        <v>481.84699999999998</v>
      </c>
      <c r="AB84" s="36">
        <f t="shared" si="109"/>
        <v>0</v>
      </c>
      <c r="AC84" s="288"/>
      <c r="AD84" s="79"/>
      <c r="AE84" s="68"/>
      <c r="AF84" s="46">
        <f t="shared" si="110"/>
        <v>0</v>
      </c>
    </row>
    <row r="85" spans="1:157" s="57" customFormat="1" ht="18" customHeight="1" x14ac:dyDescent="0.25">
      <c r="A85" s="142">
        <f t="shared" si="99"/>
        <v>77</v>
      </c>
      <c r="B85" s="48" t="s">
        <v>103</v>
      </c>
      <c r="C85" s="29">
        <f t="shared" si="86"/>
        <v>401.41</v>
      </c>
      <c r="D85" s="30">
        <f t="shared" si="100"/>
        <v>16.222667336683401</v>
      </c>
      <c r="E85" s="31">
        <f t="shared" si="101"/>
        <v>30.000074736739837</v>
      </c>
      <c r="F85" s="32">
        <f>+'TALLER RETIRADOS'!BF37</f>
        <v>259.63266733668343</v>
      </c>
      <c r="G85" s="32">
        <v>0</v>
      </c>
      <c r="H85" s="32">
        <f>+'TALLER RETIRADOS'!CX37</f>
        <v>158</v>
      </c>
      <c r="I85" s="32">
        <v>0</v>
      </c>
      <c r="J85" s="85"/>
      <c r="K85" s="33"/>
      <c r="L85" s="34">
        <f t="shared" si="89"/>
        <v>417.63266733668343</v>
      </c>
      <c r="M85" s="35">
        <f t="shared" si="102"/>
        <v>37.933</v>
      </c>
      <c r="N85" s="36">
        <f t="shared" si="103"/>
        <v>379.69966733668343</v>
      </c>
      <c r="O85" s="37">
        <f t="shared" si="104"/>
        <v>33.450000000000003</v>
      </c>
      <c r="P85" s="37">
        <f t="shared" si="105"/>
        <v>33.33</v>
      </c>
      <c r="Q85" s="33">
        <f t="shared" si="106"/>
        <v>66.78</v>
      </c>
      <c r="R85" s="38">
        <f>33.45/30*E85</f>
        <v>33.450083331464917</v>
      </c>
      <c r="S85" s="39"/>
      <c r="T85" s="35"/>
      <c r="U85" s="40">
        <f t="shared" si="107"/>
        <v>479.9297506681483</v>
      </c>
      <c r="V85" s="39">
        <v>479.9297506681483</v>
      </c>
      <c r="W85" s="35"/>
      <c r="X85" s="42"/>
      <c r="Y85" s="43"/>
      <c r="Z85" s="279"/>
      <c r="AA85" s="40">
        <f t="shared" si="108"/>
        <v>479.9297506681483</v>
      </c>
      <c r="AB85" s="36">
        <f t="shared" si="109"/>
        <v>0</v>
      </c>
      <c r="AC85" s="288"/>
      <c r="AD85" s="79"/>
      <c r="AE85" s="68"/>
      <c r="AF85" s="46">
        <f t="shared" si="110"/>
        <v>0</v>
      </c>
    </row>
    <row r="86" spans="1:157" s="57" customFormat="1" ht="18" customHeight="1" x14ac:dyDescent="0.25">
      <c r="A86" s="142">
        <f t="shared" si="99"/>
        <v>78</v>
      </c>
      <c r="B86" s="48" t="s">
        <v>102</v>
      </c>
      <c r="C86" s="29">
        <f t="shared" si="86"/>
        <v>401.41</v>
      </c>
      <c r="D86" s="30">
        <f t="shared" si="100"/>
        <v>76.925429145728629</v>
      </c>
      <c r="E86" s="31">
        <f t="shared" si="101"/>
        <v>30.000074736739837</v>
      </c>
      <c r="F86" s="32">
        <f>+'TALLER RETIRADOS'!BF38</f>
        <v>265</v>
      </c>
      <c r="G86" s="32">
        <v>0</v>
      </c>
      <c r="H86" s="32">
        <f>+'TALLER RETIRADOS'!CX38</f>
        <v>213.33542914572865</v>
      </c>
      <c r="I86" s="32">
        <v>0</v>
      </c>
      <c r="J86" s="85"/>
      <c r="K86" s="33"/>
      <c r="L86" s="34">
        <f t="shared" si="89"/>
        <v>478.33542914572865</v>
      </c>
      <c r="M86" s="35">
        <f t="shared" si="102"/>
        <v>37.933</v>
      </c>
      <c r="N86" s="36">
        <f t="shared" si="103"/>
        <v>440.40242914572866</v>
      </c>
      <c r="O86" s="37">
        <f t="shared" si="104"/>
        <v>33.450000000000003</v>
      </c>
      <c r="P86" s="37">
        <f t="shared" si="105"/>
        <v>33.33</v>
      </c>
      <c r="Q86" s="33">
        <f t="shared" si="106"/>
        <v>66.78</v>
      </c>
      <c r="R86" s="38">
        <f>33.45/30*E86</f>
        <v>33.450083331464917</v>
      </c>
      <c r="S86" s="39"/>
      <c r="T86" s="35"/>
      <c r="U86" s="40">
        <f t="shared" si="107"/>
        <v>540.63251247719359</v>
      </c>
      <c r="V86" s="39">
        <v>540.63251247719359</v>
      </c>
      <c r="W86" s="35"/>
      <c r="X86" s="42"/>
      <c r="Y86" s="43"/>
      <c r="Z86" s="279"/>
      <c r="AA86" s="40">
        <f t="shared" si="108"/>
        <v>540.63251247719359</v>
      </c>
      <c r="AB86" s="36">
        <f t="shared" si="109"/>
        <v>0</v>
      </c>
      <c r="AC86" s="288"/>
      <c r="AD86" s="79"/>
      <c r="AE86" s="68"/>
      <c r="AF86" s="46">
        <f t="shared" si="110"/>
        <v>0</v>
      </c>
    </row>
    <row r="87" spans="1:157" s="57" customFormat="1" ht="18" customHeight="1" x14ac:dyDescent="0.25">
      <c r="A87" s="142">
        <f t="shared" si="99"/>
        <v>79</v>
      </c>
      <c r="B87" s="48" t="s">
        <v>104</v>
      </c>
      <c r="C87" s="29">
        <f t="shared" si="86"/>
        <v>401.41</v>
      </c>
      <c r="D87" s="30">
        <f t="shared" si="100"/>
        <v>8.3087135678392201</v>
      </c>
      <c r="E87" s="31">
        <f t="shared" si="101"/>
        <v>30.000074736739837</v>
      </c>
      <c r="F87" s="32">
        <f>+'TALLER RETIRADOS'!BF39</f>
        <v>283.71871356783925</v>
      </c>
      <c r="G87" s="32">
        <v>0</v>
      </c>
      <c r="H87" s="32">
        <f>+'TALLER RETIRADOS'!CX39</f>
        <v>126</v>
      </c>
      <c r="I87" s="32">
        <v>0</v>
      </c>
      <c r="J87" s="85"/>
      <c r="K87" s="33"/>
      <c r="L87" s="34">
        <f t="shared" si="89"/>
        <v>409.71871356783925</v>
      </c>
      <c r="M87" s="35">
        <f t="shared" si="102"/>
        <v>37.933</v>
      </c>
      <c r="N87" s="36">
        <f t="shared" si="103"/>
        <v>371.78571356783925</v>
      </c>
      <c r="O87" s="37">
        <f t="shared" si="104"/>
        <v>33.450000000000003</v>
      </c>
      <c r="P87" s="37">
        <f t="shared" si="105"/>
        <v>33.33</v>
      </c>
      <c r="Q87" s="33">
        <f t="shared" si="106"/>
        <v>66.78</v>
      </c>
      <c r="R87" s="38">
        <f>33.45/30*E87</f>
        <v>33.450083331464917</v>
      </c>
      <c r="S87" s="39"/>
      <c r="T87" s="35"/>
      <c r="U87" s="40">
        <f t="shared" si="107"/>
        <v>472.01579689930412</v>
      </c>
      <c r="V87" s="39">
        <v>472.01579689930412</v>
      </c>
      <c r="W87" s="35"/>
      <c r="X87" s="42"/>
      <c r="Y87" s="43"/>
      <c r="Z87" s="279"/>
      <c r="AA87" s="40">
        <f t="shared" si="108"/>
        <v>472.01579689930412</v>
      </c>
      <c r="AB87" s="36">
        <f t="shared" si="109"/>
        <v>0</v>
      </c>
      <c r="AC87" s="288"/>
      <c r="AD87" s="79"/>
      <c r="AE87" s="68"/>
      <c r="AF87" s="46">
        <f t="shared" si="110"/>
        <v>0</v>
      </c>
    </row>
    <row r="88" spans="1:157" ht="18" customHeight="1" x14ac:dyDescent="0.25">
      <c r="A88" s="142">
        <f t="shared" ref="A88:A89" si="111">A87+1</f>
        <v>80</v>
      </c>
      <c r="B88" s="48" t="s">
        <v>264</v>
      </c>
      <c r="C88" s="29">
        <f t="shared" si="86"/>
        <v>334.59679396984922</v>
      </c>
      <c r="D88" s="30">
        <f t="shared" si="100"/>
        <v>0</v>
      </c>
      <c r="E88" s="31">
        <f t="shared" si="101"/>
        <v>25.006673540193361</v>
      </c>
      <c r="F88" s="32">
        <f>+'TALLER RETIRADOS'!BF40</f>
        <v>175.84877989949746</v>
      </c>
      <c r="G88" s="32">
        <v>0</v>
      </c>
      <c r="H88" s="32">
        <f>+'TALLER RETIRADOS'!CX40</f>
        <v>138.67801407035176</v>
      </c>
      <c r="I88" s="32">
        <v>0</v>
      </c>
      <c r="J88" s="32">
        <f>13.38*6*25%</f>
        <v>20.07</v>
      </c>
      <c r="K88" s="33"/>
      <c r="L88" s="34">
        <f t="shared" si="89"/>
        <v>334.59679396984922</v>
      </c>
      <c r="M88" s="35">
        <f t="shared" si="102"/>
        <v>31.619397030150747</v>
      </c>
      <c r="N88" s="36">
        <f t="shared" si="103"/>
        <v>302.97739693969845</v>
      </c>
      <c r="O88" s="37">
        <f t="shared" si="104"/>
        <v>27.882440997315598</v>
      </c>
      <c r="P88" s="37">
        <f t="shared" si="105"/>
        <v>27.782414303154823</v>
      </c>
      <c r="Q88" s="33">
        <f t="shared" si="106"/>
        <v>55.664855300470421</v>
      </c>
      <c r="R88" s="38"/>
      <c r="S88" s="39"/>
      <c r="T88" s="35"/>
      <c r="U88" s="40">
        <f t="shared" si="107"/>
        <v>358.64225224016889</v>
      </c>
      <c r="V88" s="39">
        <v>358.64225224016889</v>
      </c>
      <c r="W88" s="35"/>
      <c r="X88" s="42"/>
      <c r="Y88" s="43"/>
      <c r="Z88" s="279"/>
      <c r="AA88" s="40">
        <f t="shared" si="108"/>
        <v>358.64225224016889</v>
      </c>
      <c r="AB88" s="36">
        <f t="shared" si="109"/>
        <v>0</v>
      </c>
      <c r="AC88" s="288"/>
      <c r="AD88" s="79"/>
      <c r="AE88" s="68"/>
      <c r="AF88" s="46">
        <f t="shared" si="110"/>
        <v>0</v>
      </c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</row>
    <row r="89" spans="1:157" ht="18" customHeight="1" x14ac:dyDescent="0.25">
      <c r="A89" s="142">
        <f t="shared" si="111"/>
        <v>81</v>
      </c>
      <c r="B89" s="48" t="s">
        <v>82</v>
      </c>
      <c r="C89" s="29">
        <f t="shared" si="86"/>
        <v>401.41</v>
      </c>
      <c r="D89" s="30">
        <f t="shared" si="100"/>
        <v>296.30000603015066</v>
      </c>
      <c r="E89" s="31">
        <f t="shared" si="101"/>
        <v>30.000074736739837</v>
      </c>
      <c r="F89" s="32">
        <f>+'TALLER RETIRADOS'!BF41</f>
        <v>460.95424321608039</v>
      </c>
      <c r="G89" s="32">
        <v>0</v>
      </c>
      <c r="H89" s="32">
        <f>+'TALLER RETIRADOS'!CX41</f>
        <v>236.75576281407035</v>
      </c>
      <c r="I89" s="32">
        <v>0</v>
      </c>
      <c r="J89" s="85"/>
      <c r="K89" s="33"/>
      <c r="L89" s="34">
        <f t="shared" si="89"/>
        <v>697.71000603015068</v>
      </c>
      <c r="M89" s="35">
        <f t="shared" si="102"/>
        <v>37.933</v>
      </c>
      <c r="N89" s="36">
        <f t="shared" si="103"/>
        <v>659.77700603015069</v>
      </c>
      <c r="O89" s="37">
        <f t="shared" si="104"/>
        <v>33.450000000000003</v>
      </c>
      <c r="P89" s="37">
        <f t="shared" si="105"/>
        <v>33.33</v>
      </c>
      <c r="Q89" s="33">
        <f t="shared" si="106"/>
        <v>66.78</v>
      </c>
      <c r="R89" s="1036"/>
      <c r="S89" s="39"/>
      <c r="T89" s="35"/>
      <c r="U89" s="40">
        <f t="shared" si="107"/>
        <v>726.55700603015066</v>
      </c>
      <c r="V89" s="39">
        <v>726.55700603015066</v>
      </c>
      <c r="W89" s="35"/>
      <c r="X89" s="42"/>
      <c r="Y89" s="43"/>
      <c r="Z89" s="279"/>
      <c r="AA89" s="40">
        <f t="shared" si="108"/>
        <v>726.55700603015066</v>
      </c>
      <c r="AB89" s="36">
        <f t="shared" si="109"/>
        <v>0</v>
      </c>
      <c r="AC89" s="288"/>
      <c r="AD89" s="79"/>
      <c r="AE89" s="68"/>
      <c r="AF89" s="46">
        <f t="shared" si="110"/>
        <v>0</v>
      </c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</row>
    <row r="90" spans="1:157" ht="18" customHeight="1" x14ac:dyDescent="0.25">
      <c r="A90" s="142">
        <f>A89+1</f>
        <v>82</v>
      </c>
      <c r="B90" s="48" t="s">
        <v>159</v>
      </c>
      <c r="C90" s="29">
        <f t="shared" si="86"/>
        <v>401.41</v>
      </c>
      <c r="D90" s="30">
        <f t="shared" si="100"/>
        <v>34.656773869346694</v>
      </c>
      <c r="E90" s="31">
        <f t="shared" si="101"/>
        <v>30.000074736739837</v>
      </c>
      <c r="F90" s="32">
        <f>+'TALLER RETIRADOS'!BF42</f>
        <v>299.85591155778894</v>
      </c>
      <c r="G90" s="32">
        <v>0</v>
      </c>
      <c r="H90" s="32">
        <f>+'TALLER RETIRADOS'!CX42</f>
        <v>136.21086231155778</v>
      </c>
      <c r="I90" s="32">
        <v>0</v>
      </c>
      <c r="J90" s="85"/>
      <c r="K90" s="33"/>
      <c r="L90" s="34">
        <f t="shared" si="89"/>
        <v>436.06677386934672</v>
      </c>
      <c r="M90" s="35">
        <f t="shared" si="102"/>
        <v>37.933</v>
      </c>
      <c r="N90" s="36">
        <f t="shared" si="103"/>
        <v>398.13377386934673</v>
      </c>
      <c r="O90" s="37">
        <f t="shared" si="104"/>
        <v>33.450000000000003</v>
      </c>
      <c r="P90" s="37">
        <f t="shared" si="105"/>
        <v>33.33</v>
      </c>
      <c r="Q90" s="33">
        <f t="shared" si="106"/>
        <v>66.78</v>
      </c>
      <c r="R90" s="38">
        <f>33.45/30*E90</f>
        <v>33.450083331464917</v>
      </c>
      <c r="S90" s="39"/>
      <c r="T90" s="35"/>
      <c r="U90" s="40">
        <f t="shared" si="107"/>
        <v>498.36385720081165</v>
      </c>
      <c r="V90" s="39">
        <v>498.36385720081165</v>
      </c>
      <c r="W90" s="35"/>
      <c r="X90" s="42"/>
      <c r="Y90" s="43"/>
      <c r="Z90" s="279"/>
      <c r="AA90" s="40">
        <f t="shared" si="108"/>
        <v>498.36385720081165</v>
      </c>
      <c r="AB90" s="36">
        <f t="shared" si="109"/>
        <v>0</v>
      </c>
      <c r="AC90" s="288"/>
      <c r="AD90" s="79"/>
      <c r="AE90" s="68"/>
      <c r="AF90" s="46">
        <f t="shared" si="110"/>
        <v>0</v>
      </c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</row>
    <row r="91" spans="1:157" ht="18" customHeight="1" x14ac:dyDescent="0.25">
      <c r="A91" s="142">
        <f t="shared" ref="A91:A105" si="112">A90+1</f>
        <v>83</v>
      </c>
      <c r="B91" s="48" t="s">
        <v>263</v>
      </c>
      <c r="C91" s="29">
        <f t="shared" si="86"/>
        <v>401.41</v>
      </c>
      <c r="D91" s="30">
        <f t="shared" si="100"/>
        <v>191.87078793969846</v>
      </c>
      <c r="E91" s="31">
        <f t="shared" si="101"/>
        <v>30.000074736739837</v>
      </c>
      <c r="F91" s="32">
        <f>+'TALLER RETIRADOS'!BF43</f>
        <v>364.92386733668343</v>
      </c>
      <c r="G91" s="32">
        <v>0</v>
      </c>
      <c r="H91" s="32">
        <f>+'TALLER RETIRADOS'!CX43</f>
        <v>228.35692060301508</v>
      </c>
      <c r="I91" s="32">
        <v>0</v>
      </c>
      <c r="J91" s="85"/>
      <c r="K91" s="33"/>
      <c r="L91" s="34">
        <f t="shared" si="89"/>
        <v>593.28078793969848</v>
      </c>
      <c r="M91" s="35">
        <f t="shared" si="102"/>
        <v>37.933</v>
      </c>
      <c r="N91" s="36">
        <f t="shared" si="103"/>
        <v>555.34778793969849</v>
      </c>
      <c r="O91" s="37">
        <f t="shared" si="104"/>
        <v>33.450000000000003</v>
      </c>
      <c r="P91" s="37">
        <f t="shared" si="105"/>
        <v>33.33</v>
      </c>
      <c r="Q91" s="33">
        <f t="shared" si="106"/>
        <v>66.78</v>
      </c>
      <c r="R91" s="38"/>
      <c r="S91" s="39"/>
      <c r="T91" s="35"/>
      <c r="U91" s="40">
        <f t="shared" si="107"/>
        <v>622.12778793969846</v>
      </c>
      <c r="V91" s="39">
        <v>622.12778793969846</v>
      </c>
      <c r="W91" s="35"/>
      <c r="X91" s="42"/>
      <c r="Y91" s="43"/>
      <c r="Z91" s="279"/>
      <c r="AA91" s="40">
        <f t="shared" si="108"/>
        <v>622.12778793969846</v>
      </c>
      <c r="AB91" s="36">
        <f t="shared" si="109"/>
        <v>0</v>
      </c>
      <c r="AC91" s="288"/>
      <c r="AD91" s="79"/>
      <c r="AE91" s="68"/>
      <c r="AF91" s="46">
        <f t="shared" si="110"/>
        <v>0</v>
      </c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</row>
    <row r="92" spans="1:157" ht="18" customHeight="1" x14ac:dyDescent="0.25">
      <c r="A92" s="142">
        <f t="shared" si="112"/>
        <v>84</v>
      </c>
      <c r="B92" s="48" t="s">
        <v>93</v>
      </c>
      <c r="C92" s="29">
        <f t="shared" si="86"/>
        <v>401.41</v>
      </c>
      <c r="D92" s="30">
        <f t="shared" si="100"/>
        <v>158.71090050251252</v>
      </c>
      <c r="E92" s="31">
        <f t="shared" si="101"/>
        <v>30.000074736739837</v>
      </c>
      <c r="F92" s="32">
        <f>+'TALLER RETIRADOS'!BF44</f>
        <v>333.83733869346736</v>
      </c>
      <c r="G92" s="32">
        <v>0</v>
      </c>
      <c r="H92" s="32">
        <f>+'TALLER RETIRADOS'!CX44</f>
        <v>226.28356180904524</v>
      </c>
      <c r="I92" s="32">
        <v>0</v>
      </c>
      <c r="J92" s="85"/>
      <c r="K92" s="33"/>
      <c r="L92" s="34">
        <f t="shared" si="89"/>
        <v>560.12090050251254</v>
      </c>
      <c r="M92" s="35">
        <f t="shared" si="102"/>
        <v>37.933</v>
      </c>
      <c r="N92" s="36">
        <f t="shared" si="103"/>
        <v>522.18790050251255</v>
      </c>
      <c r="O92" s="37">
        <f t="shared" si="104"/>
        <v>33.450000000000003</v>
      </c>
      <c r="P92" s="37">
        <f t="shared" si="105"/>
        <v>33.33</v>
      </c>
      <c r="Q92" s="33">
        <f t="shared" si="106"/>
        <v>66.78</v>
      </c>
      <c r="R92" s="38">
        <f>33.45/30*E92</f>
        <v>33.450083331464917</v>
      </c>
      <c r="S92" s="39"/>
      <c r="T92" s="35"/>
      <c r="U92" s="40">
        <f t="shared" si="107"/>
        <v>622.41798383397747</v>
      </c>
      <c r="V92" s="39">
        <v>622.41798383397747</v>
      </c>
      <c r="W92" s="35"/>
      <c r="X92" s="42"/>
      <c r="Y92" s="43"/>
      <c r="Z92" s="279"/>
      <c r="AA92" s="40">
        <f t="shared" si="108"/>
        <v>622.41798383397747</v>
      </c>
      <c r="AB92" s="36">
        <f t="shared" si="109"/>
        <v>0</v>
      </c>
      <c r="AC92" s="288"/>
      <c r="AD92" s="79"/>
      <c r="AE92" s="68"/>
      <c r="AF92" s="46">
        <f t="shared" si="110"/>
        <v>0</v>
      </c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</row>
    <row r="93" spans="1:157" ht="18" customHeight="1" x14ac:dyDescent="0.25">
      <c r="A93" s="142">
        <f t="shared" si="112"/>
        <v>85</v>
      </c>
      <c r="B93" s="48" t="s">
        <v>124</v>
      </c>
      <c r="C93" s="29">
        <f t="shared" si="86"/>
        <v>364.57929648241202</v>
      </c>
      <c r="D93" s="30">
        <f t="shared" si="100"/>
        <v>0</v>
      </c>
      <c r="E93" s="31">
        <f t="shared" si="101"/>
        <v>27.247468030045066</v>
      </c>
      <c r="F93" s="32">
        <f>+'TALLER RETIRADOS'!BF45</f>
        <v>267.86050251256279</v>
      </c>
      <c r="G93" s="32">
        <v>0</v>
      </c>
      <c r="H93" s="32">
        <f>+'TALLER RETIRADOS'!CX45</f>
        <v>96.718793969849244</v>
      </c>
      <c r="I93" s="32">
        <v>0</v>
      </c>
      <c r="J93" s="85"/>
      <c r="K93" s="33"/>
      <c r="L93" s="34">
        <f t="shared" si="89"/>
        <v>364.57929648241202</v>
      </c>
      <c r="M93" s="35">
        <f t="shared" si="102"/>
        <v>34.452743517587933</v>
      </c>
      <c r="N93" s="36">
        <f t="shared" si="103"/>
        <v>330.1265529648241</v>
      </c>
      <c r="O93" s="37">
        <f t="shared" si="104"/>
        <v>30.380926853500249</v>
      </c>
      <c r="P93" s="37">
        <f t="shared" si="105"/>
        <v>30.271936981380069</v>
      </c>
      <c r="Q93" s="33">
        <f t="shared" si="106"/>
        <v>60.652863834880321</v>
      </c>
      <c r="R93" s="38">
        <f>33.45/30*E93</f>
        <v>30.380926853500249</v>
      </c>
      <c r="S93" s="39"/>
      <c r="T93" s="35"/>
      <c r="U93" s="40">
        <f t="shared" si="107"/>
        <v>421.16034365320468</v>
      </c>
      <c r="V93" s="39">
        <v>421.16034365320468</v>
      </c>
      <c r="W93" s="35"/>
      <c r="X93" s="42"/>
      <c r="Y93" s="43"/>
      <c r="Z93" s="279"/>
      <c r="AA93" s="40">
        <f t="shared" si="108"/>
        <v>421.16034365320468</v>
      </c>
      <c r="AB93" s="36">
        <f t="shared" si="109"/>
        <v>0</v>
      </c>
      <c r="AC93" s="288"/>
      <c r="AD93" s="79"/>
      <c r="AE93" s="68"/>
      <c r="AF93" s="46">
        <f t="shared" si="110"/>
        <v>0</v>
      </c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</row>
    <row r="94" spans="1:157" ht="18" customHeight="1" x14ac:dyDescent="0.25">
      <c r="A94" s="142">
        <f t="shared" si="112"/>
        <v>86</v>
      </c>
      <c r="B94" s="48" t="s">
        <v>387</v>
      </c>
      <c r="C94" s="29">
        <f t="shared" si="86"/>
        <v>401.41</v>
      </c>
      <c r="D94" s="30">
        <f t="shared" si="100"/>
        <v>113.22636375879398</v>
      </c>
      <c r="E94" s="31">
        <f t="shared" si="101"/>
        <v>30.000074736739837</v>
      </c>
      <c r="F94" s="32">
        <f>+'TALLER RETIRADOS'!BF46</f>
        <v>301.22565421105531</v>
      </c>
      <c r="G94" s="32">
        <v>0</v>
      </c>
      <c r="H94" s="32">
        <f>+'TALLER RETIRADOS'!CX46</f>
        <v>213.41070954773869</v>
      </c>
      <c r="I94" s="32">
        <v>0</v>
      </c>
      <c r="J94" s="85"/>
      <c r="K94" s="33"/>
      <c r="L94" s="34">
        <f t="shared" si="89"/>
        <v>514.636363758794</v>
      </c>
      <c r="M94" s="35">
        <f t="shared" si="102"/>
        <v>37.933</v>
      </c>
      <c r="N94" s="36">
        <f t="shared" si="103"/>
        <v>476.70336375879401</v>
      </c>
      <c r="O94" s="37">
        <f t="shared" si="104"/>
        <v>33.450000000000003</v>
      </c>
      <c r="P94" s="37">
        <f t="shared" si="105"/>
        <v>33.33</v>
      </c>
      <c r="Q94" s="33">
        <f t="shared" si="106"/>
        <v>66.78</v>
      </c>
      <c r="R94" s="38"/>
      <c r="S94" s="39"/>
      <c r="T94" s="35"/>
      <c r="U94" s="40">
        <f t="shared" si="107"/>
        <v>543.48336375879398</v>
      </c>
      <c r="V94" s="39">
        <v>543.48336375879398</v>
      </c>
      <c r="W94" s="35"/>
      <c r="X94" s="42"/>
      <c r="Y94" s="43"/>
      <c r="Z94" s="279"/>
      <c r="AA94" s="40">
        <f t="shared" si="108"/>
        <v>543.48336375879398</v>
      </c>
      <c r="AB94" s="36">
        <f t="shared" si="109"/>
        <v>0</v>
      </c>
      <c r="AC94" s="288"/>
      <c r="AD94" s="79"/>
      <c r="AE94" s="68"/>
      <c r="AF94" s="46">
        <f t="shared" si="110"/>
        <v>0</v>
      </c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</row>
    <row r="95" spans="1:157" ht="18" customHeight="1" x14ac:dyDescent="0.25">
      <c r="A95" s="142">
        <f t="shared" si="112"/>
        <v>87</v>
      </c>
      <c r="B95" s="48" t="s">
        <v>200</v>
      </c>
      <c r="C95" s="29">
        <f t="shared" si="86"/>
        <v>401.41</v>
      </c>
      <c r="D95" s="30">
        <f t="shared" si="100"/>
        <v>11.589999999999975</v>
      </c>
      <c r="E95" s="31">
        <f t="shared" si="101"/>
        <v>30.000074736739837</v>
      </c>
      <c r="F95" s="32">
        <f>+'TALLER RETIRADOS'!BF47</f>
        <v>273</v>
      </c>
      <c r="G95" s="32">
        <v>0</v>
      </c>
      <c r="H95" s="32">
        <f>+'TALLER RETIRADOS'!CX47</f>
        <v>140</v>
      </c>
      <c r="I95" s="32">
        <v>0</v>
      </c>
      <c r="J95" s="85"/>
      <c r="K95" s="33"/>
      <c r="L95" s="34">
        <f t="shared" si="89"/>
        <v>413</v>
      </c>
      <c r="M95" s="35">
        <f t="shared" si="102"/>
        <v>37.933</v>
      </c>
      <c r="N95" s="36">
        <f t="shared" si="103"/>
        <v>375.06700000000001</v>
      </c>
      <c r="O95" s="37">
        <f t="shared" si="104"/>
        <v>33.450000000000003</v>
      </c>
      <c r="P95" s="37">
        <f t="shared" si="105"/>
        <v>33.33</v>
      </c>
      <c r="Q95" s="33">
        <f t="shared" si="106"/>
        <v>66.78</v>
      </c>
      <c r="R95" s="38"/>
      <c r="S95" s="39"/>
      <c r="T95" s="35"/>
      <c r="U95" s="40">
        <f t="shared" si="107"/>
        <v>441.84699999999998</v>
      </c>
      <c r="V95" s="39">
        <v>441.84699999999998</v>
      </c>
      <c r="W95" s="35"/>
      <c r="X95" s="42"/>
      <c r="Y95" s="43"/>
      <c r="Z95" s="279"/>
      <c r="AA95" s="40">
        <f t="shared" si="108"/>
        <v>441.84699999999998</v>
      </c>
      <c r="AB95" s="36">
        <f t="shared" si="109"/>
        <v>0</v>
      </c>
      <c r="AC95" s="288"/>
      <c r="AD95" s="79"/>
      <c r="AE95" s="68"/>
      <c r="AF95" s="46">
        <f t="shared" si="110"/>
        <v>0</v>
      </c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</row>
    <row r="96" spans="1:157" ht="18" customHeight="1" x14ac:dyDescent="0.25">
      <c r="A96" s="142">
        <f t="shared" si="112"/>
        <v>88</v>
      </c>
      <c r="B96" s="48" t="s">
        <v>118</v>
      </c>
      <c r="C96" s="29">
        <f t="shared" si="86"/>
        <v>401.41</v>
      </c>
      <c r="D96" s="30">
        <f t="shared" si="100"/>
        <v>52.488227135678358</v>
      </c>
      <c r="E96" s="31">
        <f t="shared" si="101"/>
        <v>30.000074736739837</v>
      </c>
      <c r="F96" s="32">
        <f>+'TALLER RETIRADOS'!BF48</f>
        <v>254</v>
      </c>
      <c r="G96" s="32">
        <v>0</v>
      </c>
      <c r="H96" s="32">
        <f>+'TALLER RETIRADOS'!CX48</f>
        <v>199.89822713567838</v>
      </c>
      <c r="I96" s="32">
        <v>0</v>
      </c>
      <c r="J96" s="85"/>
      <c r="K96" s="33"/>
      <c r="L96" s="34">
        <f t="shared" si="89"/>
        <v>453.89822713567838</v>
      </c>
      <c r="M96" s="35">
        <f t="shared" si="102"/>
        <v>37.933</v>
      </c>
      <c r="N96" s="36">
        <f t="shared" si="103"/>
        <v>415.96522713567839</v>
      </c>
      <c r="O96" s="37">
        <f t="shared" si="104"/>
        <v>33.450000000000003</v>
      </c>
      <c r="P96" s="37">
        <f t="shared" si="105"/>
        <v>33.33</v>
      </c>
      <c r="Q96" s="33">
        <f t="shared" si="106"/>
        <v>66.78</v>
      </c>
      <c r="R96" s="38">
        <f>33.45/30*E96</f>
        <v>33.450083331464917</v>
      </c>
      <c r="S96" s="39"/>
      <c r="T96" s="35"/>
      <c r="U96" s="40">
        <f t="shared" si="107"/>
        <v>516.19531046714337</v>
      </c>
      <c r="V96" s="39">
        <v>516.19531046714337</v>
      </c>
      <c r="W96" s="35"/>
      <c r="X96" s="42"/>
      <c r="Y96" s="43"/>
      <c r="Z96" s="279"/>
      <c r="AA96" s="40">
        <f t="shared" si="108"/>
        <v>516.19531046714337</v>
      </c>
      <c r="AB96" s="36">
        <f t="shared" si="109"/>
        <v>0</v>
      </c>
      <c r="AC96" s="288"/>
      <c r="AD96" s="79"/>
      <c r="AE96" s="68"/>
      <c r="AF96" s="46">
        <f t="shared" si="110"/>
        <v>0</v>
      </c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</row>
    <row r="97" spans="1:157" ht="18" customHeight="1" x14ac:dyDescent="0.25">
      <c r="A97" s="142">
        <f t="shared" si="112"/>
        <v>89</v>
      </c>
      <c r="B97" s="48" t="s">
        <v>130</v>
      </c>
      <c r="C97" s="29">
        <f t="shared" si="86"/>
        <v>401.41</v>
      </c>
      <c r="D97" s="30">
        <f t="shared" si="100"/>
        <v>179.51412462311561</v>
      </c>
      <c r="E97" s="31">
        <f t="shared" si="101"/>
        <v>30.000074736739837</v>
      </c>
      <c r="F97" s="32">
        <f>+'TALLER RETIRADOS'!BF49</f>
        <v>347.47835979899497</v>
      </c>
      <c r="G97" s="32">
        <v>0</v>
      </c>
      <c r="H97" s="32">
        <f>+'TALLER RETIRADOS'!CX49</f>
        <v>233.44576482412063</v>
      </c>
      <c r="I97" s="32">
        <v>0</v>
      </c>
      <c r="J97" s="85"/>
      <c r="K97" s="33"/>
      <c r="L97" s="34">
        <f t="shared" si="89"/>
        <v>580.92412462311563</v>
      </c>
      <c r="M97" s="35">
        <f t="shared" si="102"/>
        <v>37.933</v>
      </c>
      <c r="N97" s="36">
        <f t="shared" si="103"/>
        <v>542.99112462311564</v>
      </c>
      <c r="O97" s="37">
        <f t="shared" si="104"/>
        <v>33.450000000000003</v>
      </c>
      <c r="P97" s="37">
        <f t="shared" si="105"/>
        <v>33.33</v>
      </c>
      <c r="Q97" s="33">
        <f t="shared" si="106"/>
        <v>66.78</v>
      </c>
      <c r="R97" s="38"/>
      <c r="S97" s="39"/>
      <c r="T97" s="35"/>
      <c r="U97" s="40">
        <f t="shared" si="107"/>
        <v>609.77112462311561</v>
      </c>
      <c r="V97" s="39">
        <v>609.77112462311561</v>
      </c>
      <c r="W97" s="35"/>
      <c r="X97" s="42"/>
      <c r="Y97" s="43"/>
      <c r="Z97" s="279"/>
      <c r="AA97" s="40">
        <f t="shared" si="108"/>
        <v>609.77112462311561</v>
      </c>
      <c r="AB97" s="36">
        <f t="shared" si="109"/>
        <v>0</v>
      </c>
      <c r="AC97" s="288"/>
      <c r="AD97" s="79"/>
      <c r="AE97" s="68"/>
      <c r="AF97" s="46">
        <f t="shared" si="110"/>
        <v>0</v>
      </c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</row>
    <row r="98" spans="1:157" ht="18" customHeight="1" x14ac:dyDescent="0.25">
      <c r="A98" s="142">
        <f t="shared" si="112"/>
        <v>90</v>
      </c>
      <c r="B98" s="48" t="s">
        <v>59</v>
      </c>
      <c r="C98" s="29">
        <f t="shared" si="86"/>
        <v>248.17500000000001</v>
      </c>
      <c r="D98" s="30">
        <f t="shared" si="100"/>
        <v>0</v>
      </c>
      <c r="E98" s="31">
        <f t="shared" si="101"/>
        <v>18.547790408286811</v>
      </c>
      <c r="F98" s="32">
        <f>+'TALLER RETIRADOS'!BF50</f>
        <v>40</v>
      </c>
      <c r="G98" s="32">
        <v>0</v>
      </c>
      <c r="H98" s="32">
        <f>+'TALLER RETIRADOS'!CX50</f>
        <v>158</v>
      </c>
      <c r="I98" s="32">
        <v>0</v>
      </c>
      <c r="J98" s="32">
        <f>13.38*15*25%</f>
        <v>50.175000000000004</v>
      </c>
      <c r="K98" s="33"/>
      <c r="L98" s="34">
        <f t="shared" si="89"/>
        <v>248.17500000000001</v>
      </c>
      <c r="M98" s="35">
        <f t="shared" si="102"/>
        <v>23.452537499999998</v>
      </c>
      <c r="N98" s="36">
        <f t="shared" si="103"/>
        <v>224.72246250000001</v>
      </c>
      <c r="O98" s="37">
        <f t="shared" si="104"/>
        <v>20.680786305239796</v>
      </c>
      <c r="P98" s="37">
        <f t="shared" si="105"/>
        <v>20.606595143606647</v>
      </c>
      <c r="Q98" s="33">
        <f t="shared" si="106"/>
        <v>41.287381448846446</v>
      </c>
      <c r="R98" s="38">
        <f>33.45/30*E98</f>
        <v>20.680786305239796</v>
      </c>
      <c r="S98" s="39"/>
      <c r="T98" s="35"/>
      <c r="U98" s="40">
        <f t="shared" si="107"/>
        <v>286.69063025408622</v>
      </c>
      <c r="V98" s="39">
        <v>286.69063025408622</v>
      </c>
      <c r="W98" s="35"/>
      <c r="X98" s="42"/>
      <c r="Y98" s="43"/>
      <c r="Z98" s="279"/>
      <c r="AA98" s="40">
        <f t="shared" si="108"/>
        <v>286.69063025408622</v>
      </c>
      <c r="AB98" s="36">
        <f t="shared" si="109"/>
        <v>0</v>
      </c>
      <c r="AC98" s="288"/>
      <c r="AD98" s="79"/>
      <c r="AE98" s="68"/>
      <c r="AF98" s="46">
        <f t="shared" si="110"/>
        <v>0</v>
      </c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</row>
    <row r="99" spans="1:157" ht="18" customHeight="1" x14ac:dyDescent="0.25">
      <c r="A99" s="142">
        <f t="shared" si="112"/>
        <v>91</v>
      </c>
      <c r="B99" s="48" t="s">
        <v>106</v>
      </c>
      <c r="C99" s="29">
        <f t="shared" si="86"/>
        <v>401.41</v>
      </c>
      <c r="D99" s="30">
        <f t="shared" si="100"/>
        <v>28.968645226130604</v>
      </c>
      <c r="E99" s="31">
        <f t="shared" si="101"/>
        <v>30.000074736739837</v>
      </c>
      <c r="F99" s="32">
        <f>+'TALLER RETIRADOS'!BF51</f>
        <v>290.85078190954772</v>
      </c>
      <c r="G99" s="32">
        <v>0</v>
      </c>
      <c r="H99" s="32">
        <f>+'TALLER RETIRADOS'!CX51</f>
        <v>139.52786331658291</v>
      </c>
      <c r="I99" s="32">
        <v>0</v>
      </c>
      <c r="J99" s="32"/>
      <c r="K99" s="33"/>
      <c r="L99" s="34">
        <f t="shared" si="89"/>
        <v>430.37864522613063</v>
      </c>
      <c r="M99" s="35">
        <f t="shared" si="102"/>
        <v>37.933</v>
      </c>
      <c r="N99" s="36">
        <f t="shared" si="103"/>
        <v>392.44564522613064</v>
      </c>
      <c r="O99" s="37">
        <f t="shared" si="104"/>
        <v>33.450000000000003</v>
      </c>
      <c r="P99" s="37">
        <f t="shared" si="105"/>
        <v>33.33</v>
      </c>
      <c r="Q99" s="33">
        <f t="shared" si="106"/>
        <v>66.78</v>
      </c>
      <c r="R99" s="1036"/>
      <c r="S99" s="39"/>
      <c r="T99" s="35"/>
      <c r="U99" s="40">
        <f t="shared" si="107"/>
        <v>459.22564522613061</v>
      </c>
      <c r="V99" s="39">
        <v>459.22564522613061</v>
      </c>
      <c r="W99" s="35"/>
      <c r="X99" s="42"/>
      <c r="Y99" s="43"/>
      <c r="Z99" s="279"/>
      <c r="AA99" s="40">
        <f t="shared" si="108"/>
        <v>459.22564522613061</v>
      </c>
      <c r="AB99" s="36">
        <f t="shared" si="109"/>
        <v>0</v>
      </c>
      <c r="AC99" s="288"/>
      <c r="AD99" s="79"/>
      <c r="AE99" s="68"/>
      <c r="AF99" s="46">
        <f t="shared" si="110"/>
        <v>0</v>
      </c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</row>
    <row r="100" spans="1:157" ht="18" customHeight="1" x14ac:dyDescent="0.25">
      <c r="A100" s="142">
        <f t="shared" si="112"/>
        <v>92</v>
      </c>
      <c r="B100" s="48" t="s">
        <v>158</v>
      </c>
      <c r="C100" s="29">
        <f t="shared" si="86"/>
        <v>382.75208040201005</v>
      </c>
      <c r="D100" s="30">
        <f t="shared" si="100"/>
        <v>0</v>
      </c>
      <c r="E100" s="31">
        <f t="shared" si="101"/>
        <v>28.605642653902382</v>
      </c>
      <c r="F100" s="32">
        <f>+'TALLER RETIRADOS'!BF52</f>
        <v>242</v>
      </c>
      <c r="G100" s="32">
        <v>0</v>
      </c>
      <c r="H100" s="32">
        <f>+'TALLER RETIRADOS'!CX52</f>
        <v>140.75208040201005</v>
      </c>
      <c r="I100" s="32">
        <v>0</v>
      </c>
      <c r="J100" s="32"/>
      <c r="K100" s="33"/>
      <c r="L100" s="34">
        <f t="shared" si="89"/>
        <v>382.75208040201005</v>
      </c>
      <c r="M100" s="35">
        <f t="shared" si="102"/>
        <v>36.170071597989946</v>
      </c>
      <c r="N100" s="36">
        <f t="shared" si="103"/>
        <v>346.58200880402012</v>
      </c>
      <c r="O100" s="37">
        <f t="shared" si="104"/>
        <v>31.895291559101157</v>
      </c>
      <c r="P100" s="37">
        <f t="shared" si="105"/>
        <v>31.780868988485548</v>
      </c>
      <c r="Q100" s="33">
        <f t="shared" si="106"/>
        <v>63.676160547586704</v>
      </c>
      <c r="R100" s="38"/>
      <c r="S100" s="39"/>
      <c r="T100" s="35"/>
      <c r="U100" s="40">
        <f t="shared" si="107"/>
        <v>410.25816935160685</v>
      </c>
      <c r="V100" s="39">
        <v>410.25816935160685</v>
      </c>
      <c r="W100" s="35"/>
      <c r="X100" s="42"/>
      <c r="Y100" s="43"/>
      <c r="Z100" s="279"/>
      <c r="AA100" s="40">
        <f t="shared" si="108"/>
        <v>410.25816935160685</v>
      </c>
      <c r="AB100" s="36">
        <f t="shared" si="109"/>
        <v>0</v>
      </c>
      <c r="AC100" s="288"/>
      <c r="AD100" s="79"/>
      <c r="AE100" s="68"/>
      <c r="AF100" s="46">
        <f t="shared" si="110"/>
        <v>0</v>
      </c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</row>
    <row r="101" spans="1:157" ht="18" customHeight="1" x14ac:dyDescent="0.25">
      <c r="A101" s="142">
        <f t="shared" si="112"/>
        <v>93</v>
      </c>
      <c r="B101" s="48" t="s">
        <v>261</v>
      </c>
      <c r="C101" s="29">
        <f t="shared" si="86"/>
        <v>387.15672160804019</v>
      </c>
      <c r="D101" s="30">
        <f t="shared" si="100"/>
        <v>0</v>
      </c>
      <c r="E101" s="31">
        <f t="shared" si="101"/>
        <v>28.934831177779287</v>
      </c>
      <c r="F101" s="32">
        <f>+'TALLER RETIRADOS'!BF53</f>
        <v>208.08672160804019</v>
      </c>
      <c r="G101" s="32">
        <v>0</v>
      </c>
      <c r="H101" s="32">
        <f>+'TALLER RETIRADOS'!CX53</f>
        <v>159</v>
      </c>
      <c r="I101" s="32">
        <v>0</v>
      </c>
      <c r="J101" s="32">
        <f>13.38*3*50%</f>
        <v>20.07</v>
      </c>
      <c r="K101" s="33"/>
      <c r="L101" s="34">
        <f t="shared" si="89"/>
        <v>387.15672160804019</v>
      </c>
      <c r="M101" s="35">
        <f t="shared" si="102"/>
        <v>36.58631019195979</v>
      </c>
      <c r="N101" s="36">
        <f t="shared" si="103"/>
        <v>350.57041141608039</v>
      </c>
      <c r="O101" s="37">
        <f t="shared" si="104"/>
        <v>32.262336763223907</v>
      </c>
      <c r="P101" s="37">
        <f t="shared" si="105"/>
        <v>32.146597438512785</v>
      </c>
      <c r="Q101" s="33">
        <f t="shared" si="106"/>
        <v>64.408934201736685</v>
      </c>
      <c r="R101" s="38"/>
      <c r="S101" s="39"/>
      <c r="T101" s="35"/>
      <c r="U101" s="40">
        <f t="shared" si="107"/>
        <v>414.9793456178171</v>
      </c>
      <c r="V101" s="39">
        <v>414.9793456178171</v>
      </c>
      <c r="W101" s="35"/>
      <c r="X101" s="42"/>
      <c r="Y101" s="43"/>
      <c r="Z101" s="279"/>
      <c r="AA101" s="40">
        <f t="shared" si="108"/>
        <v>414.9793456178171</v>
      </c>
      <c r="AB101" s="36">
        <f t="shared" si="109"/>
        <v>0</v>
      </c>
      <c r="AC101" s="288"/>
      <c r="AD101" s="79"/>
      <c r="AE101" s="68"/>
      <c r="AF101" s="46">
        <f t="shared" si="110"/>
        <v>0</v>
      </c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</row>
    <row r="102" spans="1:157" ht="18" customHeight="1" x14ac:dyDescent="0.25">
      <c r="A102" s="142">
        <f t="shared" si="112"/>
        <v>94</v>
      </c>
      <c r="B102" s="48" t="s">
        <v>129</v>
      </c>
      <c r="C102" s="29">
        <f t="shared" si="86"/>
        <v>401.41</v>
      </c>
      <c r="D102" s="30">
        <f t="shared" si="100"/>
        <v>8.3303015075376265</v>
      </c>
      <c r="E102" s="31">
        <f t="shared" si="101"/>
        <v>30.000074736739837</v>
      </c>
      <c r="F102" s="32">
        <f>+'TALLER RETIRADOS'!BF54</f>
        <v>274.27417085427135</v>
      </c>
      <c r="G102" s="32">
        <v>0</v>
      </c>
      <c r="H102" s="32">
        <f>+'TALLER RETIRADOS'!CX54</f>
        <v>135.46613065326633</v>
      </c>
      <c r="I102" s="32">
        <v>0</v>
      </c>
      <c r="J102" s="32"/>
      <c r="K102" s="33"/>
      <c r="L102" s="34">
        <f t="shared" si="89"/>
        <v>409.74030150753765</v>
      </c>
      <c r="M102" s="35">
        <f t="shared" si="102"/>
        <v>37.933</v>
      </c>
      <c r="N102" s="36">
        <f t="shared" si="103"/>
        <v>371.80730150753766</v>
      </c>
      <c r="O102" s="37">
        <f t="shared" si="104"/>
        <v>33.450000000000003</v>
      </c>
      <c r="P102" s="37">
        <f t="shared" si="105"/>
        <v>33.33</v>
      </c>
      <c r="Q102" s="33">
        <f t="shared" si="106"/>
        <v>66.78</v>
      </c>
      <c r="R102" s="38"/>
      <c r="S102" s="39"/>
      <c r="T102" s="35"/>
      <c r="U102" s="40">
        <f t="shared" si="107"/>
        <v>438.58730150753763</v>
      </c>
      <c r="V102" s="39">
        <v>438.58730150753763</v>
      </c>
      <c r="W102" s="35"/>
      <c r="X102" s="42"/>
      <c r="Y102" s="43"/>
      <c r="Z102" s="279"/>
      <c r="AA102" s="40">
        <f t="shared" si="108"/>
        <v>438.58730150753763</v>
      </c>
      <c r="AB102" s="36">
        <f t="shared" si="109"/>
        <v>0</v>
      </c>
      <c r="AC102" s="288"/>
      <c r="AD102" s="79"/>
      <c r="AE102" s="68"/>
      <c r="AF102" s="46">
        <f t="shared" si="110"/>
        <v>0</v>
      </c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</row>
    <row r="103" spans="1:157" ht="18" customHeight="1" x14ac:dyDescent="0.25">
      <c r="A103" s="142">
        <f t="shared" si="112"/>
        <v>95</v>
      </c>
      <c r="B103" s="48" t="s">
        <v>122</v>
      </c>
      <c r="C103" s="29">
        <f t="shared" si="86"/>
        <v>401.41</v>
      </c>
      <c r="D103" s="30">
        <f t="shared" si="100"/>
        <v>32.729216080402011</v>
      </c>
      <c r="E103" s="31">
        <f t="shared" si="101"/>
        <v>30.000074736739837</v>
      </c>
      <c r="F103" s="32">
        <f>+'TALLER RETIRADOS'!BF55</f>
        <v>289.89270351758796</v>
      </c>
      <c r="G103" s="32">
        <v>0</v>
      </c>
      <c r="H103" s="32">
        <f>+'TALLER RETIRADOS'!CX55</f>
        <v>144.24651256281408</v>
      </c>
      <c r="I103" s="32">
        <v>0</v>
      </c>
      <c r="J103" s="32"/>
      <c r="K103" s="33"/>
      <c r="L103" s="34">
        <f t="shared" si="89"/>
        <v>434.13921608040204</v>
      </c>
      <c r="M103" s="35">
        <f t="shared" si="102"/>
        <v>37.933</v>
      </c>
      <c r="N103" s="36">
        <f t="shared" si="103"/>
        <v>396.20621608040204</v>
      </c>
      <c r="O103" s="37">
        <f t="shared" si="104"/>
        <v>33.450000000000003</v>
      </c>
      <c r="P103" s="37">
        <f t="shared" si="105"/>
        <v>33.33</v>
      </c>
      <c r="Q103" s="33">
        <f t="shared" si="106"/>
        <v>66.78</v>
      </c>
      <c r="R103" s="38"/>
      <c r="S103" s="39"/>
      <c r="T103" s="35"/>
      <c r="U103" s="40">
        <f t="shared" si="107"/>
        <v>462.98621608040207</v>
      </c>
      <c r="V103" s="39">
        <v>462.98621608040207</v>
      </c>
      <c r="W103" s="35"/>
      <c r="X103" s="42"/>
      <c r="Y103" s="43"/>
      <c r="Z103" s="279"/>
      <c r="AA103" s="40">
        <f t="shared" si="108"/>
        <v>462.98621608040207</v>
      </c>
      <c r="AB103" s="36">
        <f t="shared" si="109"/>
        <v>0</v>
      </c>
      <c r="AC103" s="288"/>
      <c r="AD103" s="79"/>
      <c r="AE103" s="68"/>
      <c r="AF103" s="46">
        <f t="shared" si="110"/>
        <v>0</v>
      </c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</row>
    <row r="104" spans="1:157" ht="18" customHeight="1" x14ac:dyDescent="0.25">
      <c r="A104" s="142">
        <f t="shared" si="112"/>
        <v>96</v>
      </c>
      <c r="B104" s="48" t="s">
        <v>89</v>
      </c>
      <c r="C104" s="29">
        <f t="shared" si="86"/>
        <v>401.41</v>
      </c>
      <c r="D104" s="30">
        <f t="shared" si="100"/>
        <v>252.4600211005025</v>
      </c>
      <c r="E104" s="31">
        <f t="shared" si="101"/>
        <v>30.000074736739837</v>
      </c>
      <c r="F104" s="32">
        <f>+'TALLER RETIRADOS'!BF56</f>
        <v>463.01991456783918</v>
      </c>
      <c r="G104" s="32">
        <v>0</v>
      </c>
      <c r="H104" s="32">
        <f>+'TALLER RETIRADOS'!CX56</f>
        <v>190.85010653266332</v>
      </c>
      <c r="I104" s="32">
        <v>0</v>
      </c>
      <c r="J104" s="32"/>
      <c r="K104" s="33"/>
      <c r="L104" s="34">
        <f t="shared" si="89"/>
        <v>653.87002110050253</v>
      </c>
      <c r="M104" s="35">
        <f t="shared" si="102"/>
        <v>37.933</v>
      </c>
      <c r="N104" s="36">
        <f t="shared" si="103"/>
        <v>615.93702110050253</v>
      </c>
      <c r="O104" s="37">
        <f t="shared" si="104"/>
        <v>33.450000000000003</v>
      </c>
      <c r="P104" s="37">
        <f t="shared" si="105"/>
        <v>33.33</v>
      </c>
      <c r="Q104" s="33">
        <f t="shared" si="106"/>
        <v>66.78</v>
      </c>
      <c r="R104" s="38">
        <f>33.45/30*E104</f>
        <v>33.450083331464917</v>
      </c>
      <c r="S104" s="39"/>
      <c r="T104" s="35"/>
      <c r="U104" s="40">
        <f t="shared" si="107"/>
        <v>716.16710443196746</v>
      </c>
      <c r="V104" s="39">
        <v>716.16710443196746</v>
      </c>
      <c r="W104" s="35"/>
      <c r="X104" s="42"/>
      <c r="Y104" s="43"/>
      <c r="Z104" s="279"/>
      <c r="AA104" s="40">
        <f t="shared" si="108"/>
        <v>716.16710443196746</v>
      </c>
      <c r="AB104" s="36">
        <f t="shared" si="109"/>
        <v>0</v>
      </c>
      <c r="AC104" s="288"/>
      <c r="AD104" s="79"/>
      <c r="AE104" s="68"/>
      <c r="AF104" s="46">
        <f t="shared" si="110"/>
        <v>0</v>
      </c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</row>
    <row r="105" spans="1:157" ht="18" customHeight="1" x14ac:dyDescent="0.25">
      <c r="A105" s="142">
        <f t="shared" si="112"/>
        <v>97</v>
      </c>
      <c r="B105" s="48" t="s">
        <v>152</v>
      </c>
      <c r="C105" s="29">
        <f t="shared" si="86"/>
        <v>401.41</v>
      </c>
      <c r="D105" s="30">
        <f t="shared" si="100"/>
        <v>27.589999999999975</v>
      </c>
      <c r="E105" s="31">
        <f t="shared" si="101"/>
        <v>30.000074736739837</v>
      </c>
      <c r="F105" s="32">
        <f>+'TALLER RETIRADOS'!BF57</f>
        <v>224</v>
      </c>
      <c r="G105" s="32">
        <v>0</v>
      </c>
      <c r="H105" s="32">
        <f>+'TALLER RETIRADOS'!CX57</f>
        <v>205</v>
      </c>
      <c r="I105" s="32">
        <v>0</v>
      </c>
      <c r="J105" s="32"/>
      <c r="K105" s="33"/>
      <c r="L105" s="34">
        <f t="shared" si="89"/>
        <v>429</v>
      </c>
      <c r="M105" s="35">
        <f t="shared" si="102"/>
        <v>37.933</v>
      </c>
      <c r="N105" s="36">
        <f t="shared" si="103"/>
        <v>391.06700000000001</v>
      </c>
      <c r="O105" s="37">
        <f t="shared" si="104"/>
        <v>33.450000000000003</v>
      </c>
      <c r="P105" s="37">
        <f t="shared" si="105"/>
        <v>33.33</v>
      </c>
      <c r="Q105" s="33">
        <f t="shared" si="106"/>
        <v>66.78</v>
      </c>
      <c r="R105" s="38">
        <f>33.45/30*E105</f>
        <v>33.450083331464917</v>
      </c>
      <c r="S105" s="39"/>
      <c r="T105" s="35"/>
      <c r="U105" s="40">
        <f t="shared" si="107"/>
        <v>491.29708333146488</v>
      </c>
      <c r="V105" s="39">
        <v>491.29708333146488</v>
      </c>
      <c r="W105" s="35"/>
      <c r="X105" s="42"/>
      <c r="Y105" s="43"/>
      <c r="Z105" s="279"/>
      <c r="AA105" s="40">
        <f t="shared" si="108"/>
        <v>491.29708333146488</v>
      </c>
      <c r="AB105" s="36">
        <f t="shared" si="109"/>
        <v>0</v>
      </c>
      <c r="AC105" s="288"/>
      <c r="AD105" s="79"/>
      <c r="AE105" s="68"/>
      <c r="AF105" s="46">
        <f t="shared" si="110"/>
        <v>0</v>
      </c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</row>
    <row r="106" spans="1:157" ht="18" customHeight="1" x14ac:dyDescent="0.25">
      <c r="A106" s="142">
        <f t="shared" ref="A106:A109" si="113">A105+1</f>
        <v>98</v>
      </c>
      <c r="B106" s="48" t="s">
        <v>265</v>
      </c>
      <c r="C106" s="29">
        <f t="shared" si="86"/>
        <v>372.46153846153845</v>
      </c>
      <c r="D106" s="30">
        <f t="shared" si="100"/>
        <v>0</v>
      </c>
      <c r="E106" s="31">
        <f t="shared" si="101"/>
        <v>27.836561098147161</v>
      </c>
      <c r="F106" s="32">
        <f>+'TALLER RETIRADOS'!BF58</f>
        <v>224</v>
      </c>
      <c r="G106" s="32">
        <v>0</v>
      </c>
      <c r="H106" s="32">
        <f>+'TALLER RETIRADOS'!CX58</f>
        <v>148.46153846153845</v>
      </c>
      <c r="I106" s="32">
        <v>0</v>
      </c>
      <c r="J106" s="32"/>
      <c r="K106" s="33"/>
      <c r="L106" s="34">
        <f t="shared" si="89"/>
        <v>372.46153846153845</v>
      </c>
      <c r="M106" s="35">
        <f t="shared" si="102"/>
        <v>35.197615384615382</v>
      </c>
      <c r="N106" s="36">
        <f t="shared" si="103"/>
        <v>337.26392307692305</v>
      </c>
      <c r="O106" s="37">
        <f t="shared" si="104"/>
        <v>31.037765624434083</v>
      </c>
      <c r="P106" s="37">
        <f t="shared" si="105"/>
        <v>30.926419380041494</v>
      </c>
      <c r="Q106" s="33">
        <f t="shared" si="106"/>
        <v>61.964185004475581</v>
      </c>
      <c r="R106" s="38">
        <f>33.45/30*E106</f>
        <v>31.037765624434083</v>
      </c>
      <c r="S106" s="39"/>
      <c r="T106" s="35"/>
      <c r="U106" s="40">
        <f t="shared" si="107"/>
        <v>430.26587370583275</v>
      </c>
      <c r="V106" s="39">
        <v>430.26587370583275</v>
      </c>
      <c r="W106" s="35"/>
      <c r="X106" s="42"/>
      <c r="Y106" s="43"/>
      <c r="Z106" s="279"/>
      <c r="AA106" s="40">
        <f t="shared" si="108"/>
        <v>430.26587370583275</v>
      </c>
      <c r="AB106" s="36">
        <f t="shared" si="109"/>
        <v>0</v>
      </c>
      <c r="AC106" s="288"/>
      <c r="AD106" s="79"/>
      <c r="AE106" s="68"/>
      <c r="AF106" s="46">
        <f t="shared" si="110"/>
        <v>0</v>
      </c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</row>
    <row r="107" spans="1:157" ht="18" customHeight="1" x14ac:dyDescent="0.25">
      <c r="A107" s="142">
        <f t="shared" si="113"/>
        <v>99</v>
      </c>
      <c r="B107" s="48" t="s">
        <v>140</v>
      </c>
      <c r="C107" s="29">
        <f t="shared" si="86"/>
        <v>276.12026532663316</v>
      </c>
      <c r="D107" s="30">
        <f t="shared" si="100"/>
        <v>0</v>
      </c>
      <c r="E107" s="31">
        <f t="shared" si="101"/>
        <v>20.636328432593675</v>
      </c>
      <c r="F107" s="32">
        <f>+'TALLER RETIRADOS'!BF59</f>
        <v>276.12026532663316</v>
      </c>
      <c r="G107" s="32">
        <v>0</v>
      </c>
      <c r="H107" s="32">
        <f>+'TALLER RETIRADOS'!CX59</f>
        <v>0</v>
      </c>
      <c r="I107" s="32">
        <v>0</v>
      </c>
      <c r="J107" s="32"/>
      <c r="K107" s="33"/>
      <c r="L107" s="34">
        <f t="shared" si="89"/>
        <v>276.12026532663316</v>
      </c>
      <c r="M107" s="35">
        <f t="shared" si="102"/>
        <v>26.093365073366829</v>
      </c>
      <c r="N107" s="36">
        <f t="shared" si="103"/>
        <v>250.02690025326632</v>
      </c>
      <c r="O107" s="37">
        <f t="shared" si="104"/>
        <v>23.009506202341949</v>
      </c>
      <c r="P107" s="37">
        <f t="shared" si="105"/>
        <v>22.926960888611575</v>
      </c>
      <c r="Q107" s="33">
        <f t="shared" si="106"/>
        <v>45.936467090953528</v>
      </c>
      <c r="R107" s="38"/>
      <c r="S107" s="39"/>
      <c r="T107" s="35"/>
      <c r="U107" s="40">
        <f t="shared" si="107"/>
        <v>295.96336734421982</v>
      </c>
      <c r="V107" s="39">
        <v>295.96336734421982</v>
      </c>
      <c r="W107" s="35"/>
      <c r="X107" s="42"/>
      <c r="Y107" s="43"/>
      <c r="Z107" s="279"/>
      <c r="AA107" s="40">
        <f t="shared" si="108"/>
        <v>295.96336734421982</v>
      </c>
      <c r="AB107" s="36">
        <f t="shared" si="109"/>
        <v>0</v>
      </c>
      <c r="AC107" s="288"/>
      <c r="AD107" s="79"/>
      <c r="AE107" s="68"/>
      <c r="AF107" s="46">
        <f t="shared" si="110"/>
        <v>0</v>
      </c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</row>
    <row r="108" spans="1:157" ht="18" customHeight="1" x14ac:dyDescent="0.25">
      <c r="A108" s="142">
        <f t="shared" si="113"/>
        <v>100</v>
      </c>
      <c r="B108" s="48" t="s">
        <v>113</v>
      </c>
      <c r="C108" s="29">
        <f t="shared" si="86"/>
        <v>0</v>
      </c>
      <c r="D108" s="30">
        <f t="shared" si="100"/>
        <v>0</v>
      </c>
      <c r="E108" s="31">
        <f t="shared" si="101"/>
        <v>0</v>
      </c>
      <c r="F108" s="32">
        <f>+'TALLER RETIRADOS'!BF60</f>
        <v>0</v>
      </c>
      <c r="G108" s="32">
        <v>0</v>
      </c>
      <c r="H108" s="32">
        <f>+'TALLER RETIRADOS'!CX60</f>
        <v>0</v>
      </c>
      <c r="I108" s="32">
        <v>0</v>
      </c>
      <c r="J108" s="32"/>
      <c r="K108" s="33"/>
      <c r="L108" s="34">
        <f t="shared" si="89"/>
        <v>0</v>
      </c>
      <c r="M108" s="35">
        <f t="shared" si="102"/>
        <v>0</v>
      </c>
      <c r="N108" s="36">
        <f t="shared" si="103"/>
        <v>0</v>
      </c>
      <c r="O108" s="37">
        <f t="shared" si="104"/>
        <v>0</v>
      </c>
      <c r="P108" s="37">
        <f t="shared" si="105"/>
        <v>0</v>
      </c>
      <c r="Q108" s="33">
        <f t="shared" si="106"/>
        <v>0</v>
      </c>
      <c r="R108" s="38">
        <f>33.45/30*E108</f>
        <v>0</v>
      </c>
      <c r="S108" s="39"/>
      <c r="T108" s="35"/>
      <c r="U108" s="40">
        <f t="shared" si="107"/>
        <v>0</v>
      </c>
      <c r="V108" s="39">
        <v>0</v>
      </c>
      <c r="W108" s="35"/>
      <c r="X108" s="42"/>
      <c r="Y108" s="43"/>
      <c r="Z108" s="279"/>
      <c r="AA108" s="40">
        <f t="shared" si="108"/>
        <v>0</v>
      </c>
      <c r="AB108" s="36">
        <f t="shared" si="109"/>
        <v>0</v>
      </c>
      <c r="AC108" s="288"/>
      <c r="AD108" s="79"/>
      <c r="AE108" s="68"/>
      <c r="AF108" s="46">
        <f t="shared" si="110"/>
        <v>0</v>
      </c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</row>
    <row r="109" spans="1:157" ht="18" customHeight="1" x14ac:dyDescent="0.25">
      <c r="A109" s="142">
        <f t="shared" si="113"/>
        <v>101</v>
      </c>
      <c r="B109" s="48" t="s">
        <v>262</v>
      </c>
      <c r="C109" s="29">
        <f t="shared" si="86"/>
        <v>359.23352361809043</v>
      </c>
      <c r="D109" s="30">
        <f t="shared" si="100"/>
        <v>0</v>
      </c>
      <c r="E109" s="31">
        <f t="shared" si="101"/>
        <v>26.847942394272955</v>
      </c>
      <c r="F109" s="32">
        <f>+'TALLER RETIRADOS'!BF61</f>
        <v>241.46450653266331</v>
      </c>
      <c r="G109" s="32">
        <v>0</v>
      </c>
      <c r="H109" s="32">
        <f>+'TALLER RETIRADOS'!CX61</f>
        <v>104.38901708542713</v>
      </c>
      <c r="I109" s="32">
        <v>0</v>
      </c>
      <c r="J109" s="32">
        <f>13.38*2*50%</f>
        <v>13.38</v>
      </c>
      <c r="K109" s="33"/>
      <c r="L109" s="34">
        <f t="shared" si="89"/>
        <v>359.23352361809043</v>
      </c>
      <c r="M109" s="35">
        <f t="shared" si="102"/>
        <v>33.947567981909543</v>
      </c>
      <c r="N109" s="36">
        <f t="shared" si="103"/>
        <v>325.28595563618092</v>
      </c>
      <c r="O109" s="37">
        <f t="shared" si="104"/>
        <v>29.935455769614347</v>
      </c>
      <c r="P109" s="37">
        <f t="shared" si="105"/>
        <v>29.828064000037251</v>
      </c>
      <c r="Q109" s="33">
        <f t="shared" si="106"/>
        <v>59.763519769651595</v>
      </c>
      <c r="R109" s="38"/>
      <c r="S109" s="39"/>
      <c r="T109" s="35"/>
      <c r="U109" s="40">
        <f t="shared" si="107"/>
        <v>385.04947540583248</v>
      </c>
      <c r="V109" s="39">
        <v>385.04947540583248</v>
      </c>
      <c r="W109" s="35"/>
      <c r="X109" s="42"/>
      <c r="Y109" s="43"/>
      <c r="Z109" s="279"/>
      <c r="AA109" s="40">
        <f t="shared" si="108"/>
        <v>385.04947540583248</v>
      </c>
      <c r="AB109" s="36">
        <f t="shared" si="109"/>
        <v>0</v>
      </c>
      <c r="AC109" s="288"/>
      <c r="AD109" s="79"/>
      <c r="AE109" s="68"/>
      <c r="AF109" s="46">
        <f t="shared" si="110"/>
        <v>0</v>
      </c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</row>
    <row r="110" spans="1:157" ht="18" customHeight="1" x14ac:dyDescent="0.25">
      <c r="A110" s="142">
        <f>A109+1</f>
        <v>102</v>
      </c>
      <c r="B110" s="48" t="s">
        <v>120</v>
      </c>
      <c r="C110" s="29">
        <f t="shared" si="86"/>
        <v>302.01943316582913</v>
      </c>
      <c r="D110" s="30">
        <f t="shared" si="100"/>
        <v>0</v>
      </c>
      <c r="E110" s="31">
        <f t="shared" si="101"/>
        <v>22.571947801307079</v>
      </c>
      <c r="F110" s="32">
        <f>+'TALLER RETIRADOS'!BF62</f>
        <v>272.01943316582913</v>
      </c>
      <c r="G110" s="32">
        <v>0</v>
      </c>
      <c r="H110" s="32">
        <f>+'TALLER RETIRADOS'!CX62</f>
        <v>30</v>
      </c>
      <c r="I110" s="32">
        <v>0</v>
      </c>
      <c r="J110" s="32"/>
      <c r="K110" s="33"/>
      <c r="L110" s="34">
        <f t="shared" si="89"/>
        <v>302.01943316582913</v>
      </c>
      <c r="M110" s="35">
        <f t="shared" si="102"/>
        <v>28.540836434170849</v>
      </c>
      <c r="N110" s="36">
        <f t="shared" si="103"/>
        <v>273.47859673165829</v>
      </c>
      <c r="O110" s="37">
        <f t="shared" si="104"/>
        <v>25.167721798457393</v>
      </c>
      <c r="P110" s="37">
        <f t="shared" si="105"/>
        <v>25.077434007252165</v>
      </c>
      <c r="Q110" s="33">
        <f t="shared" si="106"/>
        <v>50.245155805709558</v>
      </c>
      <c r="R110" s="38"/>
      <c r="S110" s="39"/>
      <c r="T110" s="35"/>
      <c r="U110" s="40">
        <f t="shared" si="107"/>
        <v>323.72375253736783</v>
      </c>
      <c r="V110" s="39">
        <v>323.72375253736783</v>
      </c>
      <c r="W110" s="35"/>
      <c r="X110" s="42"/>
      <c r="Y110" s="43"/>
      <c r="Z110" s="279"/>
      <c r="AA110" s="40">
        <f t="shared" si="108"/>
        <v>323.72375253736783</v>
      </c>
      <c r="AB110" s="36">
        <f t="shared" si="109"/>
        <v>0</v>
      </c>
      <c r="AC110" s="288"/>
      <c r="AD110" s="79"/>
      <c r="AE110" s="68"/>
      <c r="AF110" s="46">
        <f t="shared" si="110"/>
        <v>0</v>
      </c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</row>
    <row r="111" spans="1:157" ht="18" customHeight="1" x14ac:dyDescent="0.25">
      <c r="A111" s="142">
        <f t="shared" ref="A111" si="114">A110+1</f>
        <v>103</v>
      </c>
      <c r="B111" s="48" t="s">
        <v>259</v>
      </c>
      <c r="C111" s="29">
        <f t="shared" si="86"/>
        <v>80.000000000000014</v>
      </c>
      <c r="D111" s="30">
        <f t="shared" si="100"/>
        <v>0</v>
      </c>
      <c r="E111" s="31">
        <f t="shared" si="101"/>
        <v>5.9789391867147978</v>
      </c>
      <c r="F111" s="32">
        <f>+'TALLER RETIRADOS'!BF63</f>
        <v>80.000000000000014</v>
      </c>
      <c r="G111" s="32">
        <v>0</v>
      </c>
      <c r="H111" s="32">
        <f>+'TALLER RETIRADOS'!CX63</f>
        <v>0</v>
      </c>
      <c r="I111" s="32">
        <v>0</v>
      </c>
      <c r="J111" s="32"/>
      <c r="K111" s="33"/>
      <c r="L111" s="34">
        <f t="shared" si="89"/>
        <v>80.000000000000014</v>
      </c>
      <c r="M111" s="35">
        <f t="shared" si="102"/>
        <v>7.5600000000000005</v>
      </c>
      <c r="N111" s="36">
        <f t="shared" si="103"/>
        <v>72.440000000000012</v>
      </c>
      <c r="O111" s="37">
        <f t="shared" si="104"/>
        <v>6.6665171931869995</v>
      </c>
      <c r="P111" s="37">
        <f t="shared" si="105"/>
        <v>6.64260143644014</v>
      </c>
      <c r="Q111" s="33">
        <f t="shared" si="106"/>
        <v>13.30911862962714</v>
      </c>
      <c r="R111" s="38"/>
      <c r="S111" s="39"/>
      <c r="T111" s="35"/>
      <c r="U111" s="40">
        <f t="shared" si="107"/>
        <v>85.749118629627148</v>
      </c>
      <c r="V111" s="39">
        <v>85.749118629627148</v>
      </c>
      <c r="W111" s="35"/>
      <c r="X111" s="42"/>
      <c r="Y111" s="43"/>
      <c r="Z111" s="279"/>
      <c r="AA111" s="40">
        <f t="shared" si="108"/>
        <v>85.749118629627148</v>
      </c>
      <c r="AB111" s="36">
        <f t="shared" si="109"/>
        <v>0</v>
      </c>
      <c r="AC111" s="288"/>
      <c r="AD111" s="79"/>
      <c r="AE111" s="68"/>
      <c r="AF111" s="46">
        <f t="shared" si="110"/>
        <v>0</v>
      </c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</row>
    <row r="112" spans="1:157" ht="18" customHeight="1" x14ac:dyDescent="0.25">
      <c r="A112" s="27">
        <f t="shared" ref="A112:A124" si="115">A111+1</f>
        <v>104</v>
      </c>
      <c r="B112" s="28" t="s">
        <v>81</v>
      </c>
      <c r="C112" s="29">
        <f t="shared" si="86"/>
        <v>401.41</v>
      </c>
      <c r="D112" s="30">
        <f t="shared" si="100"/>
        <v>64.486978894472315</v>
      </c>
      <c r="E112" s="31">
        <f t="shared" si="101"/>
        <v>30.000074736739837</v>
      </c>
      <c r="F112" s="32">
        <f>+'TALLER RETIRADOS'!BF86</f>
        <v>236.03415477386935</v>
      </c>
      <c r="G112" s="32">
        <v>0</v>
      </c>
      <c r="H112" s="32">
        <f>'TALLER RETIRADOS'!CX86+'TALLER RETIRADOS'!DC86</f>
        <v>229.86282412060302</v>
      </c>
      <c r="I112" s="32">
        <v>0</v>
      </c>
      <c r="J112" s="32"/>
      <c r="K112" s="33"/>
      <c r="L112" s="34">
        <f t="shared" si="89"/>
        <v>465.89697889447234</v>
      </c>
      <c r="M112" s="35">
        <f t="shared" si="102"/>
        <v>37.933</v>
      </c>
      <c r="N112" s="36">
        <f t="shared" si="103"/>
        <v>427.96397889447235</v>
      </c>
      <c r="O112" s="37">
        <f t="shared" si="104"/>
        <v>33.450000000000003</v>
      </c>
      <c r="P112" s="37">
        <f t="shared" si="105"/>
        <v>33.33</v>
      </c>
      <c r="Q112" s="33">
        <f t="shared" si="106"/>
        <v>66.78</v>
      </c>
      <c r="R112" s="1036"/>
      <c r="S112" s="39"/>
      <c r="T112" s="35"/>
      <c r="U112" s="40">
        <f t="shared" si="107"/>
        <v>494.74397889447232</v>
      </c>
      <c r="V112" s="39">
        <v>494.74397889447232</v>
      </c>
      <c r="W112" s="35"/>
      <c r="X112" s="42"/>
      <c r="Y112" s="43"/>
      <c r="Z112" s="58"/>
      <c r="AA112" s="40">
        <f t="shared" si="108"/>
        <v>494.74397889447232</v>
      </c>
      <c r="AB112" s="36">
        <f t="shared" si="109"/>
        <v>0</v>
      </c>
      <c r="AC112" s="288"/>
      <c r="AD112" s="79"/>
      <c r="AE112" s="67"/>
      <c r="AF112" s="46">
        <f t="shared" si="110"/>
        <v>0</v>
      </c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</row>
    <row r="113" spans="1:157" ht="18" customHeight="1" x14ac:dyDescent="0.25">
      <c r="A113" s="27">
        <f t="shared" si="115"/>
        <v>105</v>
      </c>
      <c r="B113" s="77" t="s">
        <v>145</v>
      </c>
      <c r="C113" s="29">
        <f t="shared" si="86"/>
        <v>401.41</v>
      </c>
      <c r="D113" s="30">
        <f t="shared" si="100"/>
        <v>179.96141105527641</v>
      </c>
      <c r="E113" s="31">
        <f t="shared" si="101"/>
        <v>30.000074736739837</v>
      </c>
      <c r="F113" s="32">
        <f>+'TALLER RETIRADOS'!BF87</f>
        <v>274.21096683417085</v>
      </c>
      <c r="G113" s="32">
        <v>0</v>
      </c>
      <c r="H113" s="32">
        <f>'TALLER RETIRADOS'!CX87+'TALLER RETIRADOS'!DC87</f>
        <v>307.16044422110554</v>
      </c>
      <c r="I113" s="32">
        <v>0</v>
      </c>
      <c r="J113" s="32"/>
      <c r="K113" s="33"/>
      <c r="L113" s="34">
        <f t="shared" si="89"/>
        <v>581.37141105527644</v>
      </c>
      <c r="M113" s="35">
        <f t="shared" si="102"/>
        <v>37.933</v>
      </c>
      <c r="N113" s="36">
        <f t="shared" si="103"/>
        <v>543.43841105527645</v>
      </c>
      <c r="O113" s="37">
        <f t="shared" si="104"/>
        <v>33.450000000000003</v>
      </c>
      <c r="P113" s="37">
        <f t="shared" si="105"/>
        <v>33.33</v>
      </c>
      <c r="Q113" s="33">
        <f t="shared" si="106"/>
        <v>66.78</v>
      </c>
      <c r="R113" s="38">
        <f>33.45/30*E113</f>
        <v>33.450083331464917</v>
      </c>
      <c r="S113" s="39"/>
      <c r="T113" s="35"/>
      <c r="U113" s="40">
        <f t="shared" si="107"/>
        <v>643.66849438674137</v>
      </c>
      <c r="V113" s="39">
        <v>643.66849438674137</v>
      </c>
      <c r="W113" s="35"/>
      <c r="X113" s="42"/>
      <c r="Y113" s="43"/>
      <c r="Z113" s="44"/>
      <c r="AA113" s="40">
        <f t="shared" si="108"/>
        <v>643.66849438674137</v>
      </c>
      <c r="AB113" s="36">
        <f t="shared" si="109"/>
        <v>0</v>
      </c>
      <c r="AC113" s="288"/>
      <c r="AD113" s="78"/>
      <c r="AE113" s="67"/>
      <c r="AF113" s="46">
        <f t="shared" si="110"/>
        <v>0</v>
      </c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</row>
    <row r="114" spans="1:157" ht="18" customHeight="1" x14ac:dyDescent="0.25">
      <c r="A114" s="27">
        <f t="shared" si="115"/>
        <v>106</v>
      </c>
      <c r="B114" s="28" t="s">
        <v>71</v>
      </c>
      <c r="C114" s="29">
        <f t="shared" si="86"/>
        <v>401.41</v>
      </c>
      <c r="D114" s="30">
        <f t="shared" si="100"/>
        <v>138.15857286432157</v>
      </c>
      <c r="E114" s="31">
        <f t="shared" si="101"/>
        <v>30.000074736739837</v>
      </c>
      <c r="F114" s="32">
        <f>+'TALLER RETIRADOS'!BF88</f>
        <v>264.84854673366834</v>
      </c>
      <c r="G114" s="32">
        <v>0</v>
      </c>
      <c r="H114" s="32">
        <f>'TALLER RETIRADOS'!CX88+'TALLER RETIRADOS'!DC88</f>
        <v>274.72002613065325</v>
      </c>
      <c r="I114" s="32">
        <v>0</v>
      </c>
      <c r="J114" s="32"/>
      <c r="K114" s="33"/>
      <c r="L114" s="34">
        <f t="shared" si="89"/>
        <v>539.5685728643216</v>
      </c>
      <c r="M114" s="35">
        <f t="shared" si="102"/>
        <v>37.933</v>
      </c>
      <c r="N114" s="36">
        <f t="shared" si="103"/>
        <v>501.6355728643216</v>
      </c>
      <c r="O114" s="37">
        <f t="shared" si="104"/>
        <v>33.450000000000003</v>
      </c>
      <c r="P114" s="37">
        <f t="shared" si="105"/>
        <v>33.33</v>
      </c>
      <c r="Q114" s="33">
        <f t="shared" si="106"/>
        <v>66.78</v>
      </c>
      <c r="R114" s="1036"/>
      <c r="S114" s="39"/>
      <c r="T114" s="35"/>
      <c r="U114" s="40">
        <f t="shared" si="107"/>
        <v>568.41557286432158</v>
      </c>
      <c r="V114" s="39">
        <v>568.41557286432158</v>
      </c>
      <c r="W114" s="35"/>
      <c r="X114" s="81"/>
      <c r="Y114" s="43"/>
      <c r="Z114" s="277"/>
      <c r="AA114" s="40">
        <f t="shared" si="108"/>
        <v>568.41557286432158</v>
      </c>
      <c r="AB114" s="36">
        <f t="shared" si="109"/>
        <v>0</v>
      </c>
      <c r="AC114" s="288"/>
      <c r="AD114" s="79"/>
      <c r="AE114" s="67"/>
      <c r="AF114" s="46">
        <f t="shared" si="110"/>
        <v>0</v>
      </c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</row>
    <row r="115" spans="1:157" ht="18" customHeight="1" x14ac:dyDescent="0.25">
      <c r="A115" s="27">
        <f t="shared" si="115"/>
        <v>107</v>
      </c>
      <c r="B115" s="28" t="s">
        <v>69</v>
      </c>
      <c r="C115" s="29">
        <f t="shared" si="86"/>
        <v>401.41</v>
      </c>
      <c r="D115" s="30">
        <f t="shared" si="100"/>
        <v>89.915358793969858</v>
      </c>
      <c r="E115" s="31">
        <f t="shared" si="101"/>
        <v>30.000074736739837</v>
      </c>
      <c r="F115" s="32">
        <f>+'TALLER RETIRADOS'!BF89</f>
        <v>261.72113366834174</v>
      </c>
      <c r="G115" s="32">
        <v>0</v>
      </c>
      <c r="H115" s="32">
        <f>'TALLER RETIRADOS'!CX89+'TALLER RETIRADOS'!DC89</f>
        <v>229.60422512562815</v>
      </c>
      <c r="I115" s="32">
        <v>0</v>
      </c>
      <c r="J115" s="32"/>
      <c r="K115" s="33"/>
      <c r="L115" s="34">
        <f t="shared" si="89"/>
        <v>491.32535879396988</v>
      </c>
      <c r="M115" s="35">
        <f t="shared" si="102"/>
        <v>37.933</v>
      </c>
      <c r="N115" s="36">
        <f t="shared" si="103"/>
        <v>453.39235879396989</v>
      </c>
      <c r="O115" s="37">
        <f t="shared" si="104"/>
        <v>33.450000000000003</v>
      </c>
      <c r="P115" s="37">
        <f t="shared" si="105"/>
        <v>33.33</v>
      </c>
      <c r="Q115" s="33">
        <f t="shared" si="106"/>
        <v>66.78</v>
      </c>
      <c r="R115" s="38">
        <f t="shared" ref="R115:R120" si="116">33.45/30*E115</f>
        <v>33.450083331464917</v>
      </c>
      <c r="S115" s="39"/>
      <c r="T115" s="35"/>
      <c r="U115" s="40">
        <f t="shared" si="107"/>
        <v>553.62244212543487</v>
      </c>
      <c r="V115" s="39">
        <v>541.25244212543487</v>
      </c>
      <c r="W115" s="35"/>
      <c r="X115" s="42"/>
      <c r="Y115" s="43"/>
      <c r="Z115" s="55">
        <v>12.37</v>
      </c>
      <c r="AA115" s="40">
        <f t="shared" si="108"/>
        <v>553.62244212543487</v>
      </c>
      <c r="AB115" s="36">
        <f t="shared" si="109"/>
        <v>0</v>
      </c>
      <c r="AC115" s="288"/>
      <c r="AD115" s="79"/>
      <c r="AE115" s="67"/>
      <c r="AF115" s="46">
        <f t="shared" si="110"/>
        <v>0</v>
      </c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</row>
    <row r="116" spans="1:157" ht="18" customHeight="1" x14ac:dyDescent="0.25">
      <c r="A116" s="27">
        <f t="shared" si="115"/>
        <v>108</v>
      </c>
      <c r="B116" s="28" t="s">
        <v>66</v>
      </c>
      <c r="C116" s="29">
        <f t="shared" si="86"/>
        <v>401.41</v>
      </c>
      <c r="D116" s="30">
        <f t="shared" si="100"/>
        <v>170.25985728643201</v>
      </c>
      <c r="E116" s="31">
        <f t="shared" si="101"/>
        <v>30.000074736739837</v>
      </c>
      <c r="F116" s="32">
        <f>+'TALLER RETIRADOS'!BF90</f>
        <v>289.12803216080397</v>
      </c>
      <c r="G116" s="32">
        <v>0</v>
      </c>
      <c r="H116" s="32">
        <f>'TALLER RETIRADOS'!CX90+'TALLER RETIRADOS'!DC90</f>
        <v>282.54182512562812</v>
      </c>
      <c r="I116" s="32">
        <v>0</v>
      </c>
      <c r="J116" s="32"/>
      <c r="K116" s="33"/>
      <c r="L116" s="34">
        <f t="shared" si="89"/>
        <v>571.66985728643203</v>
      </c>
      <c r="M116" s="35">
        <f t="shared" si="102"/>
        <v>37.933</v>
      </c>
      <c r="N116" s="36">
        <f t="shared" si="103"/>
        <v>533.73685728643204</v>
      </c>
      <c r="O116" s="37">
        <f t="shared" si="104"/>
        <v>33.450000000000003</v>
      </c>
      <c r="P116" s="37">
        <f t="shared" si="105"/>
        <v>33.33</v>
      </c>
      <c r="Q116" s="33">
        <f t="shared" si="106"/>
        <v>66.78</v>
      </c>
      <c r="R116" s="38">
        <f t="shared" si="116"/>
        <v>33.450083331464917</v>
      </c>
      <c r="S116" s="39"/>
      <c r="T116" s="35"/>
      <c r="U116" s="40">
        <f t="shared" si="107"/>
        <v>633.96694061789697</v>
      </c>
      <c r="V116" s="39">
        <v>592.08694061789697</v>
      </c>
      <c r="W116" s="35"/>
      <c r="X116" s="42"/>
      <c r="Y116" s="43"/>
      <c r="Z116" s="55">
        <v>41.88</v>
      </c>
      <c r="AA116" s="40">
        <f t="shared" si="108"/>
        <v>633.96694061789697</v>
      </c>
      <c r="AB116" s="36">
        <f t="shared" si="109"/>
        <v>0</v>
      </c>
      <c r="AC116" s="288"/>
      <c r="AD116" s="79"/>
      <c r="AE116" s="67"/>
      <c r="AF116" s="46">
        <f t="shared" si="110"/>
        <v>0</v>
      </c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</row>
    <row r="117" spans="1:157" ht="18" customHeight="1" x14ac:dyDescent="0.25">
      <c r="A117" s="27">
        <f t="shared" si="115"/>
        <v>109</v>
      </c>
      <c r="B117" s="28" t="s">
        <v>70</v>
      </c>
      <c r="C117" s="29">
        <f t="shared" si="86"/>
        <v>401.41</v>
      </c>
      <c r="D117" s="30">
        <f t="shared" si="100"/>
        <v>297.1235319798995</v>
      </c>
      <c r="E117" s="31">
        <f t="shared" si="101"/>
        <v>30.000074736739837</v>
      </c>
      <c r="F117" s="32">
        <f>+'TALLER RETIRADOS'!BF91</f>
        <v>461.37979931658293</v>
      </c>
      <c r="G117" s="32">
        <v>0</v>
      </c>
      <c r="H117" s="32">
        <f>'TALLER RETIRADOS'!CX91+'TALLER RETIRADOS'!DC91</f>
        <v>237.15373266331659</v>
      </c>
      <c r="I117" s="32">
        <v>0</v>
      </c>
      <c r="J117" s="32"/>
      <c r="K117" s="33"/>
      <c r="L117" s="34">
        <f t="shared" si="89"/>
        <v>698.53353197989952</v>
      </c>
      <c r="M117" s="35">
        <f t="shared" si="102"/>
        <v>37.933</v>
      </c>
      <c r="N117" s="36">
        <f t="shared" si="103"/>
        <v>660.60053197989953</v>
      </c>
      <c r="O117" s="37">
        <f t="shared" si="104"/>
        <v>33.450000000000003</v>
      </c>
      <c r="P117" s="37">
        <f t="shared" si="105"/>
        <v>33.33</v>
      </c>
      <c r="Q117" s="33">
        <f t="shared" si="106"/>
        <v>66.78</v>
      </c>
      <c r="R117" s="38">
        <f t="shared" si="116"/>
        <v>33.450083331464917</v>
      </c>
      <c r="S117" s="39"/>
      <c r="T117" s="35"/>
      <c r="U117" s="40">
        <f t="shared" si="107"/>
        <v>760.83061531136445</v>
      </c>
      <c r="V117" s="39">
        <v>760.83061531136445</v>
      </c>
      <c r="W117" s="35"/>
      <c r="X117" s="42"/>
      <c r="Y117" s="43"/>
      <c r="Z117" s="58"/>
      <c r="AA117" s="40">
        <f t="shared" si="108"/>
        <v>760.83061531136445</v>
      </c>
      <c r="AB117" s="36">
        <f t="shared" si="109"/>
        <v>0</v>
      </c>
      <c r="AC117" s="288"/>
      <c r="AD117" s="79"/>
      <c r="AE117" s="68"/>
      <c r="AF117" s="46">
        <f t="shared" si="110"/>
        <v>0</v>
      </c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</row>
    <row r="118" spans="1:157" ht="18" customHeight="1" x14ac:dyDescent="0.25">
      <c r="A118" s="27">
        <f t="shared" si="115"/>
        <v>110</v>
      </c>
      <c r="B118" s="28" t="s">
        <v>57</v>
      </c>
      <c r="C118" s="29">
        <f t="shared" si="86"/>
        <v>401.41</v>
      </c>
      <c r="D118" s="30">
        <f t="shared" si="100"/>
        <v>145.89638391959812</v>
      </c>
      <c r="E118" s="31">
        <f t="shared" si="101"/>
        <v>30.000074736739837</v>
      </c>
      <c r="F118" s="32">
        <f>+'TALLER RETIRADOS'!BF92</f>
        <v>321.0952040201006</v>
      </c>
      <c r="G118" s="32">
        <v>0</v>
      </c>
      <c r="H118" s="32">
        <f>'TALLER RETIRADOS'!CX92+'TALLER RETIRADOS'!DC92</f>
        <v>226.21117989949749</v>
      </c>
      <c r="I118" s="32">
        <v>0</v>
      </c>
      <c r="J118" s="32"/>
      <c r="K118" s="33"/>
      <c r="L118" s="34">
        <f t="shared" si="89"/>
        <v>547.30638391959815</v>
      </c>
      <c r="M118" s="35">
        <f t="shared" si="102"/>
        <v>37.933</v>
      </c>
      <c r="N118" s="36">
        <f t="shared" si="103"/>
        <v>509.37338391959815</v>
      </c>
      <c r="O118" s="37">
        <f t="shared" si="104"/>
        <v>33.450000000000003</v>
      </c>
      <c r="P118" s="37">
        <f t="shared" si="105"/>
        <v>33.33</v>
      </c>
      <c r="Q118" s="33">
        <f t="shared" si="106"/>
        <v>66.78</v>
      </c>
      <c r="R118" s="38">
        <f t="shared" si="116"/>
        <v>33.450083331464917</v>
      </c>
      <c r="S118" s="39"/>
      <c r="T118" s="35"/>
      <c r="U118" s="40">
        <f t="shared" ref="U118:U124" si="117">N118+Q118+R118+S118+T118</f>
        <v>609.60346725106308</v>
      </c>
      <c r="V118" s="39">
        <v>609.60346725106308</v>
      </c>
      <c r="W118" s="35"/>
      <c r="X118" s="42"/>
      <c r="Y118" s="43"/>
      <c r="Z118" s="55"/>
      <c r="AA118" s="40">
        <f t="shared" si="108"/>
        <v>609.60346725106308</v>
      </c>
      <c r="AB118" s="36">
        <f t="shared" si="109"/>
        <v>0</v>
      </c>
      <c r="AC118" s="288"/>
      <c r="AD118" s="79"/>
      <c r="AE118" s="67"/>
      <c r="AF118" s="46">
        <f t="shared" si="110"/>
        <v>0</v>
      </c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</row>
    <row r="119" spans="1:157" ht="18" customHeight="1" x14ac:dyDescent="0.25">
      <c r="A119" s="27">
        <f t="shared" si="115"/>
        <v>111</v>
      </c>
      <c r="B119" s="48" t="s">
        <v>121</v>
      </c>
      <c r="C119" s="29">
        <f t="shared" si="86"/>
        <v>401.41</v>
      </c>
      <c r="D119" s="30">
        <f t="shared" si="100"/>
        <v>69.173224120602981</v>
      </c>
      <c r="E119" s="31">
        <f t="shared" si="101"/>
        <v>30.000074736739837</v>
      </c>
      <c r="F119" s="32">
        <f>+'TALLER RETIRADOS'!BF93</f>
        <v>270.85091859296483</v>
      </c>
      <c r="G119" s="32">
        <v>0</v>
      </c>
      <c r="H119" s="32">
        <f>'TALLER RETIRADOS'!CX93+'TALLER RETIRADOS'!DC93</f>
        <v>199.73230552763818</v>
      </c>
      <c r="I119" s="32">
        <v>0</v>
      </c>
      <c r="J119" s="32"/>
      <c r="K119" s="33"/>
      <c r="L119" s="34">
        <f t="shared" si="89"/>
        <v>470.58322412060301</v>
      </c>
      <c r="M119" s="35">
        <f t="shared" si="102"/>
        <v>37.933</v>
      </c>
      <c r="N119" s="36">
        <f t="shared" si="103"/>
        <v>432.65022412060301</v>
      </c>
      <c r="O119" s="37">
        <f t="shared" si="104"/>
        <v>33.450000000000003</v>
      </c>
      <c r="P119" s="37">
        <f t="shared" si="105"/>
        <v>33.33</v>
      </c>
      <c r="Q119" s="33">
        <f t="shared" si="106"/>
        <v>66.78</v>
      </c>
      <c r="R119" s="38">
        <f t="shared" si="116"/>
        <v>33.450083331464917</v>
      </c>
      <c r="S119" s="39"/>
      <c r="T119" s="35"/>
      <c r="U119" s="40">
        <f t="shared" si="117"/>
        <v>532.880307452068</v>
      </c>
      <c r="V119" s="39">
        <v>532.880307452068</v>
      </c>
      <c r="W119" s="35"/>
      <c r="X119" s="42"/>
      <c r="Y119" s="43"/>
      <c r="Z119" s="55"/>
      <c r="AA119" s="40">
        <f t="shared" si="108"/>
        <v>532.880307452068</v>
      </c>
      <c r="AB119" s="36">
        <f t="shared" si="109"/>
        <v>0</v>
      </c>
      <c r="AC119" s="288"/>
      <c r="AD119" s="79"/>
      <c r="AE119" s="67"/>
      <c r="AF119" s="46">
        <f t="shared" si="110"/>
        <v>0</v>
      </c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</row>
    <row r="120" spans="1:157" ht="18" customHeight="1" x14ac:dyDescent="0.25">
      <c r="A120" s="27">
        <f t="shared" si="115"/>
        <v>112</v>
      </c>
      <c r="B120" s="28" t="s">
        <v>80</v>
      </c>
      <c r="C120" s="29">
        <f t="shared" si="86"/>
        <v>401.41</v>
      </c>
      <c r="D120" s="30">
        <f t="shared" si="100"/>
        <v>194.07866934673376</v>
      </c>
      <c r="E120" s="31">
        <f t="shared" si="101"/>
        <v>30.000074736739837</v>
      </c>
      <c r="F120" s="32">
        <f>+'TALLER RETIRADOS'!BF94</f>
        <v>321.94174874371862</v>
      </c>
      <c r="G120" s="32">
        <v>0</v>
      </c>
      <c r="H120" s="32">
        <f>'TALLER RETIRADOS'!CX94+'TALLER RETIRADOS'!DC94</f>
        <v>273.54692060301511</v>
      </c>
      <c r="I120" s="32">
        <v>0</v>
      </c>
      <c r="J120" s="32"/>
      <c r="K120" s="33"/>
      <c r="L120" s="34">
        <f t="shared" si="89"/>
        <v>595.48866934673379</v>
      </c>
      <c r="M120" s="35">
        <f t="shared" si="102"/>
        <v>37.933</v>
      </c>
      <c r="N120" s="36">
        <f t="shared" si="103"/>
        <v>557.55566934673379</v>
      </c>
      <c r="O120" s="37">
        <f t="shared" si="104"/>
        <v>33.450000000000003</v>
      </c>
      <c r="P120" s="37">
        <f t="shared" si="105"/>
        <v>33.33</v>
      </c>
      <c r="Q120" s="33">
        <f t="shared" si="106"/>
        <v>66.78</v>
      </c>
      <c r="R120" s="38">
        <f t="shared" si="116"/>
        <v>33.450083331464917</v>
      </c>
      <c r="S120" s="39"/>
      <c r="T120" s="35"/>
      <c r="U120" s="40">
        <f t="shared" si="117"/>
        <v>657.78575267819872</v>
      </c>
      <c r="V120" s="39">
        <v>657.78575267819872</v>
      </c>
      <c r="W120" s="35"/>
      <c r="X120" s="42"/>
      <c r="Y120" s="43"/>
      <c r="Z120" s="44"/>
      <c r="AA120" s="40">
        <f t="shared" si="108"/>
        <v>657.78575267819872</v>
      </c>
      <c r="AB120" s="36">
        <f t="shared" si="109"/>
        <v>0</v>
      </c>
      <c r="AC120" s="288"/>
      <c r="AD120" s="79"/>
      <c r="AE120" s="68"/>
      <c r="AF120" s="46">
        <f t="shared" si="110"/>
        <v>0</v>
      </c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</row>
    <row r="121" spans="1:157" ht="18" customHeight="1" x14ac:dyDescent="0.25">
      <c r="A121" s="27">
        <f t="shared" si="115"/>
        <v>113</v>
      </c>
      <c r="B121" s="28" t="s">
        <v>260</v>
      </c>
      <c r="C121" s="29">
        <f t="shared" si="86"/>
        <v>401.41</v>
      </c>
      <c r="D121" s="30">
        <f t="shared" si="100"/>
        <v>344.20419296482424</v>
      </c>
      <c r="E121" s="31">
        <f t="shared" si="101"/>
        <v>30.000074736739837</v>
      </c>
      <c r="F121" s="32">
        <f>+'TALLER RETIRADOS'!BF95</f>
        <v>409.37855678391963</v>
      </c>
      <c r="G121" s="32">
        <v>0</v>
      </c>
      <c r="H121" s="32">
        <f>'TALLER RETIRADOS'!CX95+'TALLER RETIRADOS'!DC95</f>
        <v>336.23563618090458</v>
      </c>
      <c r="I121" s="32">
        <v>0</v>
      </c>
      <c r="J121" s="32"/>
      <c r="K121" s="33"/>
      <c r="L121" s="34">
        <f t="shared" si="89"/>
        <v>745.61419296482427</v>
      </c>
      <c r="M121" s="35">
        <f t="shared" si="102"/>
        <v>37.933</v>
      </c>
      <c r="N121" s="36">
        <f t="shared" si="103"/>
        <v>707.68119296482428</v>
      </c>
      <c r="O121" s="37">
        <f t="shared" si="104"/>
        <v>33.450000000000003</v>
      </c>
      <c r="P121" s="37">
        <f t="shared" si="105"/>
        <v>33.33</v>
      </c>
      <c r="Q121" s="33">
        <f t="shared" si="106"/>
        <v>66.78</v>
      </c>
      <c r="R121" s="1036"/>
      <c r="S121" s="39"/>
      <c r="T121" s="35"/>
      <c r="U121" s="40">
        <f t="shared" si="117"/>
        <v>774.46119296482425</v>
      </c>
      <c r="V121" s="39">
        <v>774.46119296482425</v>
      </c>
      <c r="W121" s="35"/>
      <c r="X121" s="42"/>
      <c r="Y121" s="43"/>
      <c r="Z121" s="55"/>
      <c r="AA121" s="40">
        <f t="shared" si="108"/>
        <v>774.46119296482425</v>
      </c>
      <c r="AB121" s="36">
        <f t="shared" si="109"/>
        <v>0</v>
      </c>
      <c r="AC121" s="288"/>
      <c r="AD121" s="79"/>
      <c r="AE121" s="67"/>
      <c r="AF121" s="46">
        <f t="shared" si="110"/>
        <v>0</v>
      </c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</row>
    <row r="122" spans="1:157" ht="18" customHeight="1" x14ac:dyDescent="0.25">
      <c r="A122" s="27">
        <f t="shared" si="115"/>
        <v>114</v>
      </c>
      <c r="B122" s="28" t="s">
        <v>78</v>
      </c>
      <c r="C122" s="29">
        <f t="shared" si="86"/>
        <v>401.41</v>
      </c>
      <c r="D122" s="30">
        <f t="shared" si="100"/>
        <v>322.56635883417079</v>
      </c>
      <c r="E122" s="31">
        <f t="shared" si="101"/>
        <v>30.000074736739837</v>
      </c>
      <c r="F122" s="32">
        <f>+'TALLER RETIRADOS'!BF96</f>
        <v>476.2032593366834</v>
      </c>
      <c r="G122" s="32">
        <v>0</v>
      </c>
      <c r="H122" s="32">
        <f>'TALLER RETIRADOS'!CX96+'TALLER RETIRADOS'!DC96</f>
        <v>247.77309949748744</v>
      </c>
      <c r="I122" s="32">
        <v>0</v>
      </c>
      <c r="J122" s="32"/>
      <c r="K122" s="33"/>
      <c r="L122" s="34">
        <f t="shared" si="89"/>
        <v>723.97635883417081</v>
      </c>
      <c r="M122" s="35">
        <f t="shared" si="102"/>
        <v>37.933</v>
      </c>
      <c r="N122" s="36">
        <f t="shared" si="103"/>
        <v>686.04335883417082</v>
      </c>
      <c r="O122" s="37">
        <f t="shared" si="104"/>
        <v>33.450000000000003</v>
      </c>
      <c r="P122" s="37">
        <f t="shared" si="105"/>
        <v>33.33</v>
      </c>
      <c r="Q122" s="33">
        <f t="shared" si="106"/>
        <v>66.78</v>
      </c>
      <c r="R122" s="38">
        <f>33.45/30*E122</f>
        <v>33.450083331464917</v>
      </c>
      <c r="S122" s="39"/>
      <c r="T122" s="35"/>
      <c r="U122" s="40">
        <f t="shared" si="117"/>
        <v>786.27344216563574</v>
      </c>
      <c r="V122" s="39">
        <v>589.91344216563573</v>
      </c>
      <c r="W122" s="35"/>
      <c r="X122" s="42"/>
      <c r="Y122" s="43"/>
      <c r="Z122" s="55">
        <v>196.36</v>
      </c>
      <c r="AA122" s="40">
        <f t="shared" si="108"/>
        <v>786.27344216563574</v>
      </c>
      <c r="AB122" s="36">
        <f t="shared" si="109"/>
        <v>0</v>
      </c>
      <c r="AC122" s="288"/>
      <c r="AD122" s="79"/>
      <c r="AE122" s="68"/>
      <c r="AF122" s="46">
        <f t="shared" si="110"/>
        <v>0</v>
      </c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</row>
    <row r="123" spans="1:157" ht="18" customHeight="1" x14ac:dyDescent="0.25">
      <c r="A123" s="27">
        <f t="shared" si="115"/>
        <v>115</v>
      </c>
      <c r="B123" s="48" t="s">
        <v>105</v>
      </c>
      <c r="C123" s="29">
        <f t="shared" si="86"/>
        <v>401.41</v>
      </c>
      <c r="D123" s="30">
        <f t="shared" si="100"/>
        <v>74.827067336683342</v>
      </c>
      <c r="E123" s="31">
        <f t="shared" si="101"/>
        <v>30.000074736739837</v>
      </c>
      <c r="F123" s="32">
        <f>+'TALLER RETIRADOS'!BF97</f>
        <v>286.66474773869345</v>
      </c>
      <c r="G123" s="32">
        <v>0</v>
      </c>
      <c r="H123" s="32">
        <f>'TALLER RETIRADOS'!CX97+'TALLER RETIRADOS'!DC97</f>
        <v>189.57231959798992</v>
      </c>
      <c r="I123" s="32">
        <v>0</v>
      </c>
      <c r="J123" s="32"/>
      <c r="K123" s="33"/>
      <c r="L123" s="34">
        <f t="shared" si="89"/>
        <v>476.23706733668337</v>
      </c>
      <c r="M123" s="35">
        <f t="shared" si="102"/>
        <v>37.933</v>
      </c>
      <c r="N123" s="36">
        <f t="shared" si="103"/>
        <v>438.30406733668337</v>
      </c>
      <c r="O123" s="37">
        <f t="shared" si="104"/>
        <v>33.450000000000003</v>
      </c>
      <c r="P123" s="37">
        <f t="shared" si="105"/>
        <v>33.33</v>
      </c>
      <c r="Q123" s="33">
        <f t="shared" si="106"/>
        <v>66.78</v>
      </c>
      <c r="R123" s="38">
        <f>33.45/30*E123</f>
        <v>33.450083331464917</v>
      </c>
      <c r="S123" s="39"/>
      <c r="T123" s="35"/>
      <c r="U123" s="40">
        <f t="shared" si="117"/>
        <v>538.5341506681483</v>
      </c>
      <c r="V123" s="39">
        <v>538.5341506681483</v>
      </c>
      <c r="W123" s="35"/>
      <c r="X123" s="42"/>
      <c r="Y123" s="43"/>
      <c r="Z123" s="55"/>
      <c r="AA123" s="40">
        <f t="shared" si="108"/>
        <v>538.5341506681483</v>
      </c>
      <c r="AB123" s="36">
        <f t="shared" si="109"/>
        <v>0</v>
      </c>
      <c r="AC123" s="288"/>
      <c r="AD123" s="79"/>
      <c r="AE123" s="67"/>
      <c r="AF123" s="46">
        <f t="shared" si="110"/>
        <v>0</v>
      </c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</row>
    <row r="124" spans="1:157" ht="18" customHeight="1" x14ac:dyDescent="0.25">
      <c r="A124" s="27">
        <f t="shared" si="115"/>
        <v>116</v>
      </c>
      <c r="B124" s="28" t="s">
        <v>63</v>
      </c>
      <c r="C124" s="29">
        <f t="shared" si="86"/>
        <v>401.41</v>
      </c>
      <c r="D124" s="30">
        <f t="shared" si="100"/>
        <v>60.486743718592948</v>
      </c>
      <c r="E124" s="31">
        <f t="shared" si="101"/>
        <v>30.000074736739837</v>
      </c>
      <c r="F124" s="32">
        <f>+'TALLER RETIRADOS'!BF98</f>
        <v>200</v>
      </c>
      <c r="G124" s="32">
        <v>0</v>
      </c>
      <c r="H124" s="32">
        <f>'TALLER RETIRADOS'!CX98+'TALLER RETIRADOS'!DC98</f>
        <v>241.82674371859298</v>
      </c>
      <c r="I124" s="32">
        <v>0</v>
      </c>
      <c r="J124" s="32">
        <f>13.38*3*50%</f>
        <v>20.07</v>
      </c>
      <c r="K124" s="33"/>
      <c r="L124" s="34">
        <f t="shared" si="89"/>
        <v>461.89674371859297</v>
      </c>
      <c r="M124" s="35">
        <f t="shared" si="102"/>
        <v>37.933</v>
      </c>
      <c r="N124" s="36">
        <f t="shared" si="103"/>
        <v>423.96374371859298</v>
      </c>
      <c r="O124" s="37">
        <f t="shared" si="104"/>
        <v>33.450000000000003</v>
      </c>
      <c r="P124" s="37">
        <f t="shared" si="105"/>
        <v>33.33</v>
      </c>
      <c r="Q124" s="33">
        <f t="shared" si="106"/>
        <v>66.78</v>
      </c>
      <c r="R124" s="38">
        <f>33.45/30*E124</f>
        <v>33.450083331464917</v>
      </c>
      <c r="S124" s="39"/>
      <c r="T124" s="35"/>
      <c r="U124" s="40">
        <f t="shared" si="117"/>
        <v>524.19382705005796</v>
      </c>
      <c r="V124" s="39">
        <v>524.19382705005796</v>
      </c>
      <c r="W124" s="35"/>
      <c r="X124" s="42"/>
      <c r="Y124" s="43"/>
      <c r="Z124" s="55"/>
      <c r="AA124" s="40">
        <f t="shared" si="108"/>
        <v>524.19382705005796</v>
      </c>
      <c r="AB124" s="36">
        <f t="shared" si="109"/>
        <v>0</v>
      </c>
      <c r="AC124" s="288"/>
      <c r="AD124" s="79"/>
      <c r="AE124" s="67"/>
      <c r="AF124" s="46">
        <f t="shared" si="110"/>
        <v>0</v>
      </c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</row>
    <row r="125" spans="1:157" ht="18" customHeight="1" x14ac:dyDescent="0.25">
      <c r="A125" s="7" t="s">
        <v>137</v>
      </c>
      <c r="B125" s="70"/>
      <c r="C125" s="29"/>
      <c r="D125" s="30"/>
      <c r="E125" s="86"/>
      <c r="F125" s="32"/>
      <c r="G125" s="74"/>
      <c r="H125" s="74"/>
      <c r="I125" s="74"/>
      <c r="J125" s="74"/>
      <c r="K125" s="74"/>
      <c r="L125" s="34"/>
      <c r="M125" s="74"/>
      <c r="N125" s="74"/>
      <c r="O125" s="74"/>
      <c r="P125" s="74"/>
      <c r="Q125" s="74"/>
      <c r="R125" s="74"/>
      <c r="S125" s="74"/>
      <c r="T125" s="74"/>
      <c r="U125" s="74"/>
      <c r="V125" s="39"/>
      <c r="W125" s="74"/>
      <c r="X125" s="74"/>
      <c r="Y125" s="74"/>
      <c r="Z125" s="74"/>
      <c r="AA125" s="40"/>
      <c r="AB125" s="36"/>
      <c r="AC125" s="45"/>
      <c r="AD125" s="78"/>
      <c r="AE125" s="67"/>
      <c r="AF125" s="46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</row>
    <row r="126" spans="1:157" ht="18" customHeight="1" x14ac:dyDescent="0.25">
      <c r="A126" s="27">
        <f>A124+1</f>
        <v>117</v>
      </c>
      <c r="B126" s="28" t="s">
        <v>144</v>
      </c>
      <c r="C126" s="29">
        <f t="shared" ref="C126:C154" si="118">IF(L126&gt;=401.41,401.41,IF(L126&lt;401.41,L126))</f>
        <v>401.41</v>
      </c>
      <c r="D126" s="30">
        <f t="shared" ref="D126:D154" si="119">+L126-C126</f>
        <v>432.12796044221096</v>
      </c>
      <c r="E126" s="31">
        <f t="shared" ref="E126:E133" si="120">+C126/13.3803</f>
        <v>30.000074736739837</v>
      </c>
      <c r="F126" s="32">
        <f>+'TALLER ACTIVOS'!BF76</f>
        <v>507.5352165226131</v>
      </c>
      <c r="G126" s="32">
        <v>0</v>
      </c>
      <c r="H126" s="32">
        <f>+'TALLER ACTIVOS'!CX76</f>
        <v>326.00274391959795</v>
      </c>
      <c r="I126" s="32">
        <v>0</v>
      </c>
      <c r="J126" s="32"/>
      <c r="K126" s="33"/>
      <c r="L126" s="34">
        <f t="shared" ref="L126:L151" si="121">+F126+G126+H126+I126+K126+J126</f>
        <v>833.53796044221099</v>
      </c>
      <c r="M126" s="35">
        <f t="shared" ref="M126:M133" si="122">IF(L126&gt;=401.41,37.933,IF(L126&lt;401.41,L126*9.45%))</f>
        <v>37.933</v>
      </c>
      <c r="N126" s="36">
        <f t="shared" ref="N126:N133" si="123">+L126-M126</f>
        <v>795.604960442211</v>
      </c>
      <c r="O126" s="270"/>
      <c r="P126" s="1036"/>
      <c r="Q126" s="33">
        <f>+O126+P126</f>
        <v>0</v>
      </c>
      <c r="R126" s="38">
        <f>33.45/30*E126</f>
        <v>33.450083331464917</v>
      </c>
      <c r="S126" s="39"/>
      <c r="T126" s="35"/>
      <c r="U126" s="40">
        <f t="shared" ref="U126:U133" si="124">N126+Q126+R126+S126+T126</f>
        <v>829.05504377367595</v>
      </c>
      <c r="V126" s="39"/>
      <c r="W126" s="35"/>
      <c r="X126" s="42"/>
      <c r="Y126" s="43"/>
      <c r="Z126" s="55">
        <v>169.81</v>
      </c>
      <c r="AA126" s="40">
        <f t="shared" ref="AA126:AA143" si="125">+W126+V126+X126+Y126+Z126</f>
        <v>169.81</v>
      </c>
      <c r="AB126" s="36">
        <f t="shared" ref="AB126:AB134" si="126">+U126-AA126</f>
        <v>659.24504377367589</v>
      </c>
      <c r="AC126" s="288"/>
      <c r="AD126" s="84"/>
      <c r="AE126" s="68"/>
      <c r="AF126" s="46">
        <f t="shared" ref="AF126:AF159" si="127">+AB126-AC126-AD126-AE126</f>
        <v>659.24504377367589</v>
      </c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</row>
    <row r="127" spans="1:157" ht="18" customHeight="1" x14ac:dyDescent="0.25">
      <c r="A127" s="7" t="s">
        <v>147</v>
      </c>
      <c r="B127" s="70"/>
      <c r="C127" s="29"/>
      <c r="D127" s="30"/>
      <c r="E127" s="31"/>
      <c r="F127" s="32"/>
      <c r="G127" s="74"/>
      <c r="H127" s="74"/>
      <c r="I127" s="74"/>
      <c r="J127" s="74"/>
      <c r="K127" s="74"/>
      <c r="L127" s="3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40"/>
      <c r="AB127" s="36"/>
      <c r="AC127" s="288"/>
      <c r="AD127" s="78"/>
      <c r="AE127" s="67"/>
      <c r="AF127" s="46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</row>
    <row r="128" spans="1:157" ht="18" customHeight="1" x14ac:dyDescent="0.25">
      <c r="A128" s="27">
        <f>A126+1</f>
        <v>118</v>
      </c>
      <c r="B128" s="28" t="s">
        <v>149</v>
      </c>
      <c r="C128" s="29">
        <f t="shared" si="118"/>
        <v>401.41</v>
      </c>
      <c r="D128" s="30">
        <f t="shared" si="119"/>
        <v>118.58999999999997</v>
      </c>
      <c r="E128" s="31">
        <f t="shared" si="120"/>
        <v>30.000074736739837</v>
      </c>
      <c r="F128" s="32">
        <f>+'TALLER ACTIVOS'!BF80</f>
        <v>324.99999999999994</v>
      </c>
      <c r="G128" s="32">
        <v>0</v>
      </c>
      <c r="H128" s="32">
        <f>+'TALLER ACTIVOS'!CX80</f>
        <v>195</v>
      </c>
      <c r="I128" s="32">
        <v>0</v>
      </c>
      <c r="J128" s="32"/>
      <c r="K128" s="65"/>
      <c r="L128" s="34">
        <f t="shared" si="121"/>
        <v>520</v>
      </c>
      <c r="M128" s="35">
        <f t="shared" si="122"/>
        <v>37.933</v>
      </c>
      <c r="N128" s="36">
        <f t="shared" si="123"/>
        <v>482.06700000000001</v>
      </c>
      <c r="O128" s="37">
        <f t="shared" ref="O128:O133" si="128">IF(E128&gt;=30,33.45,IF(E128&lt;30,E128*1.115))</f>
        <v>33.450000000000003</v>
      </c>
      <c r="P128" s="37">
        <f t="shared" ref="P128:P133" si="129">IF(E128&gt;=30,33.33,IF(E128&lt;30,E128*1.111))</f>
        <v>33.33</v>
      </c>
      <c r="Q128" s="33">
        <f t="shared" ref="Q128:Q133" si="130">+O128+P128</f>
        <v>66.78</v>
      </c>
      <c r="R128" s="38">
        <f t="shared" ref="R128:R140" si="131">33.45/30*E128</f>
        <v>33.450083331464917</v>
      </c>
      <c r="S128" s="39"/>
      <c r="T128" s="35"/>
      <c r="U128" s="40">
        <f t="shared" si="124"/>
        <v>582.29708333146493</v>
      </c>
      <c r="V128" s="39"/>
      <c r="W128" s="35"/>
      <c r="X128" s="42"/>
      <c r="Y128" s="43"/>
      <c r="Z128" s="59"/>
      <c r="AA128" s="40">
        <f t="shared" si="125"/>
        <v>0</v>
      </c>
      <c r="AB128" s="36">
        <f t="shared" si="126"/>
        <v>582.29708333146493</v>
      </c>
      <c r="AC128" s="288"/>
      <c r="AD128" s="84"/>
      <c r="AE128" s="68"/>
      <c r="AF128" s="46">
        <f t="shared" si="127"/>
        <v>582.29708333146493</v>
      </c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</row>
    <row r="129" spans="1:157" ht="18" customHeight="1" x14ac:dyDescent="0.25">
      <c r="A129" s="27">
        <f>A128+1</f>
        <v>119</v>
      </c>
      <c r="B129" s="28" t="s">
        <v>154</v>
      </c>
      <c r="C129" s="29">
        <f t="shared" si="118"/>
        <v>373</v>
      </c>
      <c r="D129" s="30">
        <f t="shared" si="119"/>
        <v>0</v>
      </c>
      <c r="E129" s="31">
        <f t="shared" si="120"/>
        <v>27.876803958057742</v>
      </c>
      <c r="F129" s="32">
        <f>+'TALLER ACTIVOS'!BF81</f>
        <v>253</v>
      </c>
      <c r="G129" s="32">
        <v>0</v>
      </c>
      <c r="H129" s="32">
        <f>+'TALLER ACTIVOS'!CX81</f>
        <v>120</v>
      </c>
      <c r="I129" s="32">
        <v>0</v>
      </c>
      <c r="J129" s="32"/>
      <c r="K129" s="33"/>
      <c r="L129" s="34">
        <f t="shared" si="121"/>
        <v>373</v>
      </c>
      <c r="M129" s="35">
        <f t="shared" si="122"/>
        <v>35.248499999999993</v>
      </c>
      <c r="N129" s="36">
        <f t="shared" si="123"/>
        <v>337.75150000000002</v>
      </c>
      <c r="O129" s="37">
        <f t="shared" si="128"/>
        <v>31.082636413234383</v>
      </c>
      <c r="P129" s="37">
        <f t="shared" si="129"/>
        <v>30.971129197402153</v>
      </c>
      <c r="Q129" s="33">
        <f t="shared" si="130"/>
        <v>62.053765610636532</v>
      </c>
      <c r="R129" s="38">
        <f t="shared" si="131"/>
        <v>31.082636413234383</v>
      </c>
      <c r="S129" s="39"/>
      <c r="T129" s="35"/>
      <c r="U129" s="40">
        <f t="shared" si="124"/>
        <v>430.88790202387088</v>
      </c>
      <c r="V129" s="39"/>
      <c r="W129" s="35"/>
      <c r="X129" s="42"/>
      <c r="Y129" s="43"/>
      <c r="Z129" s="47"/>
      <c r="AA129" s="40">
        <f t="shared" si="125"/>
        <v>0</v>
      </c>
      <c r="AB129" s="36">
        <f t="shared" si="126"/>
        <v>430.88790202387088</v>
      </c>
      <c r="AC129" s="288"/>
      <c r="AD129" s="87"/>
      <c r="AE129" s="68"/>
      <c r="AF129" s="46">
        <f t="shared" si="127"/>
        <v>430.88790202387088</v>
      </c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</row>
    <row r="130" spans="1:157" ht="18" customHeight="1" x14ac:dyDescent="0.25">
      <c r="A130" s="27">
        <f t="shared" ref="A130:A133" si="132">A129+1</f>
        <v>120</v>
      </c>
      <c r="B130" s="48" t="s">
        <v>155</v>
      </c>
      <c r="C130" s="29">
        <f t="shared" si="118"/>
        <v>363</v>
      </c>
      <c r="D130" s="30">
        <f t="shared" si="119"/>
        <v>0</v>
      </c>
      <c r="E130" s="31">
        <f t="shared" si="120"/>
        <v>27.129436559718393</v>
      </c>
      <c r="F130" s="32">
        <f>+'TALLER ACTIVOS'!BF82</f>
        <v>223</v>
      </c>
      <c r="G130" s="32">
        <v>0</v>
      </c>
      <c r="H130" s="32">
        <f>+'TALLER ACTIVOS'!CX82</f>
        <v>140</v>
      </c>
      <c r="I130" s="32">
        <v>0</v>
      </c>
      <c r="J130" s="32"/>
      <c r="K130" s="33"/>
      <c r="L130" s="34">
        <f t="shared" si="121"/>
        <v>363</v>
      </c>
      <c r="M130" s="35">
        <f t="shared" si="122"/>
        <v>34.303499999999993</v>
      </c>
      <c r="N130" s="36">
        <f t="shared" si="123"/>
        <v>328.69650000000001</v>
      </c>
      <c r="O130" s="37">
        <f t="shared" si="128"/>
        <v>30.249321764086009</v>
      </c>
      <c r="P130" s="37">
        <f t="shared" si="129"/>
        <v>30.140804017847135</v>
      </c>
      <c r="Q130" s="33">
        <f t="shared" si="130"/>
        <v>60.390125781933143</v>
      </c>
      <c r="R130" s="38">
        <f t="shared" si="131"/>
        <v>30.249321764086009</v>
      </c>
      <c r="S130" s="39"/>
      <c r="T130" s="35"/>
      <c r="U130" s="40">
        <f t="shared" si="124"/>
        <v>419.33594754601916</v>
      </c>
      <c r="V130" s="39"/>
      <c r="W130" s="35"/>
      <c r="X130" s="42"/>
      <c r="Y130" s="43"/>
      <c r="Z130" s="47">
        <v>24.05</v>
      </c>
      <c r="AA130" s="40">
        <f t="shared" si="125"/>
        <v>24.05</v>
      </c>
      <c r="AB130" s="36">
        <f t="shared" si="126"/>
        <v>395.28594754601914</v>
      </c>
      <c r="AC130" s="288"/>
      <c r="AD130" s="87"/>
      <c r="AE130" s="88"/>
      <c r="AF130" s="46">
        <f t="shared" si="127"/>
        <v>395.28594754601914</v>
      </c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</row>
    <row r="131" spans="1:157" ht="18" customHeight="1" x14ac:dyDescent="0.25">
      <c r="A131" s="27">
        <f t="shared" si="132"/>
        <v>121</v>
      </c>
      <c r="B131" s="28" t="s">
        <v>157</v>
      </c>
      <c r="C131" s="29">
        <f t="shared" si="118"/>
        <v>401.41</v>
      </c>
      <c r="D131" s="30">
        <f t="shared" si="119"/>
        <v>11.589999999999975</v>
      </c>
      <c r="E131" s="31">
        <f t="shared" si="120"/>
        <v>30.000074736739837</v>
      </c>
      <c r="F131" s="32">
        <f>+'TALLER ACTIVOS'!BF83</f>
        <v>253</v>
      </c>
      <c r="G131" s="32">
        <v>0</v>
      </c>
      <c r="H131" s="32">
        <f>+'TALLER ACTIVOS'!CX83</f>
        <v>160</v>
      </c>
      <c r="I131" s="32">
        <v>0</v>
      </c>
      <c r="J131" s="32"/>
      <c r="K131" s="33"/>
      <c r="L131" s="34">
        <f t="shared" si="121"/>
        <v>413</v>
      </c>
      <c r="M131" s="35">
        <f t="shared" si="122"/>
        <v>37.933</v>
      </c>
      <c r="N131" s="36">
        <f t="shared" si="123"/>
        <v>375.06700000000001</v>
      </c>
      <c r="O131" s="37">
        <f t="shared" si="128"/>
        <v>33.450000000000003</v>
      </c>
      <c r="P131" s="37">
        <f t="shared" si="129"/>
        <v>33.33</v>
      </c>
      <c r="Q131" s="33">
        <f t="shared" si="130"/>
        <v>66.78</v>
      </c>
      <c r="R131" s="38">
        <f t="shared" si="131"/>
        <v>33.450083331464917</v>
      </c>
      <c r="S131" s="39"/>
      <c r="T131" s="35"/>
      <c r="U131" s="40">
        <f t="shared" si="124"/>
        <v>475.29708333146488</v>
      </c>
      <c r="V131" s="39"/>
      <c r="W131" s="35"/>
      <c r="X131" s="42"/>
      <c r="Y131" s="43"/>
      <c r="Z131" s="55"/>
      <c r="AA131" s="40">
        <f t="shared" si="125"/>
        <v>0</v>
      </c>
      <c r="AB131" s="36">
        <f t="shared" si="126"/>
        <v>475.29708333146488</v>
      </c>
      <c r="AC131" s="288"/>
      <c r="AD131" s="87"/>
      <c r="AE131" s="88"/>
      <c r="AF131" s="46">
        <f t="shared" si="127"/>
        <v>475.29708333146488</v>
      </c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</row>
    <row r="132" spans="1:157" ht="18" customHeight="1" x14ac:dyDescent="0.25">
      <c r="A132" s="27">
        <f t="shared" si="132"/>
        <v>122</v>
      </c>
      <c r="B132" s="28" t="s">
        <v>146</v>
      </c>
      <c r="C132" s="29">
        <f t="shared" si="118"/>
        <v>329.38</v>
      </c>
      <c r="D132" s="30">
        <f t="shared" si="119"/>
        <v>0</v>
      </c>
      <c r="E132" s="31">
        <f t="shared" si="120"/>
        <v>24.616787366501498</v>
      </c>
      <c r="F132" s="32">
        <f>+'TALLER ACTIVOS'!BF84</f>
        <v>208</v>
      </c>
      <c r="G132" s="32">
        <v>0</v>
      </c>
      <c r="H132" s="32">
        <f>+'TALLER ACTIVOS'!CX84</f>
        <v>108</v>
      </c>
      <c r="I132" s="32">
        <v>0</v>
      </c>
      <c r="J132" s="32">
        <f>13.38*2*50%</f>
        <v>13.38</v>
      </c>
      <c r="K132" s="33"/>
      <c r="L132" s="34">
        <f t="shared" si="121"/>
        <v>329.38</v>
      </c>
      <c r="M132" s="35">
        <f t="shared" si="122"/>
        <v>31.126409999999996</v>
      </c>
      <c r="N132" s="36">
        <f t="shared" si="123"/>
        <v>298.25358999999997</v>
      </c>
      <c r="O132" s="37">
        <f t="shared" si="128"/>
        <v>27.447717913649171</v>
      </c>
      <c r="P132" s="37">
        <f t="shared" si="129"/>
        <v>27.349250764183164</v>
      </c>
      <c r="Q132" s="33">
        <f t="shared" si="130"/>
        <v>54.796968677832339</v>
      </c>
      <c r="R132" s="38"/>
      <c r="S132" s="39"/>
      <c r="T132" s="35"/>
      <c r="U132" s="40">
        <f t="shared" si="124"/>
        <v>353.05055867783233</v>
      </c>
      <c r="V132" s="39"/>
      <c r="W132" s="35"/>
      <c r="X132" s="42"/>
      <c r="Y132" s="43"/>
      <c r="Z132" s="47"/>
      <c r="AA132" s="40">
        <f t="shared" si="125"/>
        <v>0</v>
      </c>
      <c r="AB132" s="36">
        <f t="shared" si="126"/>
        <v>353.05055867783233</v>
      </c>
      <c r="AC132" s="288"/>
      <c r="AD132" s="87"/>
      <c r="AE132" s="88"/>
      <c r="AF132" s="46">
        <f t="shared" si="127"/>
        <v>353.05055867783233</v>
      </c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</row>
    <row r="133" spans="1:157" ht="18" customHeight="1" x14ac:dyDescent="0.25">
      <c r="A133" s="27">
        <f t="shared" si="132"/>
        <v>123</v>
      </c>
      <c r="B133" s="28" t="s">
        <v>126</v>
      </c>
      <c r="C133" s="29">
        <f t="shared" si="118"/>
        <v>347.38</v>
      </c>
      <c r="D133" s="30">
        <f t="shared" si="119"/>
        <v>0</v>
      </c>
      <c r="E133" s="31">
        <f t="shared" si="120"/>
        <v>25.962048683512329</v>
      </c>
      <c r="F133" s="32">
        <f>+'TALLER ACTIVOS'!BF85</f>
        <v>208</v>
      </c>
      <c r="G133" s="32">
        <v>0</v>
      </c>
      <c r="H133" s="32">
        <f>+'TALLER ACTIVOS'!CX85</f>
        <v>126</v>
      </c>
      <c r="I133" s="32">
        <v>0</v>
      </c>
      <c r="J133" s="32">
        <f>13.38*2*50%</f>
        <v>13.38</v>
      </c>
      <c r="K133" s="33"/>
      <c r="L133" s="34">
        <f t="shared" si="121"/>
        <v>347.38</v>
      </c>
      <c r="M133" s="35">
        <f t="shared" si="122"/>
        <v>32.827409999999993</v>
      </c>
      <c r="N133" s="36">
        <f t="shared" si="123"/>
        <v>314.55259000000001</v>
      </c>
      <c r="O133" s="37">
        <f t="shared" si="128"/>
        <v>28.947684282116246</v>
      </c>
      <c r="P133" s="37">
        <f t="shared" si="129"/>
        <v>28.843836087382197</v>
      </c>
      <c r="Q133" s="33">
        <f t="shared" si="130"/>
        <v>57.791520369498443</v>
      </c>
      <c r="R133" s="38"/>
      <c r="S133" s="39"/>
      <c r="T133" s="35"/>
      <c r="U133" s="40">
        <f t="shared" si="124"/>
        <v>372.34411036949848</v>
      </c>
      <c r="V133" s="39"/>
      <c r="W133" s="35"/>
      <c r="X133" s="42"/>
      <c r="Y133" s="43"/>
      <c r="Z133" s="63"/>
      <c r="AA133" s="40">
        <f t="shared" si="125"/>
        <v>0</v>
      </c>
      <c r="AB133" s="36">
        <f t="shared" si="126"/>
        <v>372.34411036949848</v>
      </c>
      <c r="AC133" s="288"/>
      <c r="AD133" s="87"/>
      <c r="AE133" s="88"/>
      <c r="AF133" s="46">
        <f t="shared" si="127"/>
        <v>372.34411036949848</v>
      </c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</row>
    <row r="134" spans="1:157" ht="18" customHeight="1" x14ac:dyDescent="0.25">
      <c r="A134" s="1310" t="s">
        <v>477</v>
      </c>
      <c r="B134" s="1309"/>
      <c r="C134" s="29"/>
      <c r="D134" s="30"/>
      <c r="E134" s="31"/>
      <c r="F134" s="32"/>
      <c r="G134" s="32"/>
      <c r="H134" s="32"/>
      <c r="I134" s="32"/>
      <c r="J134" s="32"/>
      <c r="K134" s="33"/>
      <c r="L134" s="34"/>
      <c r="M134" s="35"/>
      <c r="N134" s="36"/>
      <c r="O134" s="37"/>
      <c r="P134" s="37"/>
      <c r="Q134" s="33"/>
      <c r="R134" s="38"/>
      <c r="S134" s="39"/>
      <c r="T134" s="35"/>
      <c r="U134" s="40"/>
      <c r="V134" s="39"/>
      <c r="W134" s="35"/>
      <c r="X134" s="42"/>
      <c r="Y134" s="43"/>
      <c r="Z134" s="47"/>
      <c r="AA134" s="40">
        <f t="shared" si="125"/>
        <v>0</v>
      </c>
      <c r="AB134" s="36">
        <f t="shared" si="126"/>
        <v>0</v>
      </c>
      <c r="AC134" s="288"/>
      <c r="AD134" s="87"/>
      <c r="AE134" s="88"/>
      <c r="AF134" s="46">
        <f t="shared" si="127"/>
        <v>0</v>
      </c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</row>
    <row r="135" spans="1:157" ht="18" customHeight="1" x14ac:dyDescent="0.25">
      <c r="A135" s="27">
        <f>A133+1</f>
        <v>124</v>
      </c>
      <c r="B135" s="28" t="s">
        <v>139</v>
      </c>
      <c r="C135" s="29">
        <f>IF(L135&gt;=401.41,401.41,IF(L135&lt;401.41,L135))</f>
        <v>401.41</v>
      </c>
      <c r="D135" s="30">
        <f>+L135-C135</f>
        <v>255.24671376884413</v>
      </c>
      <c r="E135" s="31">
        <f>+C135/13.3803</f>
        <v>30.000074736739837</v>
      </c>
      <c r="F135" s="32">
        <f>+'TALLER RETIRADOS'!BF64</f>
        <v>345</v>
      </c>
      <c r="G135" s="32">
        <v>0</v>
      </c>
      <c r="H135" s="32">
        <f>+'TALLER RETIRADOS'!CX64</f>
        <v>311.65671376884421</v>
      </c>
      <c r="I135" s="32">
        <v>0</v>
      </c>
      <c r="J135" s="32"/>
      <c r="K135" s="33"/>
      <c r="L135" s="34">
        <f>+F135+G135+H135+I135+K135+J135</f>
        <v>656.65671376884416</v>
      </c>
      <c r="M135" s="35">
        <f>IF(L135&gt;=401.41,37.933,IF(L135&lt;401.41,L135*9.45%))</f>
        <v>37.933</v>
      </c>
      <c r="N135" s="36">
        <f>+L135-M135</f>
        <v>618.72371376884416</v>
      </c>
      <c r="O135" s="37">
        <f>IF(E135&gt;=30,33.45,IF(E135&lt;30,E135*1.115))</f>
        <v>33.450000000000003</v>
      </c>
      <c r="P135" s="37">
        <f>IF(E135&gt;=30,33.33,IF(E135&lt;30,E135*1.111))</f>
        <v>33.33</v>
      </c>
      <c r="Q135" s="33">
        <f>+O135+P135</f>
        <v>66.78</v>
      </c>
      <c r="R135" s="38">
        <f>33.45/30*E135</f>
        <v>33.450083331464917</v>
      </c>
      <c r="S135" s="39"/>
      <c r="T135" s="35"/>
      <c r="U135" s="40">
        <f>N135+Q135+R135+S135+T135</f>
        <v>718.95379710030909</v>
      </c>
      <c r="V135" s="39">
        <v>718.95379710030909</v>
      </c>
      <c r="W135" s="35"/>
      <c r="X135" s="42"/>
      <c r="Y135" s="43"/>
      <c r="Z135" s="47"/>
      <c r="AA135" s="40">
        <f>+W135+V135+X135+Y135+Z135</f>
        <v>718.95379710030909</v>
      </c>
      <c r="AB135" s="36">
        <f>+U135-AA135</f>
        <v>0</v>
      </c>
      <c r="AC135" s="288"/>
      <c r="AD135" s="87"/>
      <c r="AE135" s="88"/>
      <c r="AF135" s="46">
        <f>+AB135-AC135-AD135-AE135</f>
        <v>0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</row>
    <row r="136" spans="1:157" ht="18" customHeight="1" x14ac:dyDescent="0.25">
      <c r="A136" s="27">
        <f t="shared" ref="A136:A141" si="133">A135+1</f>
        <v>125</v>
      </c>
      <c r="B136" s="28" t="s">
        <v>142</v>
      </c>
      <c r="C136" s="29">
        <f>IF(L136&gt;=401.41,401.41,IF(L136&lt;401.41,L136))</f>
        <v>401.41</v>
      </c>
      <c r="D136" s="30">
        <f>+L136-C136</f>
        <v>340.00869915577886</v>
      </c>
      <c r="E136" s="31">
        <f>+C136/13.3803</f>
        <v>30.000074736739837</v>
      </c>
      <c r="F136" s="32">
        <f>+'TALLER RETIRADOS'!BF65</f>
        <v>451.41335467336688</v>
      </c>
      <c r="G136" s="32">
        <v>0</v>
      </c>
      <c r="H136" s="32">
        <f>+'TALLER RETIRADOS'!CX65</f>
        <v>290.005344482412</v>
      </c>
      <c r="I136" s="32">
        <v>0</v>
      </c>
      <c r="J136" s="32"/>
      <c r="K136" s="33"/>
      <c r="L136" s="34">
        <f>+F136+G136+H136+I136+K136+J136</f>
        <v>741.41869915577888</v>
      </c>
      <c r="M136" s="35">
        <f>IF(L136&gt;=401.41,37.933,IF(L136&lt;401.41,L136*9.45%))</f>
        <v>37.933</v>
      </c>
      <c r="N136" s="36">
        <f>+L136-M136</f>
        <v>703.48569915577889</v>
      </c>
      <c r="O136" s="37">
        <f>IF(E136&gt;=30,33.45,IF(E136&lt;30,E136*1.115))</f>
        <v>33.450000000000003</v>
      </c>
      <c r="P136" s="37">
        <f>IF(E136&gt;=30,33.33,IF(E136&lt;30,E136*1.111))</f>
        <v>33.33</v>
      </c>
      <c r="Q136" s="33">
        <f>+O136+P136</f>
        <v>66.78</v>
      </c>
      <c r="R136" s="38"/>
      <c r="S136" s="39"/>
      <c r="T136" s="35"/>
      <c r="U136" s="40">
        <f>N136+Q136+R136+S136+T136</f>
        <v>770.26569915577886</v>
      </c>
      <c r="V136" s="39">
        <v>770.26569915577886</v>
      </c>
      <c r="W136" s="35"/>
      <c r="X136" s="42"/>
      <c r="Y136" s="43"/>
      <c r="Z136" s="44"/>
      <c r="AA136" s="40">
        <f>+W136+V136+X136+Y136+Z136</f>
        <v>770.26569915577886</v>
      </c>
      <c r="AB136" s="36">
        <f>+U136-AA136</f>
        <v>0</v>
      </c>
      <c r="AC136" s="288"/>
      <c r="AD136" s="87"/>
      <c r="AE136" s="45"/>
      <c r="AF136" s="46">
        <f>+AB136-AC136-AD136-AE136</f>
        <v>0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</row>
    <row r="137" spans="1:157" ht="18" customHeight="1" x14ac:dyDescent="0.25">
      <c r="A137" s="142">
        <f t="shared" si="133"/>
        <v>126</v>
      </c>
      <c r="B137" s="28" t="s">
        <v>141</v>
      </c>
      <c r="C137" s="29">
        <f>IF(L137&gt;=401.41,401.41,IF(L137&lt;401.41,L137))</f>
        <v>401.41</v>
      </c>
      <c r="D137" s="30">
        <f>+L137-C137</f>
        <v>326.14044970854269</v>
      </c>
      <c r="E137" s="31">
        <f>+C137/13.3803</f>
        <v>30.000074736739837</v>
      </c>
      <c r="F137" s="32">
        <f>+'TALLER RETIRADOS'!BF66</f>
        <v>456.54510522613072</v>
      </c>
      <c r="G137" s="32">
        <v>0</v>
      </c>
      <c r="H137" s="32">
        <f>+'TALLER RETIRADOS'!CX66</f>
        <v>271.005344482412</v>
      </c>
      <c r="I137" s="32">
        <v>0</v>
      </c>
      <c r="J137" s="32"/>
      <c r="K137" s="33"/>
      <c r="L137" s="34">
        <f>+F137+G137+H137+I137+K137+J137</f>
        <v>727.55044970854271</v>
      </c>
      <c r="M137" s="35">
        <f>IF(L137&gt;=401.41,37.933,IF(L137&lt;401.41,L137*9.45%))</f>
        <v>37.933</v>
      </c>
      <c r="N137" s="36">
        <f>+L137-M137</f>
        <v>689.61744970854272</v>
      </c>
      <c r="O137" s="37">
        <f>IF(E137&gt;=30,33.45,IF(E137&lt;30,E137*1.115))</f>
        <v>33.450000000000003</v>
      </c>
      <c r="P137" s="37">
        <f>IF(E137&gt;=30,33.33,IF(E137&lt;30,E137*1.111))</f>
        <v>33.33</v>
      </c>
      <c r="Q137" s="33">
        <f>+O137+P137</f>
        <v>66.78</v>
      </c>
      <c r="R137" s="38">
        <f>33.45/30*E137</f>
        <v>33.450083331464917</v>
      </c>
      <c r="S137" s="39"/>
      <c r="T137" s="35"/>
      <c r="U137" s="40">
        <f>N137+Q137+R137+S137+T137</f>
        <v>789.84753304000765</v>
      </c>
      <c r="V137" s="39">
        <v>789.84753304000765</v>
      </c>
      <c r="W137" s="35"/>
      <c r="X137" s="42"/>
      <c r="Y137" s="43"/>
      <c r="Z137" s="44"/>
      <c r="AA137" s="40">
        <f>+W137+V137+X137+Y137+Z137</f>
        <v>789.84753304000765</v>
      </c>
      <c r="AB137" s="36">
        <f>+U137-AA137</f>
        <v>0</v>
      </c>
      <c r="AC137" s="288"/>
      <c r="AD137" s="87"/>
      <c r="AE137" s="45"/>
      <c r="AF137" s="46">
        <f>+AB137-AC137-AD137-AE137</f>
        <v>0</v>
      </c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</row>
    <row r="138" spans="1:157" s="57" customFormat="1" ht="18" customHeight="1" x14ac:dyDescent="0.25">
      <c r="A138" s="142">
        <f t="shared" si="133"/>
        <v>127</v>
      </c>
      <c r="B138" s="28" t="s">
        <v>150</v>
      </c>
      <c r="C138" s="29">
        <f>IF(L138&gt;=401.41,401.41,IF(L138&lt;401.41,L138))</f>
        <v>401.41</v>
      </c>
      <c r="D138" s="30">
        <f>+L138-C138</f>
        <v>118.58999999999997</v>
      </c>
      <c r="E138" s="31">
        <f>+C138/13.3803</f>
        <v>30.000074736739837</v>
      </c>
      <c r="F138" s="32">
        <f>+'TALLER RETIRADOS'!BF67</f>
        <v>324.99999999999994</v>
      </c>
      <c r="G138" s="32">
        <v>0</v>
      </c>
      <c r="H138" s="32">
        <f>+'TALLER RETIRADOS'!CX67</f>
        <v>195</v>
      </c>
      <c r="I138" s="32">
        <v>0</v>
      </c>
      <c r="J138" s="32"/>
      <c r="K138" s="33"/>
      <c r="L138" s="34">
        <f>+F138+G138+H138+I138+K138+J138</f>
        <v>520</v>
      </c>
      <c r="M138" s="35">
        <f>IF(L138&gt;=401.41,37.933,IF(L138&lt;401.41,L138*9.45%))</f>
        <v>37.933</v>
      </c>
      <c r="N138" s="36">
        <f>+L138-M138</f>
        <v>482.06700000000001</v>
      </c>
      <c r="O138" s="37">
        <f>IF(E138&gt;=30,33.45,IF(E138&lt;30,E138*1.115))</f>
        <v>33.450000000000003</v>
      </c>
      <c r="P138" s="37">
        <f>IF(E138&gt;=30,33.33,IF(E138&lt;30,E138*1.111))</f>
        <v>33.33</v>
      </c>
      <c r="Q138" s="33">
        <f>+O138+P138</f>
        <v>66.78</v>
      </c>
      <c r="R138" s="38">
        <f>33.45/30*E138</f>
        <v>33.450083331464917</v>
      </c>
      <c r="S138" s="39"/>
      <c r="T138" s="35"/>
      <c r="U138" s="40">
        <f>N138+Q138+R138+S138+T138</f>
        <v>582.29708333146493</v>
      </c>
      <c r="V138" s="39">
        <v>582.29708333146493</v>
      </c>
      <c r="W138" s="35"/>
      <c r="X138" s="42"/>
      <c r="Y138" s="43"/>
      <c r="Z138" s="44"/>
      <c r="AA138" s="40">
        <f>+W138+V138+X138+Y138+Z138</f>
        <v>582.29708333146493</v>
      </c>
      <c r="AB138" s="36">
        <f>+U138-AA138</f>
        <v>0</v>
      </c>
      <c r="AC138" s="288"/>
      <c r="AD138" s="87"/>
      <c r="AE138" s="45"/>
      <c r="AF138" s="46">
        <f>+AB138-AC138-AD138-AE138</f>
        <v>0</v>
      </c>
    </row>
    <row r="139" spans="1:157" ht="18" customHeight="1" x14ac:dyDescent="0.25">
      <c r="A139" s="27">
        <f t="shared" si="133"/>
        <v>128</v>
      </c>
      <c r="B139" s="28" t="s">
        <v>151</v>
      </c>
      <c r="C139" s="29">
        <f>IF(L139&gt;=401.41,401.41,IF(L139&lt;401.41,L139))</f>
        <v>401.41</v>
      </c>
      <c r="D139" s="30">
        <f>+L139-C139</f>
        <v>143.58999999999997</v>
      </c>
      <c r="E139" s="31">
        <f>+C139/13.3803</f>
        <v>30.000074736739837</v>
      </c>
      <c r="F139" s="32">
        <f>+'TALLER RETIRADOS'!BF68</f>
        <v>349.99999999999994</v>
      </c>
      <c r="G139" s="32">
        <v>0</v>
      </c>
      <c r="H139" s="32">
        <f>+'TALLER RETIRADOS'!CX68</f>
        <v>195</v>
      </c>
      <c r="I139" s="32">
        <v>0</v>
      </c>
      <c r="J139" s="32"/>
      <c r="K139" s="33"/>
      <c r="L139" s="34">
        <f>+F139+G139+H139+I139+K139+J139</f>
        <v>545</v>
      </c>
      <c r="M139" s="35">
        <f>IF(L139&gt;=401.41,37.933,IF(L139&lt;401.41,L139*9.45%))</f>
        <v>37.933</v>
      </c>
      <c r="N139" s="36">
        <f>+L139-M139</f>
        <v>507.06700000000001</v>
      </c>
      <c r="O139" s="37">
        <f>IF(E139&gt;=30,33.45,IF(E139&lt;30,E139*1.115))</f>
        <v>33.450000000000003</v>
      </c>
      <c r="P139" s="37">
        <f>IF(E139&gt;=30,33.33,IF(E139&lt;30,E139*1.111))</f>
        <v>33.33</v>
      </c>
      <c r="Q139" s="33">
        <f>+O139+P139</f>
        <v>66.78</v>
      </c>
      <c r="R139" s="38">
        <f>33.45/30*E139</f>
        <v>33.450083331464917</v>
      </c>
      <c r="S139" s="39"/>
      <c r="T139" s="35"/>
      <c r="U139" s="40">
        <f>N139+Q139+R139+S139+T139</f>
        <v>607.29708333146493</v>
      </c>
      <c r="V139" s="39">
        <v>607.29708333146493</v>
      </c>
      <c r="W139" s="35"/>
      <c r="X139" s="42"/>
      <c r="Y139" s="43"/>
      <c r="Z139" s="55"/>
      <c r="AA139" s="40">
        <f>+W139+V139+X139+Y139+Z139</f>
        <v>607.29708333146493</v>
      </c>
      <c r="AB139" s="36">
        <f>+U139-AA139</f>
        <v>0</v>
      </c>
      <c r="AC139" s="288"/>
      <c r="AD139" s="87"/>
      <c r="AE139" s="68"/>
      <c r="AF139" s="46">
        <f>+AB139-AC139-AD139-AE139</f>
        <v>0</v>
      </c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</row>
    <row r="140" spans="1:157" ht="18" customHeight="1" x14ac:dyDescent="0.25">
      <c r="A140" s="142">
        <f t="shared" si="133"/>
        <v>129</v>
      </c>
      <c r="B140" s="28" t="s">
        <v>153</v>
      </c>
      <c r="C140" s="29">
        <f t="shared" ref="C140" si="134">IF(L140&gt;=401.41,401.41,IF(L140&lt;401.41,L140))</f>
        <v>401.41</v>
      </c>
      <c r="D140" s="30">
        <f t="shared" ref="D140" si="135">+L140-C140</f>
        <v>98.589999999999975</v>
      </c>
      <c r="E140" s="31">
        <f t="shared" ref="E140" si="136">+C140/13.3803</f>
        <v>30.000074736739837</v>
      </c>
      <c r="F140" s="32">
        <f>+'TALLER RETIRADOS'!BF69</f>
        <v>305</v>
      </c>
      <c r="G140" s="32">
        <v>0</v>
      </c>
      <c r="H140" s="32">
        <f>+'TALLER RETIRADOS'!CX69</f>
        <v>195</v>
      </c>
      <c r="I140" s="32">
        <v>0</v>
      </c>
      <c r="J140" s="32"/>
      <c r="K140" s="33"/>
      <c r="L140" s="34">
        <f t="shared" ref="L140" si="137">+F140+G140+H140+I140+K140+J140</f>
        <v>500</v>
      </c>
      <c r="M140" s="35">
        <f t="shared" ref="M140" si="138">IF(L140&gt;=401.41,37.933,IF(L140&lt;401.41,L140*9.45%))</f>
        <v>37.933</v>
      </c>
      <c r="N140" s="36">
        <f t="shared" ref="N140" si="139">+L140-M140</f>
        <v>462.06700000000001</v>
      </c>
      <c r="O140" s="37">
        <f t="shared" ref="O140" si="140">IF(E140&gt;=30,33.45,IF(E140&lt;30,E140*1.115))</f>
        <v>33.450000000000003</v>
      </c>
      <c r="P140" s="37">
        <f t="shared" ref="P140" si="141">IF(E140&gt;=30,33.33,IF(E140&lt;30,E140*1.111))</f>
        <v>33.33</v>
      </c>
      <c r="Q140" s="33">
        <f t="shared" ref="Q140" si="142">+O140+P140</f>
        <v>66.78</v>
      </c>
      <c r="R140" s="38">
        <f t="shared" si="131"/>
        <v>33.450083331464917</v>
      </c>
      <c r="S140" s="39"/>
      <c r="T140" s="35"/>
      <c r="U140" s="40">
        <f t="shared" ref="U140" si="143">N140+Q140+R140+S140+T140</f>
        <v>562.29708333146493</v>
      </c>
      <c r="V140" s="39">
        <v>562.29708333146493</v>
      </c>
      <c r="W140" s="35"/>
      <c r="X140" s="42"/>
      <c r="Y140" s="43"/>
      <c r="Z140" s="44"/>
      <c r="AA140" s="40">
        <f t="shared" ref="AA140" si="144">+W140+V140+X140+Y140+Z140</f>
        <v>562.29708333146493</v>
      </c>
      <c r="AB140" s="36">
        <f t="shared" ref="AB140" si="145">+U140-AA140</f>
        <v>0</v>
      </c>
      <c r="AC140" s="288"/>
      <c r="AD140" s="87"/>
      <c r="AE140" s="45"/>
      <c r="AF140" s="46">
        <f t="shared" ref="AF140" si="146">+AB140-AC140-AD140-AE140</f>
        <v>0</v>
      </c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</row>
    <row r="141" spans="1:157" ht="18" customHeight="1" x14ac:dyDescent="0.25">
      <c r="A141" s="27">
        <f t="shared" si="133"/>
        <v>130</v>
      </c>
      <c r="B141" s="28" t="s">
        <v>56</v>
      </c>
      <c r="C141" s="29">
        <f>IF(L141&gt;=401.41,401.41,IF(L141&lt;401.41,L141))</f>
        <v>401.41</v>
      </c>
      <c r="D141" s="30">
        <f>+L141-C141</f>
        <v>303.80673119597992</v>
      </c>
      <c r="E141" s="31">
        <f>+C141/13.3803</f>
        <v>30.000074736739837</v>
      </c>
      <c r="F141" s="32">
        <f>+'TALLER RETIRADOS'!BF99</f>
        <v>338.41564416080405</v>
      </c>
      <c r="G141" s="32">
        <v>0</v>
      </c>
      <c r="H141" s="32">
        <f>'TALLER RETIRADOS'!CX99+'TALLER RETIRADOS'!DC99</f>
        <v>366.80108703517584</v>
      </c>
      <c r="I141" s="32">
        <v>0</v>
      </c>
      <c r="J141" s="32"/>
      <c r="K141" s="33"/>
      <c r="L141" s="34">
        <f>+F141+G141+H141+I141+K141+J141</f>
        <v>705.21673119597995</v>
      </c>
      <c r="M141" s="35">
        <f>IF(L141&gt;=401.41,37.933,IF(L141&lt;401.41,L141*9.45%))</f>
        <v>37.933</v>
      </c>
      <c r="N141" s="36">
        <f>+L141-M141</f>
        <v>667.28373119597995</v>
      </c>
      <c r="O141" s="37">
        <f>IF(E141&gt;=30,33.45,IF(E141&lt;30,E141*1.115))</f>
        <v>33.450000000000003</v>
      </c>
      <c r="P141" s="37">
        <f>IF(E141&gt;=30,33.33,IF(E141&lt;30,E141*1.111))</f>
        <v>33.33</v>
      </c>
      <c r="Q141" s="33">
        <f>+O141+P141</f>
        <v>66.78</v>
      </c>
      <c r="R141" s="38">
        <f>33.45/30*E141</f>
        <v>33.450083331464917</v>
      </c>
      <c r="S141" s="39"/>
      <c r="T141" s="35"/>
      <c r="U141" s="40">
        <f>N141+Q141+R141+S141+T141</f>
        <v>767.51381452744488</v>
      </c>
      <c r="V141" s="39">
        <v>767.51381452744488</v>
      </c>
      <c r="W141" s="35"/>
      <c r="X141" s="42"/>
      <c r="Y141" s="43"/>
      <c r="Z141" s="44"/>
      <c r="AA141" s="40">
        <f>+W141+V141+X141+Y141+Z141</f>
        <v>767.51381452744488</v>
      </c>
      <c r="AB141" s="36">
        <f>+U141-AA141</f>
        <v>0</v>
      </c>
      <c r="AC141" s="288"/>
      <c r="AD141" s="87"/>
      <c r="AE141" s="68"/>
      <c r="AF141" s="46">
        <f>+AB141-AC141-AD141-AE141</f>
        <v>0</v>
      </c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</row>
    <row r="142" spans="1:157" ht="18" customHeight="1" x14ac:dyDescent="0.25">
      <c r="A142" s="7" t="s">
        <v>162</v>
      </c>
      <c r="B142" s="70"/>
      <c r="C142" s="29"/>
      <c r="D142" s="30"/>
      <c r="E142" s="31"/>
      <c r="F142" s="32"/>
      <c r="G142" s="32"/>
      <c r="H142" s="71"/>
      <c r="I142" s="72"/>
      <c r="J142" s="72"/>
      <c r="K142" s="73"/>
      <c r="L142" s="34"/>
      <c r="M142" s="35"/>
      <c r="N142" s="36"/>
      <c r="O142" s="37"/>
      <c r="P142" s="37"/>
      <c r="Q142" s="33"/>
      <c r="R142" s="33"/>
      <c r="S142" s="74"/>
      <c r="T142" s="37"/>
      <c r="U142" s="40"/>
      <c r="V142" s="74"/>
      <c r="W142" s="35"/>
      <c r="X142" s="75"/>
      <c r="Y142" s="76"/>
      <c r="Z142" s="74"/>
      <c r="AA142" s="40"/>
      <c r="AB142" s="36"/>
      <c r="AC142" s="45"/>
      <c r="AD142" s="68"/>
      <c r="AE142" s="68"/>
      <c r="AF142" s="46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</row>
    <row r="143" spans="1:157" ht="18" customHeight="1" x14ac:dyDescent="0.25">
      <c r="A143" s="27">
        <f>A141+1</f>
        <v>131</v>
      </c>
      <c r="B143" s="89" t="s">
        <v>163</v>
      </c>
      <c r="C143" s="29">
        <f t="shared" si="118"/>
        <v>401.41</v>
      </c>
      <c r="D143" s="30">
        <f t="shared" si="119"/>
        <v>158.69935416119637</v>
      </c>
      <c r="E143" s="31">
        <f t="shared" ref="E143:E159" si="147">+C143/13.3803</f>
        <v>30.000074736739837</v>
      </c>
      <c r="F143" s="32">
        <f>+'TALLER ACTIVOS'!BF89</f>
        <v>383.71934018270179</v>
      </c>
      <c r="G143" s="32">
        <v>0</v>
      </c>
      <c r="H143" s="32">
        <f>+'TALLER ACTIVOS'!CX89</f>
        <v>176.39001397849461</v>
      </c>
      <c r="I143" s="32">
        <v>0</v>
      </c>
      <c r="J143" s="32"/>
      <c r="K143" s="33"/>
      <c r="L143" s="34">
        <f t="shared" si="121"/>
        <v>560.10935416119639</v>
      </c>
      <c r="M143" s="35">
        <f t="shared" ref="M143:M159" si="148">IF(L143&gt;=401.41,37.933,IF(L143&lt;401.41,L143*9.45%))</f>
        <v>37.933</v>
      </c>
      <c r="N143" s="36">
        <f t="shared" ref="N143:N159" si="149">+L143-M143</f>
        <v>522.1763541611964</v>
      </c>
      <c r="O143" s="37">
        <f t="shared" ref="O143:O159" si="150">IF(E143&gt;=30,33.45,IF(E143&lt;30,E143*1.115))</f>
        <v>33.450000000000003</v>
      </c>
      <c r="P143" s="37">
        <f t="shared" ref="P143:P159" si="151">IF(E143&gt;=30,33.33,IF(E143&lt;30,E143*1.111))</f>
        <v>33.33</v>
      </c>
      <c r="Q143" s="33">
        <f t="shared" ref="Q143:Q159" si="152">+O143+P143</f>
        <v>66.78</v>
      </c>
      <c r="R143" s="38">
        <f t="shared" ref="R143:R156" si="153">33.45/30*E143</f>
        <v>33.450083331464917</v>
      </c>
      <c r="S143" s="49"/>
      <c r="T143" s="50"/>
      <c r="U143" s="40">
        <f t="shared" ref="U143:U159" si="154">N143+Q143+R143+S143+T143</f>
        <v>622.40643749266133</v>
      </c>
      <c r="V143" s="49"/>
      <c r="W143" s="35"/>
      <c r="X143" s="42"/>
      <c r="Y143" s="43"/>
      <c r="Z143" s="55">
        <v>82.94</v>
      </c>
      <c r="AA143" s="40">
        <f t="shared" si="125"/>
        <v>82.94</v>
      </c>
      <c r="AB143" s="36">
        <f t="shared" ref="AB143:AB159" si="155">+U143-AA143</f>
        <v>539.46643749266127</v>
      </c>
      <c r="AC143" s="288"/>
      <c r="AD143" s="56"/>
      <c r="AE143" s="68"/>
      <c r="AF143" s="46">
        <f t="shared" si="127"/>
        <v>539.46643749266127</v>
      </c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</row>
    <row r="144" spans="1:157" s="57" customFormat="1" ht="18" customHeight="1" x14ac:dyDescent="0.25">
      <c r="A144" s="27">
        <f>A143+1</f>
        <v>132</v>
      </c>
      <c r="B144" s="90" t="s">
        <v>179</v>
      </c>
      <c r="C144" s="29">
        <f t="shared" si="118"/>
        <v>401.41</v>
      </c>
      <c r="D144" s="30">
        <f t="shared" si="119"/>
        <v>170.85972585431801</v>
      </c>
      <c r="E144" s="31">
        <f t="shared" si="147"/>
        <v>30.000074736739837</v>
      </c>
      <c r="F144" s="32">
        <f>+'TALLER ACTIVOS'!BF90</f>
        <v>395.87971187582343</v>
      </c>
      <c r="G144" s="32">
        <v>0</v>
      </c>
      <c r="H144" s="32">
        <f>+'TALLER ACTIVOS'!CX90</f>
        <v>176.39001397849461</v>
      </c>
      <c r="I144" s="32">
        <v>0</v>
      </c>
      <c r="J144" s="32"/>
      <c r="K144" s="33"/>
      <c r="L144" s="34">
        <f t="shared" si="121"/>
        <v>572.26972585431804</v>
      </c>
      <c r="M144" s="35">
        <f t="shared" si="148"/>
        <v>37.933</v>
      </c>
      <c r="N144" s="36">
        <f t="shared" si="149"/>
        <v>534.33672585431805</v>
      </c>
      <c r="O144" s="37">
        <f t="shared" si="150"/>
        <v>33.450000000000003</v>
      </c>
      <c r="P144" s="37">
        <f t="shared" si="151"/>
        <v>33.33</v>
      </c>
      <c r="Q144" s="33">
        <f t="shared" si="152"/>
        <v>66.78</v>
      </c>
      <c r="R144" s="38">
        <f t="shared" si="153"/>
        <v>33.450083331464917</v>
      </c>
      <c r="S144" s="39"/>
      <c r="T144" s="35"/>
      <c r="U144" s="40">
        <f t="shared" si="154"/>
        <v>634.56680918578297</v>
      </c>
      <c r="V144" s="39"/>
      <c r="W144" s="35"/>
      <c r="X144" s="42"/>
      <c r="Y144" s="43"/>
      <c r="Z144" s="55"/>
      <c r="AA144" s="40">
        <f t="shared" ref="AA144:AA159" si="156">+W144+V144+X144+Y144+Z144</f>
        <v>0</v>
      </c>
      <c r="AB144" s="36">
        <f t="shared" si="155"/>
        <v>634.56680918578297</v>
      </c>
      <c r="AC144" s="288"/>
      <c r="AD144" s="56"/>
      <c r="AE144" s="68"/>
      <c r="AF144" s="46">
        <f t="shared" si="127"/>
        <v>634.56680918578297</v>
      </c>
    </row>
    <row r="145" spans="1:157" s="57" customFormat="1" ht="18" customHeight="1" x14ac:dyDescent="0.25">
      <c r="A145" s="27">
        <f>A144+1</f>
        <v>133</v>
      </c>
      <c r="B145" s="90" t="s">
        <v>169</v>
      </c>
      <c r="C145" s="29">
        <f t="shared" si="118"/>
        <v>401.41</v>
      </c>
      <c r="D145" s="30">
        <f t="shared" si="119"/>
        <v>140.84586133818908</v>
      </c>
      <c r="E145" s="31">
        <f t="shared" si="147"/>
        <v>30.000074736739837</v>
      </c>
      <c r="F145" s="32">
        <f>+'TALLER ACTIVOS'!BF91</f>
        <v>365.86584735969444</v>
      </c>
      <c r="G145" s="32">
        <v>0</v>
      </c>
      <c r="H145" s="32">
        <f>+'TALLER ACTIVOS'!CX91</f>
        <v>176.39001397849461</v>
      </c>
      <c r="I145" s="32">
        <v>0</v>
      </c>
      <c r="J145" s="32"/>
      <c r="K145" s="33"/>
      <c r="L145" s="34">
        <f t="shared" si="121"/>
        <v>542.25586133818911</v>
      </c>
      <c r="M145" s="35">
        <f t="shared" si="148"/>
        <v>37.933</v>
      </c>
      <c r="N145" s="36">
        <f t="shared" si="149"/>
        <v>504.32286133818911</v>
      </c>
      <c r="O145" s="37">
        <f t="shared" si="150"/>
        <v>33.450000000000003</v>
      </c>
      <c r="P145" s="37">
        <f t="shared" si="151"/>
        <v>33.33</v>
      </c>
      <c r="Q145" s="33">
        <f t="shared" si="152"/>
        <v>66.78</v>
      </c>
      <c r="R145" s="38">
        <f t="shared" si="153"/>
        <v>33.450083331464917</v>
      </c>
      <c r="S145" s="49"/>
      <c r="T145" s="50"/>
      <c r="U145" s="40">
        <f t="shared" si="154"/>
        <v>604.55294466965404</v>
      </c>
      <c r="V145" s="49"/>
      <c r="W145" s="35"/>
      <c r="X145" s="42"/>
      <c r="Y145" s="43"/>
      <c r="Z145" s="55"/>
      <c r="AA145" s="40">
        <f t="shared" si="156"/>
        <v>0</v>
      </c>
      <c r="AB145" s="36">
        <f t="shared" si="155"/>
        <v>604.55294466965404</v>
      </c>
      <c r="AC145" s="288"/>
      <c r="AD145" s="56"/>
      <c r="AE145" s="68"/>
      <c r="AF145" s="46">
        <f t="shared" si="127"/>
        <v>604.55294466965404</v>
      </c>
    </row>
    <row r="146" spans="1:157" s="57" customFormat="1" ht="18" customHeight="1" x14ac:dyDescent="0.25">
      <c r="A146" s="27">
        <f>A145+1</f>
        <v>134</v>
      </c>
      <c r="B146" s="89" t="s">
        <v>165</v>
      </c>
      <c r="C146" s="29">
        <f t="shared" si="118"/>
        <v>401.41</v>
      </c>
      <c r="D146" s="30">
        <f t="shared" si="119"/>
        <v>170.85972585431801</v>
      </c>
      <c r="E146" s="31">
        <f t="shared" si="147"/>
        <v>30.000074736739837</v>
      </c>
      <c r="F146" s="32">
        <f>+'TALLER ACTIVOS'!BF92</f>
        <v>395.87971187582343</v>
      </c>
      <c r="G146" s="32">
        <v>0</v>
      </c>
      <c r="H146" s="32">
        <f>+'TALLER ACTIVOS'!CX92</f>
        <v>176.39001397849461</v>
      </c>
      <c r="I146" s="32">
        <v>0</v>
      </c>
      <c r="J146" s="32"/>
      <c r="K146" s="33"/>
      <c r="L146" s="34">
        <f t="shared" si="121"/>
        <v>572.26972585431804</v>
      </c>
      <c r="M146" s="35">
        <f t="shared" si="148"/>
        <v>37.933</v>
      </c>
      <c r="N146" s="36">
        <f t="shared" si="149"/>
        <v>534.33672585431805</v>
      </c>
      <c r="O146" s="37">
        <f t="shared" si="150"/>
        <v>33.450000000000003</v>
      </c>
      <c r="P146" s="37">
        <f t="shared" si="151"/>
        <v>33.33</v>
      </c>
      <c r="Q146" s="33">
        <f t="shared" si="152"/>
        <v>66.78</v>
      </c>
      <c r="R146" s="38">
        <f t="shared" si="153"/>
        <v>33.450083331464917</v>
      </c>
      <c r="S146" s="39"/>
      <c r="T146" s="35"/>
      <c r="U146" s="40">
        <f t="shared" si="154"/>
        <v>634.56680918578297</v>
      </c>
      <c r="V146" s="39"/>
      <c r="W146" s="35"/>
      <c r="X146" s="42"/>
      <c r="Y146" s="43"/>
      <c r="Z146" s="55">
        <v>81.569999999999993</v>
      </c>
      <c r="AA146" s="40">
        <f t="shared" si="156"/>
        <v>81.569999999999993</v>
      </c>
      <c r="AB146" s="36">
        <f t="shared" si="155"/>
        <v>552.99680918578292</v>
      </c>
      <c r="AC146" s="288"/>
      <c r="AD146" s="56"/>
      <c r="AE146" s="68"/>
      <c r="AF146" s="46">
        <f t="shared" si="127"/>
        <v>552.99680918578292</v>
      </c>
    </row>
    <row r="147" spans="1:157" s="57" customFormat="1" ht="18" customHeight="1" x14ac:dyDescent="0.25">
      <c r="A147" s="27">
        <f>A146+1</f>
        <v>135</v>
      </c>
      <c r="B147" s="89" t="s">
        <v>167</v>
      </c>
      <c r="C147" s="29">
        <f t="shared" si="118"/>
        <v>401.41</v>
      </c>
      <c r="D147" s="30">
        <f t="shared" si="119"/>
        <v>130.86492742171623</v>
      </c>
      <c r="E147" s="31">
        <f t="shared" si="147"/>
        <v>30.000074736739837</v>
      </c>
      <c r="F147" s="32">
        <f>+'TALLER ACTIVOS'!BF93</f>
        <v>375.88630884552043</v>
      </c>
      <c r="G147" s="32">
        <v>0</v>
      </c>
      <c r="H147" s="32">
        <f>+'TALLER ACTIVOS'!CX93</f>
        <v>156.38861857619577</v>
      </c>
      <c r="I147" s="32">
        <v>0</v>
      </c>
      <c r="J147" s="32"/>
      <c r="K147" s="33"/>
      <c r="L147" s="34">
        <f t="shared" si="121"/>
        <v>532.27492742171626</v>
      </c>
      <c r="M147" s="35">
        <f t="shared" si="148"/>
        <v>37.933</v>
      </c>
      <c r="N147" s="36">
        <f t="shared" si="149"/>
        <v>494.34192742171626</v>
      </c>
      <c r="O147" s="37">
        <f t="shared" si="150"/>
        <v>33.450000000000003</v>
      </c>
      <c r="P147" s="37">
        <f t="shared" si="151"/>
        <v>33.33</v>
      </c>
      <c r="Q147" s="33">
        <f t="shared" si="152"/>
        <v>66.78</v>
      </c>
      <c r="R147" s="38">
        <f t="shared" si="153"/>
        <v>33.450083331464917</v>
      </c>
      <c r="S147" s="49"/>
      <c r="T147" s="50"/>
      <c r="U147" s="40">
        <f t="shared" si="154"/>
        <v>594.57201075318119</v>
      </c>
      <c r="V147" s="49"/>
      <c r="W147" s="35"/>
      <c r="X147" s="42"/>
      <c r="Y147" s="43"/>
      <c r="Z147" s="55"/>
      <c r="AA147" s="40">
        <f t="shared" si="156"/>
        <v>0</v>
      </c>
      <c r="AB147" s="36">
        <f t="shared" si="155"/>
        <v>594.57201075318119</v>
      </c>
      <c r="AC147" s="288"/>
      <c r="AD147" s="56"/>
      <c r="AE147" s="68"/>
      <c r="AF147" s="46">
        <f t="shared" si="127"/>
        <v>594.57201075318119</v>
      </c>
    </row>
    <row r="148" spans="1:157" ht="18" customHeight="1" x14ac:dyDescent="0.25">
      <c r="A148" s="27">
        <f>A147+1</f>
        <v>136</v>
      </c>
      <c r="B148" s="90" t="s">
        <v>184</v>
      </c>
      <c r="C148" s="29">
        <f t="shared" si="118"/>
        <v>401.41</v>
      </c>
      <c r="D148" s="30">
        <f t="shared" si="119"/>
        <v>130.86492742171623</v>
      </c>
      <c r="E148" s="31">
        <f t="shared" si="147"/>
        <v>30.000074736739837</v>
      </c>
      <c r="F148" s="32">
        <f>+'TALLER ACTIVOS'!BF94</f>
        <v>375.88630884552043</v>
      </c>
      <c r="G148" s="32">
        <v>0</v>
      </c>
      <c r="H148" s="32">
        <f>+'TALLER ACTIVOS'!CX94</f>
        <v>156.38861857619577</v>
      </c>
      <c r="I148" s="32">
        <v>0</v>
      </c>
      <c r="J148" s="32"/>
      <c r="K148" s="33"/>
      <c r="L148" s="34">
        <f t="shared" si="121"/>
        <v>532.27492742171626</v>
      </c>
      <c r="M148" s="35">
        <f t="shared" si="148"/>
        <v>37.933</v>
      </c>
      <c r="N148" s="36">
        <f t="shared" si="149"/>
        <v>494.34192742171626</v>
      </c>
      <c r="O148" s="37">
        <f t="shared" si="150"/>
        <v>33.450000000000003</v>
      </c>
      <c r="P148" s="37">
        <f t="shared" si="151"/>
        <v>33.33</v>
      </c>
      <c r="Q148" s="33">
        <f t="shared" si="152"/>
        <v>66.78</v>
      </c>
      <c r="R148" s="38">
        <f t="shared" si="153"/>
        <v>33.450083331464917</v>
      </c>
      <c r="S148" s="39"/>
      <c r="T148" s="35"/>
      <c r="U148" s="40">
        <f t="shared" si="154"/>
        <v>594.57201075318119</v>
      </c>
      <c r="V148" s="39">
        <v>100</v>
      </c>
      <c r="W148" s="35"/>
      <c r="X148" s="42"/>
      <c r="Y148" s="43"/>
      <c r="Z148" s="277">
        <v>52.56</v>
      </c>
      <c r="AA148" s="40">
        <f t="shared" si="156"/>
        <v>152.56</v>
      </c>
      <c r="AB148" s="36">
        <f t="shared" si="155"/>
        <v>442.01201075318119</v>
      </c>
      <c r="AC148" s="288"/>
      <c r="AD148" s="56"/>
      <c r="AE148" s="68"/>
      <c r="AF148" s="46">
        <f t="shared" si="127"/>
        <v>442.01201075318119</v>
      </c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</row>
    <row r="149" spans="1:157" ht="18" customHeight="1" x14ac:dyDescent="0.25">
      <c r="A149" s="27">
        <f t="shared" ref="A149:A150" si="157">A148+1</f>
        <v>137</v>
      </c>
      <c r="B149" s="90" t="s">
        <v>189</v>
      </c>
      <c r="C149" s="29">
        <f t="shared" si="118"/>
        <v>401.41</v>
      </c>
      <c r="D149" s="30">
        <f t="shared" si="119"/>
        <v>174.1911736193245</v>
      </c>
      <c r="E149" s="31">
        <f t="shared" si="147"/>
        <v>30.000074736739837</v>
      </c>
      <c r="F149" s="32">
        <f>+'TALLER ACTIVOS'!BF95</f>
        <v>359.2125550431287</v>
      </c>
      <c r="G149" s="32">
        <v>0</v>
      </c>
      <c r="H149" s="32">
        <f>+'TALLER ACTIVOS'!CX95</f>
        <v>216.38861857619577</v>
      </c>
      <c r="I149" s="32">
        <v>0</v>
      </c>
      <c r="J149" s="32"/>
      <c r="K149" s="33"/>
      <c r="L149" s="34">
        <f t="shared" si="121"/>
        <v>575.60117361932453</v>
      </c>
      <c r="M149" s="35">
        <f t="shared" si="148"/>
        <v>37.933</v>
      </c>
      <c r="N149" s="36">
        <f t="shared" si="149"/>
        <v>537.66817361932453</v>
      </c>
      <c r="O149" s="37">
        <f t="shared" si="150"/>
        <v>33.450000000000003</v>
      </c>
      <c r="P149" s="37">
        <f t="shared" si="151"/>
        <v>33.33</v>
      </c>
      <c r="Q149" s="33">
        <f t="shared" si="152"/>
        <v>66.78</v>
      </c>
      <c r="R149" s="38">
        <f t="shared" si="153"/>
        <v>33.450083331464917</v>
      </c>
      <c r="S149" s="49"/>
      <c r="T149" s="50"/>
      <c r="U149" s="40">
        <f t="shared" si="154"/>
        <v>637.89825695078946</v>
      </c>
      <c r="V149" s="39"/>
      <c r="W149" s="35"/>
      <c r="X149" s="42"/>
      <c r="Y149" s="43"/>
      <c r="Z149" s="55">
        <v>102.56</v>
      </c>
      <c r="AA149" s="40">
        <f t="shared" si="156"/>
        <v>102.56</v>
      </c>
      <c r="AB149" s="36">
        <f t="shared" si="155"/>
        <v>535.3382569507894</v>
      </c>
      <c r="AC149" s="288"/>
      <c r="AD149" s="56"/>
      <c r="AE149" s="68"/>
      <c r="AF149" s="46">
        <f t="shared" si="127"/>
        <v>535.3382569507894</v>
      </c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</row>
    <row r="150" spans="1:157" s="52" customFormat="1" ht="18" customHeight="1" x14ac:dyDescent="0.25">
      <c r="A150" s="27">
        <f t="shared" si="157"/>
        <v>138</v>
      </c>
      <c r="B150" s="90" t="s">
        <v>166</v>
      </c>
      <c r="C150" s="29">
        <f t="shared" si="118"/>
        <v>401.41</v>
      </c>
      <c r="D150" s="30">
        <f t="shared" si="119"/>
        <v>130.86492742171623</v>
      </c>
      <c r="E150" s="31">
        <f t="shared" si="147"/>
        <v>30.000074736739837</v>
      </c>
      <c r="F150" s="32">
        <f>+'TALLER ACTIVOS'!BF96</f>
        <v>375.88630884552043</v>
      </c>
      <c r="G150" s="32">
        <v>0</v>
      </c>
      <c r="H150" s="32">
        <f>+'TALLER ACTIVOS'!CX96</f>
        <v>156.38861857619577</v>
      </c>
      <c r="I150" s="32">
        <v>0</v>
      </c>
      <c r="J150" s="32"/>
      <c r="K150" s="33"/>
      <c r="L150" s="34">
        <f t="shared" si="121"/>
        <v>532.27492742171626</v>
      </c>
      <c r="M150" s="35">
        <f t="shared" si="148"/>
        <v>37.933</v>
      </c>
      <c r="N150" s="36">
        <f t="shared" si="149"/>
        <v>494.34192742171626</v>
      </c>
      <c r="O150" s="37">
        <f t="shared" si="150"/>
        <v>33.450000000000003</v>
      </c>
      <c r="P150" s="37">
        <f t="shared" si="151"/>
        <v>33.33</v>
      </c>
      <c r="Q150" s="33">
        <f t="shared" si="152"/>
        <v>66.78</v>
      </c>
      <c r="R150" s="38">
        <f t="shared" si="153"/>
        <v>33.450083331464917</v>
      </c>
      <c r="S150" s="49"/>
      <c r="T150" s="50"/>
      <c r="U150" s="40">
        <f t="shared" si="154"/>
        <v>594.57201075318119</v>
      </c>
      <c r="V150" s="39"/>
      <c r="W150" s="35"/>
      <c r="X150" s="42"/>
      <c r="Y150" s="43"/>
      <c r="Z150" s="55"/>
      <c r="AA150" s="40">
        <f t="shared" si="156"/>
        <v>0</v>
      </c>
      <c r="AB150" s="36">
        <f t="shared" si="155"/>
        <v>594.57201075318119</v>
      </c>
      <c r="AC150" s="288"/>
      <c r="AD150" s="56"/>
      <c r="AE150" s="68"/>
      <c r="AF150" s="46">
        <f t="shared" si="127"/>
        <v>594.57201075318119</v>
      </c>
    </row>
    <row r="151" spans="1:157" ht="18" customHeight="1" x14ac:dyDescent="0.25">
      <c r="A151" s="27">
        <f>A150+1</f>
        <v>139</v>
      </c>
      <c r="B151" s="89" t="s">
        <v>185</v>
      </c>
      <c r="C151" s="29">
        <f t="shared" si="118"/>
        <v>401.41</v>
      </c>
      <c r="D151" s="30">
        <f t="shared" si="119"/>
        <v>91.200500627937402</v>
      </c>
      <c r="E151" s="31">
        <f t="shared" si="147"/>
        <v>30.000074736739837</v>
      </c>
      <c r="F151" s="32">
        <f>+'TALLER ACTIVOS'!BF97</f>
        <v>364.8861143098062</v>
      </c>
      <c r="G151" s="32">
        <v>0</v>
      </c>
      <c r="H151" s="32">
        <f>+'TALLER ACTIVOS'!CX97</f>
        <v>127.72438631813125</v>
      </c>
      <c r="I151" s="32">
        <v>0</v>
      </c>
      <c r="J151" s="32"/>
      <c r="K151" s="33"/>
      <c r="L151" s="34">
        <f t="shared" si="121"/>
        <v>492.61050062793743</v>
      </c>
      <c r="M151" s="35">
        <f t="shared" si="148"/>
        <v>37.933</v>
      </c>
      <c r="N151" s="36">
        <f t="shared" si="149"/>
        <v>454.67750062793743</v>
      </c>
      <c r="O151" s="37">
        <f t="shared" si="150"/>
        <v>33.450000000000003</v>
      </c>
      <c r="P151" s="37">
        <f t="shared" si="151"/>
        <v>33.33</v>
      </c>
      <c r="Q151" s="33">
        <f t="shared" si="152"/>
        <v>66.78</v>
      </c>
      <c r="R151" s="38">
        <f t="shared" si="153"/>
        <v>33.450083331464917</v>
      </c>
      <c r="S151" s="39"/>
      <c r="T151" s="35"/>
      <c r="U151" s="40">
        <f t="shared" si="154"/>
        <v>554.90758395940236</v>
      </c>
      <c r="V151" s="39"/>
      <c r="W151" s="35"/>
      <c r="X151" s="42"/>
      <c r="Y151" s="43"/>
      <c r="Z151" s="44"/>
      <c r="AA151" s="40">
        <f t="shared" si="156"/>
        <v>0</v>
      </c>
      <c r="AB151" s="36">
        <f t="shared" si="155"/>
        <v>554.90758395940236</v>
      </c>
      <c r="AC151" s="288"/>
      <c r="AD151" s="56"/>
      <c r="AE151" s="68"/>
      <c r="AF151" s="46">
        <f t="shared" si="127"/>
        <v>554.90758395940236</v>
      </c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</row>
    <row r="152" spans="1:157" ht="18" customHeight="1" x14ac:dyDescent="0.25">
      <c r="A152" s="27">
        <f>A151+1</f>
        <v>140</v>
      </c>
      <c r="B152" s="90" t="s">
        <v>180</v>
      </c>
      <c r="C152" s="29">
        <f t="shared" si="118"/>
        <v>401.41</v>
      </c>
      <c r="D152" s="30">
        <f t="shared" si="119"/>
        <v>130.86492742171623</v>
      </c>
      <c r="E152" s="31">
        <f t="shared" si="147"/>
        <v>30.000074736739837</v>
      </c>
      <c r="F152" s="32">
        <f>+'TALLER ACTIVOS'!BF98</f>
        <v>375.88630884552043</v>
      </c>
      <c r="G152" s="32">
        <v>0</v>
      </c>
      <c r="H152" s="32">
        <f>+'TALLER ACTIVOS'!CX98</f>
        <v>156.38861857619577</v>
      </c>
      <c r="I152" s="32">
        <v>0</v>
      </c>
      <c r="J152" s="32"/>
      <c r="K152" s="33"/>
      <c r="L152" s="34">
        <f t="shared" ref="L152:L159" si="158">+F152+G152+H152+I152+K152+J152</f>
        <v>532.27492742171626</v>
      </c>
      <c r="M152" s="35">
        <f t="shared" si="148"/>
        <v>37.933</v>
      </c>
      <c r="N152" s="36">
        <f t="shared" si="149"/>
        <v>494.34192742171626</v>
      </c>
      <c r="O152" s="37">
        <f t="shared" si="150"/>
        <v>33.450000000000003</v>
      </c>
      <c r="P152" s="37">
        <f t="shared" si="151"/>
        <v>33.33</v>
      </c>
      <c r="Q152" s="33">
        <f t="shared" si="152"/>
        <v>66.78</v>
      </c>
      <c r="R152" s="38">
        <f t="shared" si="153"/>
        <v>33.450083331464917</v>
      </c>
      <c r="S152" s="39"/>
      <c r="T152" s="35"/>
      <c r="U152" s="40">
        <f t="shared" si="154"/>
        <v>594.57201075318119</v>
      </c>
      <c r="V152" s="39"/>
      <c r="W152" s="35"/>
      <c r="X152" s="42"/>
      <c r="Y152" s="43"/>
      <c r="Z152" s="44"/>
      <c r="AA152" s="40">
        <f t="shared" si="156"/>
        <v>0</v>
      </c>
      <c r="AB152" s="36">
        <f t="shared" si="155"/>
        <v>594.57201075318119</v>
      </c>
      <c r="AC152" s="288"/>
      <c r="AD152" s="56"/>
      <c r="AE152" s="68"/>
      <c r="AF152" s="46">
        <f t="shared" si="127"/>
        <v>594.57201075318119</v>
      </c>
      <c r="AG152"/>
      <c r="AH152"/>
      <c r="AI152" s="54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</row>
    <row r="153" spans="1:157" ht="18" customHeight="1" x14ac:dyDescent="0.25">
      <c r="A153" s="27">
        <f t="shared" ref="A153" si="159">A152+1</f>
        <v>141</v>
      </c>
      <c r="B153" s="90" t="s">
        <v>855</v>
      </c>
      <c r="C153" s="29">
        <f t="shared" si="118"/>
        <v>401.41</v>
      </c>
      <c r="D153" s="30">
        <f t="shared" si="119"/>
        <v>78.408106877937428</v>
      </c>
      <c r="E153" s="31">
        <f t="shared" si="147"/>
        <v>30.000074736739837</v>
      </c>
      <c r="F153" s="32">
        <f>+'TALLER ACTIVOS'!BF99</f>
        <v>352.09372055980617</v>
      </c>
      <c r="G153" s="32">
        <v>0</v>
      </c>
      <c r="H153" s="32">
        <f>+'TALLER ACTIVOS'!CX99</f>
        <v>127.72438631813125</v>
      </c>
      <c r="I153" s="32">
        <v>0</v>
      </c>
      <c r="J153" s="32"/>
      <c r="K153" s="33"/>
      <c r="L153" s="34">
        <f t="shared" si="158"/>
        <v>479.81810687793745</v>
      </c>
      <c r="M153" s="35">
        <f t="shared" si="148"/>
        <v>37.933</v>
      </c>
      <c r="N153" s="36">
        <f t="shared" si="149"/>
        <v>441.88510687793746</v>
      </c>
      <c r="O153" s="37">
        <f t="shared" si="150"/>
        <v>33.450000000000003</v>
      </c>
      <c r="P153" s="37">
        <f t="shared" si="151"/>
        <v>33.33</v>
      </c>
      <c r="Q153" s="33">
        <f t="shared" si="152"/>
        <v>66.78</v>
      </c>
      <c r="R153" s="38">
        <f t="shared" si="153"/>
        <v>33.450083331464917</v>
      </c>
      <c r="S153" s="49"/>
      <c r="T153" s="50"/>
      <c r="U153" s="40">
        <f t="shared" si="154"/>
        <v>542.11519020940239</v>
      </c>
      <c r="V153" s="39">
        <v>13.69</v>
      </c>
      <c r="W153" s="35"/>
      <c r="X153" s="42"/>
      <c r="Y153" s="43"/>
      <c r="Z153" s="44"/>
      <c r="AA153" s="40">
        <f t="shared" si="156"/>
        <v>13.69</v>
      </c>
      <c r="AB153" s="36">
        <f t="shared" si="155"/>
        <v>528.42519020940233</v>
      </c>
      <c r="AC153" s="288"/>
      <c r="AD153" s="56"/>
      <c r="AE153" s="68"/>
      <c r="AF153" s="46">
        <f t="shared" si="127"/>
        <v>528.42519020940233</v>
      </c>
      <c r="AG153"/>
      <c r="AH153" s="54"/>
      <c r="AI153" s="54"/>
      <c r="AJ153" s="54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</row>
    <row r="154" spans="1:157" s="52" customFormat="1" ht="18" customHeight="1" x14ac:dyDescent="0.25">
      <c r="A154" s="27">
        <f>A153+1</f>
        <v>142</v>
      </c>
      <c r="B154" s="90" t="s">
        <v>191</v>
      </c>
      <c r="C154" s="29">
        <f t="shared" si="118"/>
        <v>401.41</v>
      </c>
      <c r="D154" s="30">
        <f t="shared" si="119"/>
        <v>41.310754006810726</v>
      </c>
      <c r="E154" s="31">
        <f t="shared" si="147"/>
        <v>30.000074736739837</v>
      </c>
      <c r="F154" s="32">
        <f>+'TALLER ACTIVOS'!BF100</f>
        <v>375.88630884552043</v>
      </c>
      <c r="G154" s="32">
        <v>0</v>
      </c>
      <c r="H154" s="32">
        <f>+'TALLER ACTIVOS'!CX100</f>
        <v>66.834445161290319</v>
      </c>
      <c r="I154" s="32">
        <v>0</v>
      </c>
      <c r="J154" s="32"/>
      <c r="K154" s="33"/>
      <c r="L154" s="34">
        <f t="shared" si="158"/>
        <v>442.72075400681075</v>
      </c>
      <c r="M154" s="35">
        <f t="shared" si="148"/>
        <v>37.933</v>
      </c>
      <c r="N154" s="36">
        <f t="shared" si="149"/>
        <v>404.78775400681076</v>
      </c>
      <c r="O154" s="37">
        <f t="shared" si="150"/>
        <v>33.450000000000003</v>
      </c>
      <c r="P154" s="37">
        <f t="shared" si="151"/>
        <v>33.33</v>
      </c>
      <c r="Q154" s="33">
        <f t="shared" si="152"/>
        <v>66.78</v>
      </c>
      <c r="R154" s="1036"/>
      <c r="S154" s="39"/>
      <c r="T154" s="35"/>
      <c r="U154" s="40">
        <f t="shared" si="154"/>
        <v>471.56775400681079</v>
      </c>
      <c r="V154" s="39"/>
      <c r="W154" s="35"/>
      <c r="X154" s="42"/>
      <c r="Y154" s="43"/>
      <c r="Z154" s="47"/>
      <c r="AA154" s="40">
        <f t="shared" si="156"/>
        <v>0</v>
      </c>
      <c r="AB154" s="36">
        <f t="shared" si="155"/>
        <v>471.56775400681079</v>
      </c>
      <c r="AC154" s="288"/>
      <c r="AD154" s="91"/>
      <c r="AE154" s="68"/>
      <c r="AF154" s="46">
        <f t="shared" si="127"/>
        <v>471.56775400681079</v>
      </c>
    </row>
    <row r="155" spans="1:157" ht="18" customHeight="1" x14ac:dyDescent="0.25">
      <c r="A155" s="27">
        <f t="shared" ref="A155:A157" si="160">A154+1</f>
        <v>143</v>
      </c>
      <c r="B155" s="90" t="s">
        <v>182</v>
      </c>
      <c r="C155" s="29">
        <f t="shared" ref="C155:C159" si="161">IF(L155&gt;=401.41,401.41,IF(L155&lt;401.41,L155))</f>
        <v>401.41</v>
      </c>
      <c r="D155" s="30">
        <f t="shared" ref="D155:D159" si="162">+L155-C155</f>
        <v>154.1911736193245</v>
      </c>
      <c r="E155" s="31">
        <f t="shared" si="147"/>
        <v>30.000074736739837</v>
      </c>
      <c r="F155" s="32">
        <f>+'TALLER ACTIVOS'!BF101</f>
        <v>379.2125550431287</v>
      </c>
      <c r="G155" s="32">
        <v>0</v>
      </c>
      <c r="H155" s="32">
        <f>+'TALLER ACTIVOS'!CX101</f>
        <v>176.38861857619577</v>
      </c>
      <c r="I155" s="32">
        <v>0</v>
      </c>
      <c r="J155" s="32"/>
      <c r="K155" s="33"/>
      <c r="L155" s="34">
        <f t="shared" si="158"/>
        <v>555.60117361932453</v>
      </c>
      <c r="M155" s="35">
        <f t="shared" si="148"/>
        <v>37.933</v>
      </c>
      <c r="N155" s="36">
        <f t="shared" si="149"/>
        <v>517.66817361932453</v>
      </c>
      <c r="O155" s="37">
        <f t="shared" si="150"/>
        <v>33.450000000000003</v>
      </c>
      <c r="P155" s="37">
        <f t="shared" si="151"/>
        <v>33.33</v>
      </c>
      <c r="Q155" s="33">
        <f t="shared" si="152"/>
        <v>66.78</v>
      </c>
      <c r="R155" s="38">
        <f t="shared" si="153"/>
        <v>33.450083331464917</v>
      </c>
      <c r="S155" s="39"/>
      <c r="T155" s="35"/>
      <c r="U155" s="40">
        <f t="shared" si="154"/>
        <v>617.89825695078946</v>
      </c>
      <c r="V155" s="39"/>
      <c r="W155" s="35"/>
      <c r="X155" s="42"/>
      <c r="Y155" s="43"/>
      <c r="Z155" s="55"/>
      <c r="AA155" s="40">
        <f t="shared" si="156"/>
        <v>0</v>
      </c>
      <c r="AB155" s="36">
        <f t="shared" si="155"/>
        <v>617.89825695078946</v>
      </c>
      <c r="AC155" s="288"/>
      <c r="AD155" s="91"/>
      <c r="AE155" s="68"/>
      <c r="AF155" s="46">
        <f t="shared" si="127"/>
        <v>617.89825695078946</v>
      </c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</row>
    <row r="156" spans="1:157" ht="18" customHeight="1" x14ac:dyDescent="0.25">
      <c r="A156" s="27">
        <f t="shared" si="160"/>
        <v>144</v>
      </c>
      <c r="B156" s="90" t="s">
        <v>181</v>
      </c>
      <c r="C156" s="29">
        <f t="shared" si="161"/>
        <v>401.41</v>
      </c>
      <c r="D156" s="30">
        <f t="shared" si="162"/>
        <v>130.86492742171623</v>
      </c>
      <c r="E156" s="31">
        <f t="shared" si="147"/>
        <v>30.000074736739837</v>
      </c>
      <c r="F156" s="32">
        <f>+'TALLER ACTIVOS'!BF102</f>
        <v>375.88630884552043</v>
      </c>
      <c r="G156" s="32">
        <v>0</v>
      </c>
      <c r="H156" s="32">
        <f>+'TALLER ACTIVOS'!CX102</f>
        <v>156.38861857619577</v>
      </c>
      <c r="I156" s="32">
        <v>0</v>
      </c>
      <c r="J156" s="32"/>
      <c r="K156" s="33"/>
      <c r="L156" s="34">
        <f t="shared" si="158"/>
        <v>532.27492742171626</v>
      </c>
      <c r="M156" s="35">
        <f t="shared" si="148"/>
        <v>37.933</v>
      </c>
      <c r="N156" s="36">
        <f t="shared" si="149"/>
        <v>494.34192742171626</v>
      </c>
      <c r="O156" s="37">
        <f t="shared" si="150"/>
        <v>33.450000000000003</v>
      </c>
      <c r="P156" s="37">
        <f t="shared" si="151"/>
        <v>33.33</v>
      </c>
      <c r="Q156" s="33">
        <f t="shared" si="152"/>
        <v>66.78</v>
      </c>
      <c r="R156" s="38">
        <f t="shared" si="153"/>
        <v>33.450083331464917</v>
      </c>
      <c r="S156" s="39"/>
      <c r="T156" s="35"/>
      <c r="U156" s="40">
        <f t="shared" si="154"/>
        <v>594.57201075318119</v>
      </c>
      <c r="V156" s="39"/>
      <c r="W156" s="35"/>
      <c r="X156" s="42"/>
      <c r="Y156" s="43"/>
      <c r="Z156" s="44"/>
      <c r="AA156" s="40">
        <f t="shared" si="156"/>
        <v>0</v>
      </c>
      <c r="AB156" s="36">
        <f t="shared" si="155"/>
        <v>594.57201075318119</v>
      </c>
      <c r="AC156" s="288"/>
      <c r="AD156" s="91"/>
      <c r="AE156" s="68"/>
      <c r="AF156" s="46">
        <f t="shared" si="127"/>
        <v>594.57201075318119</v>
      </c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</row>
    <row r="157" spans="1:157" s="52" customFormat="1" ht="18" customHeight="1" x14ac:dyDescent="0.25">
      <c r="A157" s="27">
        <f t="shared" si="160"/>
        <v>145</v>
      </c>
      <c r="B157" s="90" t="s">
        <v>178</v>
      </c>
      <c r="C157" s="29">
        <f t="shared" si="161"/>
        <v>401.41</v>
      </c>
      <c r="D157" s="30">
        <f t="shared" si="162"/>
        <v>145.00665451879541</v>
      </c>
      <c r="E157" s="31">
        <f t="shared" si="147"/>
        <v>30.000074736739837</v>
      </c>
      <c r="F157" s="32">
        <f>+'TALLER ACTIVOS'!BF103</f>
        <v>350.02803594259962</v>
      </c>
      <c r="G157" s="32">
        <v>0</v>
      </c>
      <c r="H157" s="32">
        <f>+'TALLER ACTIVOS'!CX103</f>
        <v>196.38861857619577</v>
      </c>
      <c r="I157" s="32">
        <v>0</v>
      </c>
      <c r="J157" s="32"/>
      <c r="K157" s="33"/>
      <c r="L157" s="34">
        <f t="shared" si="158"/>
        <v>546.41665451879544</v>
      </c>
      <c r="M157" s="35">
        <f t="shared" si="148"/>
        <v>37.933</v>
      </c>
      <c r="N157" s="36">
        <f t="shared" si="149"/>
        <v>508.48365451879545</v>
      </c>
      <c r="O157" s="37">
        <f t="shared" si="150"/>
        <v>33.450000000000003</v>
      </c>
      <c r="P157" s="37">
        <f t="shared" si="151"/>
        <v>33.33</v>
      </c>
      <c r="Q157" s="33">
        <f t="shared" si="152"/>
        <v>66.78</v>
      </c>
      <c r="R157" s="38">
        <f>33.45/30*E157</f>
        <v>33.450083331464917</v>
      </c>
      <c r="S157" s="49"/>
      <c r="T157" s="50"/>
      <c r="U157" s="40">
        <f t="shared" si="154"/>
        <v>608.71373785026037</v>
      </c>
      <c r="V157" s="39"/>
      <c r="W157" s="35"/>
      <c r="X157" s="42"/>
      <c r="Y157" s="43"/>
      <c r="Z157" s="55"/>
      <c r="AA157" s="40">
        <f t="shared" si="156"/>
        <v>0</v>
      </c>
      <c r="AB157" s="36">
        <f t="shared" si="155"/>
        <v>608.71373785026037</v>
      </c>
      <c r="AC157" s="288"/>
      <c r="AD157" s="56"/>
      <c r="AE157" s="68"/>
      <c r="AF157" s="46">
        <f t="shared" si="127"/>
        <v>608.71373785026037</v>
      </c>
    </row>
    <row r="158" spans="1:157" s="52" customFormat="1" ht="18" customHeight="1" x14ac:dyDescent="0.25">
      <c r="A158" s="27">
        <f>A157+1</f>
        <v>146</v>
      </c>
      <c r="B158" s="90" t="s">
        <v>197</v>
      </c>
      <c r="C158" s="29">
        <f t="shared" si="161"/>
        <v>100.35000000000001</v>
      </c>
      <c r="D158" s="30">
        <f t="shared" si="162"/>
        <v>0</v>
      </c>
      <c r="E158" s="31">
        <f t="shared" si="147"/>
        <v>7.4998318423353743</v>
      </c>
      <c r="F158" s="32">
        <f>+'TALLER ACTIVOS'!BF104</f>
        <v>0</v>
      </c>
      <c r="G158" s="32">
        <v>0</v>
      </c>
      <c r="H158" s="32">
        <f>+'TALLER ACTIVOS'!CX104</f>
        <v>0</v>
      </c>
      <c r="I158" s="32">
        <v>0</v>
      </c>
      <c r="J158" s="32">
        <f>13.38*30*25%</f>
        <v>100.35000000000001</v>
      </c>
      <c r="K158" s="33"/>
      <c r="L158" s="34">
        <f t="shared" si="158"/>
        <v>100.35000000000001</v>
      </c>
      <c r="M158" s="35">
        <f t="shared" si="148"/>
        <v>9.4830749999999995</v>
      </c>
      <c r="N158" s="36">
        <f t="shared" si="149"/>
        <v>90.866925000000009</v>
      </c>
      <c r="O158" s="37">
        <f t="shared" si="150"/>
        <v>8.3623125042039419</v>
      </c>
      <c r="P158" s="37">
        <f t="shared" si="151"/>
        <v>8.3323131768346013</v>
      </c>
      <c r="Q158" s="33">
        <f t="shared" si="152"/>
        <v>16.694625681038545</v>
      </c>
      <c r="R158" s="38"/>
      <c r="S158" s="39"/>
      <c r="T158" s="35"/>
      <c r="U158" s="40">
        <f t="shared" si="154"/>
        <v>107.56155068103855</v>
      </c>
      <c r="V158" s="39">
        <v>100</v>
      </c>
      <c r="W158" s="35"/>
      <c r="X158" s="42"/>
      <c r="Y158" s="43"/>
      <c r="Z158" s="55"/>
      <c r="AA158" s="40">
        <f t="shared" si="156"/>
        <v>100</v>
      </c>
      <c r="AB158" s="36">
        <f t="shared" si="155"/>
        <v>7.561550681038554</v>
      </c>
      <c r="AC158" s="288"/>
      <c r="AD158" s="56"/>
      <c r="AE158" s="68"/>
      <c r="AF158" s="46">
        <f t="shared" si="127"/>
        <v>7.561550681038554</v>
      </c>
    </row>
    <row r="159" spans="1:157" s="52" customFormat="1" ht="18" customHeight="1" x14ac:dyDescent="0.25">
      <c r="A159" s="27">
        <f t="shared" ref="A159" si="163">A158+1</f>
        <v>147</v>
      </c>
      <c r="B159" s="90" t="s">
        <v>192</v>
      </c>
      <c r="C159" s="29">
        <f t="shared" si="161"/>
        <v>401.41</v>
      </c>
      <c r="D159" s="30">
        <f t="shared" si="162"/>
        <v>102.58999999999997</v>
      </c>
      <c r="E159" s="31">
        <f t="shared" si="147"/>
        <v>30.000074736739837</v>
      </c>
      <c r="F159" s="32">
        <f>+'TALLER ACTIVOS'!BF105</f>
        <v>260</v>
      </c>
      <c r="G159" s="32">
        <v>0</v>
      </c>
      <c r="H159" s="32">
        <f>+'TALLER ACTIVOS'!CX105</f>
        <v>244</v>
      </c>
      <c r="I159" s="32">
        <v>0</v>
      </c>
      <c r="J159" s="32"/>
      <c r="K159" s="33"/>
      <c r="L159" s="34">
        <f t="shared" si="158"/>
        <v>504</v>
      </c>
      <c r="M159" s="35">
        <f t="shared" si="148"/>
        <v>37.933</v>
      </c>
      <c r="N159" s="36">
        <f t="shared" si="149"/>
        <v>466.06700000000001</v>
      </c>
      <c r="O159" s="37">
        <f t="shared" si="150"/>
        <v>33.450000000000003</v>
      </c>
      <c r="P159" s="37">
        <f t="shared" si="151"/>
        <v>33.33</v>
      </c>
      <c r="Q159" s="33">
        <f t="shared" si="152"/>
        <v>66.78</v>
      </c>
      <c r="R159" s="33"/>
      <c r="S159" s="39"/>
      <c r="T159" s="35"/>
      <c r="U159" s="40">
        <f t="shared" si="154"/>
        <v>532.84699999999998</v>
      </c>
      <c r="V159" s="39"/>
      <c r="W159" s="35"/>
      <c r="X159" s="42"/>
      <c r="Y159" s="43"/>
      <c r="Z159" s="69"/>
      <c r="AA159" s="40">
        <f t="shared" si="156"/>
        <v>0</v>
      </c>
      <c r="AB159" s="36">
        <f t="shared" si="155"/>
        <v>532.84699999999998</v>
      </c>
      <c r="AC159" s="288"/>
      <c r="AD159" s="56"/>
      <c r="AE159" s="88"/>
      <c r="AF159" s="46">
        <f t="shared" si="127"/>
        <v>532.84699999999998</v>
      </c>
    </row>
    <row r="160" spans="1:157" s="52" customFormat="1" ht="18" customHeight="1" x14ac:dyDescent="0.25">
      <c r="A160" s="1310" t="s">
        <v>477</v>
      </c>
      <c r="B160" s="1309"/>
      <c r="C160" s="29"/>
      <c r="D160" s="30"/>
      <c r="E160" s="31"/>
      <c r="F160" s="32"/>
      <c r="G160" s="32"/>
      <c r="H160" s="32"/>
      <c r="I160" s="32"/>
      <c r="J160" s="32"/>
      <c r="K160" s="33"/>
      <c r="L160" s="34"/>
      <c r="M160" s="35"/>
      <c r="N160" s="36"/>
      <c r="O160" s="37"/>
      <c r="P160" s="37"/>
      <c r="Q160" s="33"/>
      <c r="R160" s="38"/>
      <c r="S160" s="39"/>
      <c r="T160" s="35"/>
      <c r="U160" s="40"/>
      <c r="V160" s="39"/>
      <c r="W160" s="35"/>
      <c r="X160" s="42"/>
      <c r="Y160" s="43"/>
      <c r="Z160" s="47"/>
      <c r="AA160" s="40"/>
      <c r="AB160" s="36"/>
      <c r="AC160" s="288"/>
      <c r="AD160" s="64"/>
      <c r="AE160" s="68"/>
      <c r="AF160" s="46"/>
    </row>
    <row r="161" spans="1:157" s="52" customFormat="1" ht="18" customHeight="1" x14ac:dyDescent="0.25">
      <c r="A161" s="27">
        <f>A159+1</f>
        <v>148</v>
      </c>
      <c r="B161" s="90" t="s">
        <v>186</v>
      </c>
      <c r="C161" s="29">
        <f t="shared" ref="C161:C183" si="164">IF(L161&gt;=401.41,401.41,IF(L161&lt;401.41,L161))</f>
        <v>401.41</v>
      </c>
      <c r="D161" s="30">
        <f t="shared" ref="D161:D183" si="165">+L161-C161</f>
        <v>145.63248897117631</v>
      </c>
      <c r="E161" s="31">
        <f t="shared" ref="E161:E183" si="166">+C161/13.3803</f>
        <v>30.000074736739837</v>
      </c>
      <c r="F161" s="32">
        <f>+'TALLER RETIRADOS'!BF11</f>
        <v>370.65387039498057</v>
      </c>
      <c r="G161" s="32">
        <v>0</v>
      </c>
      <c r="H161" s="32">
        <f>+'TALLER RETIRADOS'!CX11</f>
        <v>176.38861857619577</v>
      </c>
      <c r="I161" s="32">
        <v>0</v>
      </c>
      <c r="J161" s="32"/>
      <c r="K161" s="33"/>
      <c r="L161" s="34">
        <f t="shared" ref="L161:L183" si="167">+F161+G161+H161+I161+K161+J161</f>
        <v>547.04248897117634</v>
      </c>
      <c r="M161" s="35">
        <f t="shared" ref="M161:M183" si="168">IF(L161&gt;=401.41,37.933,IF(L161&lt;401.41,L161*9.45%))</f>
        <v>37.933</v>
      </c>
      <c r="N161" s="36">
        <f t="shared" ref="N161:N183" si="169">+L161-M161</f>
        <v>509.10948897117635</v>
      </c>
      <c r="O161" s="37">
        <f t="shared" ref="O161:O183" si="170">IF(E161&gt;=30,33.45,IF(E161&lt;30,E161*1.115))</f>
        <v>33.450000000000003</v>
      </c>
      <c r="P161" s="37">
        <f t="shared" ref="P161:P183" si="171">IF(E161&gt;=30,33.33,IF(E161&lt;30,E161*1.111))</f>
        <v>33.33</v>
      </c>
      <c r="Q161" s="33">
        <f t="shared" ref="Q161:Q183" si="172">+O161+P161</f>
        <v>66.78</v>
      </c>
      <c r="R161" s="38">
        <f>33.45/30*E161</f>
        <v>33.450083331464917</v>
      </c>
      <c r="S161" s="39"/>
      <c r="T161" s="35"/>
      <c r="U161" s="40">
        <f t="shared" ref="U161:U183" si="173">N161+Q161+R161+S161+T161</f>
        <v>609.33957230264127</v>
      </c>
      <c r="V161" s="39">
        <v>609.33957230264127</v>
      </c>
      <c r="W161" s="35"/>
      <c r="X161" s="42"/>
      <c r="Y161" s="43"/>
      <c r="Z161" s="55"/>
      <c r="AA161" s="40">
        <f t="shared" ref="AA161:AA183" si="174">+W161+V161+X161+Y161+Z161</f>
        <v>609.33957230264127</v>
      </c>
      <c r="AB161" s="36">
        <f t="shared" ref="AB161:AB183" si="175">+U161-AA161</f>
        <v>0</v>
      </c>
      <c r="AC161" s="288"/>
      <c r="AD161" s="56"/>
      <c r="AE161" s="68"/>
      <c r="AF161" s="46">
        <f t="shared" ref="AF161:AF183" si="176">+AB161-AC161-AD161-AE161</f>
        <v>0</v>
      </c>
    </row>
    <row r="162" spans="1:157" s="52" customFormat="1" ht="18" customHeight="1" x14ac:dyDescent="0.25">
      <c r="A162" s="27">
        <f t="shared" ref="A162:A167" si="177">A161+1</f>
        <v>149</v>
      </c>
      <c r="B162" s="90" t="s">
        <v>176</v>
      </c>
      <c r="C162" s="29">
        <f t="shared" si="164"/>
        <v>401.41</v>
      </c>
      <c r="D162" s="30">
        <f t="shared" si="165"/>
        <v>79.631155273568027</v>
      </c>
      <c r="E162" s="31">
        <f t="shared" si="166"/>
        <v>30.000074736739837</v>
      </c>
      <c r="F162" s="32">
        <f>+'TALLER RETIRADOS'!BF12</f>
        <v>324.65253669737228</v>
      </c>
      <c r="G162" s="32">
        <v>0</v>
      </c>
      <c r="H162" s="32">
        <f>+'TALLER RETIRADOS'!CX12</f>
        <v>156.38861857619577</v>
      </c>
      <c r="I162" s="32">
        <v>0</v>
      </c>
      <c r="J162" s="32"/>
      <c r="K162" s="33"/>
      <c r="L162" s="34">
        <f t="shared" si="167"/>
        <v>481.04115527356805</v>
      </c>
      <c r="M162" s="35">
        <f t="shared" si="168"/>
        <v>37.933</v>
      </c>
      <c r="N162" s="36">
        <f t="shared" si="169"/>
        <v>443.10815527356806</v>
      </c>
      <c r="O162" s="37">
        <f t="shared" si="170"/>
        <v>33.450000000000003</v>
      </c>
      <c r="P162" s="37">
        <f t="shared" si="171"/>
        <v>33.33</v>
      </c>
      <c r="Q162" s="33">
        <f t="shared" si="172"/>
        <v>66.78</v>
      </c>
      <c r="R162" s="38">
        <f>33.45/30*E162</f>
        <v>33.450083331464917</v>
      </c>
      <c r="S162" s="39"/>
      <c r="T162" s="35"/>
      <c r="U162" s="40">
        <f t="shared" si="173"/>
        <v>543.33823860503298</v>
      </c>
      <c r="V162" s="39">
        <v>520.37823860503295</v>
      </c>
      <c r="W162" s="35"/>
      <c r="X162" s="42"/>
      <c r="Y162" s="43"/>
      <c r="Z162" s="55">
        <v>22.96</v>
      </c>
      <c r="AA162" s="40">
        <f t="shared" si="174"/>
        <v>543.33823860503298</v>
      </c>
      <c r="AB162" s="36">
        <f t="shared" si="175"/>
        <v>0</v>
      </c>
      <c r="AC162" s="288"/>
      <c r="AD162" s="56"/>
      <c r="AE162" s="68"/>
      <c r="AF162" s="46">
        <f t="shared" si="176"/>
        <v>0</v>
      </c>
    </row>
    <row r="163" spans="1:157" s="52" customFormat="1" ht="18" customHeight="1" x14ac:dyDescent="0.25">
      <c r="A163" s="27">
        <f t="shared" si="177"/>
        <v>150</v>
      </c>
      <c r="B163" s="90" t="s">
        <v>188</v>
      </c>
      <c r="C163" s="29">
        <f t="shared" si="164"/>
        <v>401.41</v>
      </c>
      <c r="D163" s="30">
        <f t="shared" si="165"/>
        <v>146.73219193784524</v>
      </c>
      <c r="E163" s="31">
        <f t="shared" si="166"/>
        <v>30.000074736739837</v>
      </c>
      <c r="F163" s="32">
        <f>+'TALLER RETIRADOS'!BF13</f>
        <v>375.88630884552043</v>
      </c>
      <c r="G163" s="32">
        <v>0</v>
      </c>
      <c r="H163" s="32">
        <f>+'TALLER RETIRADOS'!CX13</f>
        <v>172.25588309232481</v>
      </c>
      <c r="I163" s="32">
        <v>0</v>
      </c>
      <c r="J163" s="32"/>
      <c r="K163" s="33"/>
      <c r="L163" s="34">
        <f t="shared" si="167"/>
        <v>548.14219193784527</v>
      </c>
      <c r="M163" s="35">
        <f t="shared" si="168"/>
        <v>37.933</v>
      </c>
      <c r="N163" s="36">
        <f t="shared" si="169"/>
        <v>510.20919193784528</v>
      </c>
      <c r="O163" s="37">
        <f t="shared" si="170"/>
        <v>33.450000000000003</v>
      </c>
      <c r="P163" s="37">
        <f t="shared" si="171"/>
        <v>33.33</v>
      </c>
      <c r="Q163" s="33">
        <f t="shared" si="172"/>
        <v>66.78</v>
      </c>
      <c r="R163" s="38">
        <f>33.45/30*E163</f>
        <v>33.450083331464917</v>
      </c>
      <c r="S163" s="39"/>
      <c r="T163" s="35"/>
      <c r="U163" s="40">
        <f t="shared" si="173"/>
        <v>610.4392752693102</v>
      </c>
      <c r="V163" s="39">
        <v>610.4392752693102</v>
      </c>
      <c r="W163" s="35"/>
      <c r="X163" s="42"/>
      <c r="Y163" s="43"/>
      <c r="Z163" s="55"/>
      <c r="AA163" s="40">
        <f t="shared" si="174"/>
        <v>610.4392752693102</v>
      </c>
      <c r="AB163" s="36">
        <f t="shared" si="175"/>
        <v>0</v>
      </c>
      <c r="AC163" s="288"/>
      <c r="AD163" s="56"/>
      <c r="AE163" s="67"/>
      <c r="AF163" s="46">
        <f t="shared" si="176"/>
        <v>0</v>
      </c>
    </row>
    <row r="164" spans="1:157" ht="18" customHeight="1" x14ac:dyDescent="0.25">
      <c r="A164" s="27">
        <f t="shared" si="177"/>
        <v>151</v>
      </c>
      <c r="B164" s="90" t="s">
        <v>172</v>
      </c>
      <c r="C164" s="29">
        <f t="shared" si="164"/>
        <v>401.41</v>
      </c>
      <c r="D164" s="30">
        <f t="shared" si="165"/>
        <v>130.86492742171623</v>
      </c>
      <c r="E164" s="31">
        <f t="shared" si="166"/>
        <v>30.000074736739837</v>
      </c>
      <c r="F164" s="32">
        <f>+'TALLER RETIRADOS'!BF14</f>
        <v>375.88630884552043</v>
      </c>
      <c r="G164" s="32">
        <v>0</v>
      </c>
      <c r="H164" s="32">
        <f>+'TALLER RETIRADOS'!CX14</f>
        <v>156.38861857619577</v>
      </c>
      <c r="I164" s="32">
        <v>0</v>
      </c>
      <c r="J164" s="32"/>
      <c r="K164" s="33"/>
      <c r="L164" s="34">
        <f t="shared" si="167"/>
        <v>532.27492742171626</v>
      </c>
      <c r="M164" s="35">
        <f t="shared" si="168"/>
        <v>37.933</v>
      </c>
      <c r="N164" s="36">
        <f t="shared" si="169"/>
        <v>494.34192742171626</v>
      </c>
      <c r="O164" s="37">
        <f t="shared" si="170"/>
        <v>33.450000000000003</v>
      </c>
      <c r="P164" s="37">
        <f t="shared" si="171"/>
        <v>33.33</v>
      </c>
      <c r="Q164" s="33">
        <f t="shared" si="172"/>
        <v>66.78</v>
      </c>
      <c r="R164" s="38">
        <f>33.45/30*E164</f>
        <v>33.450083331464917</v>
      </c>
      <c r="S164" s="39"/>
      <c r="T164" s="35"/>
      <c r="U164" s="40">
        <f t="shared" si="173"/>
        <v>594.57201075318119</v>
      </c>
      <c r="V164" s="39">
        <v>594.57201075318119</v>
      </c>
      <c r="W164" s="35"/>
      <c r="X164" s="42"/>
      <c r="Y164" s="43"/>
      <c r="Z164" s="55"/>
      <c r="AA164" s="40">
        <f t="shared" si="174"/>
        <v>594.57201075318119</v>
      </c>
      <c r="AB164" s="36">
        <f t="shared" si="175"/>
        <v>0</v>
      </c>
      <c r="AC164" s="288"/>
      <c r="AD164" s="56"/>
      <c r="AE164" s="45"/>
      <c r="AF164" s="46">
        <f t="shared" si="176"/>
        <v>0</v>
      </c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</row>
    <row r="165" spans="1:157" ht="18" customHeight="1" x14ac:dyDescent="0.25">
      <c r="A165" s="27">
        <f t="shared" si="177"/>
        <v>152</v>
      </c>
      <c r="B165" s="90" t="s">
        <v>198</v>
      </c>
      <c r="C165" s="29">
        <f t="shared" si="164"/>
        <v>401.41</v>
      </c>
      <c r="D165" s="30">
        <f t="shared" si="165"/>
        <v>130.86492742171623</v>
      </c>
      <c r="E165" s="31">
        <f t="shared" si="166"/>
        <v>30.000074736739837</v>
      </c>
      <c r="F165" s="32">
        <f>+'TALLER RETIRADOS'!BF15</f>
        <v>375.88630884552043</v>
      </c>
      <c r="G165" s="32">
        <v>0</v>
      </c>
      <c r="H165" s="32">
        <f>+'TALLER RETIRADOS'!CX15</f>
        <v>156.38861857619577</v>
      </c>
      <c r="I165" s="32">
        <v>0</v>
      </c>
      <c r="J165" s="66"/>
      <c r="K165" s="33"/>
      <c r="L165" s="34">
        <f t="shared" si="167"/>
        <v>532.27492742171626</v>
      </c>
      <c r="M165" s="35">
        <f t="shared" si="168"/>
        <v>37.933</v>
      </c>
      <c r="N165" s="36">
        <f t="shared" si="169"/>
        <v>494.34192742171626</v>
      </c>
      <c r="O165" s="37">
        <f t="shared" si="170"/>
        <v>33.450000000000003</v>
      </c>
      <c r="P165" s="37">
        <f t="shared" si="171"/>
        <v>33.33</v>
      </c>
      <c r="Q165" s="33">
        <f t="shared" si="172"/>
        <v>66.78</v>
      </c>
      <c r="R165" s="38">
        <f>33.45/30*E165</f>
        <v>33.450083331464917</v>
      </c>
      <c r="S165" s="39"/>
      <c r="T165" s="35"/>
      <c r="U165" s="40">
        <f t="shared" si="173"/>
        <v>594.57201075318119</v>
      </c>
      <c r="V165" s="39">
        <v>594.57201075318119</v>
      </c>
      <c r="W165" s="35"/>
      <c r="X165" s="42"/>
      <c r="Y165" s="43"/>
      <c r="Z165" s="44"/>
      <c r="AA165" s="40">
        <f t="shared" si="174"/>
        <v>594.57201075318119</v>
      </c>
      <c r="AB165" s="36">
        <f t="shared" si="175"/>
        <v>0</v>
      </c>
      <c r="AC165" s="288"/>
      <c r="AD165" s="56"/>
      <c r="AE165" s="45"/>
      <c r="AF165" s="46">
        <f t="shared" si="176"/>
        <v>0</v>
      </c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</row>
    <row r="166" spans="1:157" s="57" customFormat="1" ht="18" customHeight="1" x14ac:dyDescent="0.25">
      <c r="A166" s="27">
        <f t="shared" si="177"/>
        <v>153</v>
      </c>
      <c r="B166" s="90" t="s">
        <v>177</v>
      </c>
      <c r="C166" s="29">
        <f t="shared" si="164"/>
        <v>401.41</v>
      </c>
      <c r="D166" s="30">
        <f t="shared" si="165"/>
        <v>130.8616637853525</v>
      </c>
      <c r="E166" s="31">
        <f t="shared" si="166"/>
        <v>30.000074736739837</v>
      </c>
      <c r="F166" s="32">
        <f>+'TALLER RETIRADOS'!BF16</f>
        <v>375.88304520915682</v>
      </c>
      <c r="G166" s="32">
        <v>0</v>
      </c>
      <c r="H166" s="32">
        <f>+'TALLER RETIRADOS'!CX16</f>
        <v>156.38861857619577</v>
      </c>
      <c r="I166" s="32">
        <v>0</v>
      </c>
      <c r="J166" s="32"/>
      <c r="K166" s="33"/>
      <c r="L166" s="34">
        <f t="shared" si="167"/>
        <v>532.27166378535253</v>
      </c>
      <c r="M166" s="35">
        <f t="shared" si="168"/>
        <v>37.933</v>
      </c>
      <c r="N166" s="36">
        <f t="shared" si="169"/>
        <v>494.33866378535254</v>
      </c>
      <c r="O166" s="37">
        <f t="shared" si="170"/>
        <v>33.450000000000003</v>
      </c>
      <c r="P166" s="37">
        <f t="shared" si="171"/>
        <v>33.33</v>
      </c>
      <c r="Q166" s="33">
        <f t="shared" si="172"/>
        <v>66.78</v>
      </c>
      <c r="R166" s="38"/>
      <c r="S166" s="39"/>
      <c r="T166" s="35"/>
      <c r="U166" s="40">
        <f t="shared" si="173"/>
        <v>561.11866378535251</v>
      </c>
      <c r="V166" s="39">
        <v>561.11866378535251</v>
      </c>
      <c r="W166" s="35"/>
      <c r="X166" s="42"/>
      <c r="Y166" s="43"/>
      <c r="Z166" s="47"/>
      <c r="AA166" s="40">
        <f t="shared" si="174"/>
        <v>561.11866378535251</v>
      </c>
      <c r="AB166" s="36">
        <f t="shared" si="175"/>
        <v>0</v>
      </c>
      <c r="AC166" s="288"/>
      <c r="AD166" s="56"/>
      <c r="AE166" s="68"/>
      <c r="AF166" s="46">
        <f t="shared" si="176"/>
        <v>0</v>
      </c>
    </row>
    <row r="167" spans="1:157" s="57" customFormat="1" ht="18" customHeight="1" x14ac:dyDescent="0.25">
      <c r="A167" s="27">
        <f t="shared" si="177"/>
        <v>154</v>
      </c>
      <c r="B167" s="90" t="s">
        <v>266</v>
      </c>
      <c r="C167" s="29">
        <f t="shared" si="164"/>
        <v>401.41</v>
      </c>
      <c r="D167" s="30">
        <f t="shared" si="165"/>
        <v>130.86492742171623</v>
      </c>
      <c r="E167" s="31">
        <f t="shared" si="166"/>
        <v>30.000074736739837</v>
      </c>
      <c r="F167" s="32">
        <f>+'TALLER RETIRADOS'!BF17</f>
        <v>375.88630884552043</v>
      </c>
      <c r="G167" s="32">
        <v>0</v>
      </c>
      <c r="H167" s="32">
        <f>+'TALLER RETIRADOS'!CX17</f>
        <v>156.38861857619577</v>
      </c>
      <c r="I167" s="32">
        <v>0</v>
      </c>
      <c r="J167" s="32"/>
      <c r="K167" s="33"/>
      <c r="L167" s="34">
        <f t="shared" si="167"/>
        <v>532.27492742171626</v>
      </c>
      <c r="M167" s="35">
        <f t="shared" si="168"/>
        <v>37.933</v>
      </c>
      <c r="N167" s="36">
        <f t="shared" si="169"/>
        <v>494.34192742171626</v>
      </c>
      <c r="O167" s="37">
        <f t="shared" si="170"/>
        <v>33.450000000000003</v>
      </c>
      <c r="P167" s="37">
        <f t="shared" si="171"/>
        <v>33.33</v>
      </c>
      <c r="Q167" s="33">
        <f t="shared" si="172"/>
        <v>66.78</v>
      </c>
      <c r="R167" s="38">
        <f>33.45/30*E167</f>
        <v>33.450083331464917</v>
      </c>
      <c r="S167" s="39"/>
      <c r="T167" s="35"/>
      <c r="U167" s="40">
        <f t="shared" si="173"/>
        <v>594.57201075318119</v>
      </c>
      <c r="V167" s="39">
        <v>594.57201075318119</v>
      </c>
      <c r="W167" s="35"/>
      <c r="X167" s="42"/>
      <c r="Y167" s="43"/>
      <c r="Z167" s="58"/>
      <c r="AA167" s="40">
        <f t="shared" si="174"/>
        <v>594.57201075318119</v>
      </c>
      <c r="AB167" s="36">
        <f t="shared" si="175"/>
        <v>0</v>
      </c>
      <c r="AC167" s="288"/>
      <c r="AD167" s="56"/>
      <c r="AE167" s="45"/>
      <c r="AF167" s="46">
        <f t="shared" si="176"/>
        <v>0</v>
      </c>
    </row>
    <row r="168" spans="1:157" s="52" customFormat="1" ht="18" customHeight="1" x14ac:dyDescent="0.25">
      <c r="A168" s="27">
        <f t="shared" ref="A168:A176" si="178">A167+1</f>
        <v>155</v>
      </c>
      <c r="B168" s="90" t="s">
        <v>194</v>
      </c>
      <c r="C168" s="29">
        <f t="shared" si="164"/>
        <v>401.41</v>
      </c>
      <c r="D168" s="30">
        <f t="shared" si="165"/>
        <v>130.86492742171623</v>
      </c>
      <c r="E168" s="31">
        <f t="shared" si="166"/>
        <v>30.000074736739837</v>
      </c>
      <c r="F168" s="32">
        <f>+'TALLER RETIRADOS'!BF18</f>
        <v>375.88630884552043</v>
      </c>
      <c r="G168" s="32">
        <v>0</v>
      </c>
      <c r="H168" s="32">
        <f>+'TALLER RETIRADOS'!CX18</f>
        <v>156.38861857619577</v>
      </c>
      <c r="I168" s="32">
        <v>0</v>
      </c>
      <c r="J168" s="32"/>
      <c r="K168" s="33"/>
      <c r="L168" s="34">
        <f t="shared" si="167"/>
        <v>532.27492742171626</v>
      </c>
      <c r="M168" s="35">
        <f t="shared" si="168"/>
        <v>37.933</v>
      </c>
      <c r="N168" s="36">
        <f t="shared" si="169"/>
        <v>494.34192742171626</v>
      </c>
      <c r="O168" s="37">
        <f t="shared" si="170"/>
        <v>33.450000000000003</v>
      </c>
      <c r="P168" s="37">
        <f t="shared" si="171"/>
        <v>33.33</v>
      </c>
      <c r="Q168" s="33">
        <f t="shared" si="172"/>
        <v>66.78</v>
      </c>
      <c r="R168" s="38">
        <f>33.45/30*E168</f>
        <v>33.450083331464917</v>
      </c>
      <c r="S168" s="39"/>
      <c r="T168" s="35"/>
      <c r="U168" s="40">
        <f t="shared" si="173"/>
        <v>594.57201075318119</v>
      </c>
      <c r="V168" s="39">
        <v>551.14201075318124</v>
      </c>
      <c r="W168" s="35"/>
      <c r="X168" s="42"/>
      <c r="Y168" s="43"/>
      <c r="Z168" s="58">
        <v>43.43</v>
      </c>
      <c r="AA168" s="40">
        <f t="shared" si="174"/>
        <v>594.57201075318119</v>
      </c>
      <c r="AB168" s="36">
        <f t="shared" si="175"/>
        <v>0</v>
      </c>
      <c r="AC168" s="288"/>
      <c r="AD168" s="56"/>
      <c r="AE168" s="68"/>
      <c r="AF168" s="46">
        <f t="shared" si="176"/>
        <v>0</v>
      </c>
    </row>
    <row r="169" spans="1:157" ht="18" customHeight="1" x14ac:dyDescent="0.25">
      <c r="A169" s="27">
        <f t="shared" si="178"/>
        <v>156</v>
      </c>
      <c r="B169" s="90" t="s">
        <v>171</v>
      </c>
      <c r="C169" s="29">
        <f t="shared" si="164"/>
        <v>401.41</v>
      </c>
      <c r="D169" s="30">
        <f t="shared" si="165"/>
        <v>170.85972585431801</v>
      </c>
      <c r="E169" s="31">
        <f t="shared" si="166"/>
        <v>30.000074736739837</v>
      </c>
      <c r="F169" s="32">
        <f>+'TALLER RETIRADOS'!BF19</f>
        <v>395.87971187582343</v>
      </c>
      <c r="G169" s="32">
        <v>0</v>
      </c>
      <c r="H169" s="32">
        <f>+'TALLER RETIRADOS'!CX19</f>
        <v>176.39001397849461</v>
      </c>
      <c r="I169" s="32">
        <v>0</v>
      </c>
      <c r="J169" s="32"/>
      <c r="K169" s="33"/>
      <c r="L169" s="34">
        <f t="shared" si="167"/>
        <v>572.26972585431804</v>
      </c>
      <c r="M169" s="35">
        <f t="shared" si="168"/>
        <v>37.933</v>
      </c>
      <c r="N169" s="36">
        <f t="shared" si="169"/>
        <v>534.33672585431805</v>
      </c>
      <c r="O169" s="37">
        <f t="shared" si="170"/>
        <v>33.450000000000003</v>
      </c>
      <c r="P169" s="37">
        <f t="shared" si="171"/>
        <v>33.33</v>
      </c>
      <c r="Q169" s="33">
        <f t="shared" si="172"/>
        <v>66.78</v>
      </c>
      <c r="R169" s="38"/>
      <c r="S169" s="39"/>
      <c r="T169" s="35"/>
      <c r="U169" s="40">
        <f t="shared" si="173"/>
        <v>601.11672585431802</v>
      </c>
      <c r="V169" s="39">
        <v>601.11672585431802</v>
      </c>
      <c r="W169" s="35"/>
      <c r="X169" s="42"/>
      <c r="Y169" s="43"/>
      <c r="Z169" s="59"/>
      <c r="AA169" s="40">
        <f t="shared" si="174"/>
        <v>601.11672585431802</v>
      </c>
      <c r="AB169" s="36">
        <f t="shared" si="175"/>
        <v>0</v>
      </c>
      <c r="AC169" s="288"/>
      <c r="AD169" s="56"/>
      <c r="AE169" s="67"/>
      <c r="AF169" s="46">
        <f t="shared" si="176"/>
        <v>0</v>
      </c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</row>
    <row r="170" spans="1:157" s="57" customFormat="1" ht="18" customHeight="1" x14ac:dyDescent="0.25">
      <c r="A170" s="27">
        <f t="shared" si="178"/>
        <v>157</v>
      </c>
      <c r="B170" s="90" t="s">
        <v>168</v>
      </c>
      <c r="C170" s="29">
        <f t="shared" si="164"/>
        <v>401.41</v>
      </c>
      <c r="D170" s="30">
        <f t="shared" si="165"/>
        <v>74.22808510319544</v>
      </c>
      <c r="E170" s="31">
        <f t="shared" si="166"/>
        <v>30.000074736739837</v>
      </c>
      <c r="F170" s="32">
        <f>+'TALLER RETIRADOS'!BF20</f>
        <v>319.2494665269997</v>
      </c>
      <c r="G170" s="32">
        <v>0</v>
      </c>
      <c r="H170" s="32">
        <f>+'TALLER RETIRADOS'!CX20</f>
        <v>156.38861857619577</v>
      </c>
      <c r="I170" s="32">
        <v>0</v>
      </c>
      <c r="J170" s="66"/>
      <c r="K170" s="33"/>
      <c r="L170" s="34">
        <f t="shared" si="167"/>
        <v>475.63808510319546</v>
      </c>
      <c r="M170" s="35">
        <f t="shared" si="168"/>
        <v>37.933</v>
      </c>
      <c r="N170" s="36">
        <f t="shared" si="169"/>
        <v>437.70508510319547</v>
      </c>
      <c r="O170" s="37">
        <f t="shared" si="170"/>
        <v>33.450000000000003</v>
      </c>
      <c r="P170" s="37">
        <f t="shared" si="171"/>
        <v>33.33</v>
      </c>
      <c r="Q170" s="33">
        <f t="shared" si="172"/>
        <v>66.78</v>
      </c>
      <c r="R170" s="38">
        <f>33.45/30*E170</f>
        <v>33.450083331464917</v>
      </c>
      <c r="S170" s="39"/>
      <c r="T170" s="35"/>
      <c r="U170" s="40">
        <f t="shared" si="173"/>
        <v>537.93516843466045</v>
      </c>
      <c r="V170" s="39">
        <v>537.93516843466045</v>
      </c>
      <c r="W170" s="35"/>
      <c r="X170" s="42"/>
      <c r="Y170" s="43"/>
      <c r="Z170" s="55"/>
      <c r="AA170" s="40">
        <f t="shared" si="174"/>
        <v>537.93516843466045</v>
      </c>
      <c r="AB170" s="36">
        <f t="shared" si="175"/>
        <v>0</v>
      </c>
      <c r="AC170" s="288"/>
      <c r="AD170" s="56"/>
      <c r="AE170" s="45"/>
      <c r="AF170" s="46">
        <f t="shared" si="176"/>
        <v>0</v>
      </c>
    </row>
    <row r="171" spans="1:157" ht="18" customHeight="1" x14ac:dyDescent="0.25">
      <c r="A171" s="27">
        <f t="shared" si="178"/>
        <v>158</v>
      </c>
      <c r="B171" s="90" t="s">
        <v>190</v>
      </c>
      <c r="C171" s="29">
        <f t="shared" si="164"/>
        <v>401.41</v>
      </c>
      <c r="D171" s="30">
        <f t="shared" si="165"/>
        <v>130.86492742171623</v>
      </c>
      <c r="E171" s="31">
        <f t="shared" si="166"/>
        <v>30.000074736739837</v>
      </c>
      <c r="F171" s="32">
        <f>+'TALLER RETIRADOS'!BF21</f>
        <v>375.88630884552043</v>
      </c>
      <c r="G171" s="32">
        <v>0</v>
      </c>
      <c r="H171" s="32">
        <f>+'TALLER RETIRADOS'!CX21</f>
        <v>156.38861857619577</v>
      </c>
      <c r="I171" s="32">
        <v>0</v>
      </c>
      <c r="J171" s="32"/>
      <c r="K171" s="33"/>
      <c r="L171" s="34">
        <f t="shared" si="167"/>
        <v>532.27492742171626</v>
      </c>
      <c r="M171" s="35">
        <f t="shared" si="168"/>
        <v>37.933</v>
      </c>
      <c r="N171" s="36">
        <f t="shared" si="169"/>
        <v>494.34192742171626</v>
      </c>
      <c r="O171" s="37">
        <f t="shared" si="170"/>
        <v>33.450000000000003</v>
      </c>
      <c r="P171" s="37">
        <f t="shared" si="171"/>
        <v>33.33</v>
      </c>
      <c r="Q171" s="33">
        <f t="shared" si="172"/>
        <v>66.78</v>
      </c>
      <c r="R171" s="38">
        <f>33.45/30*E171</f>
        <v>33.450083331464917</v>
      </c>
      <c r="S171" s="39"/>
      <c r="T171" s="35"/>
      <c r="U171" s="40">
        <f t="shared" si="173"/>
        <v>594.57201075318119</v>
      </c>
      <c r="V171" s="39">
        <v>594.57201075318119</v>
      </c>
      <c r="W171" s="35"/>
      <c r="X171" s="42"/>
      <c r="Y171" s="43"/>
      <c r="Z171" s="44"/>
      <c r="AA171" s="40">
        <f t="shared" si="174"/>
        <v>594.57201075318119</v>
      </c>
      <c r="AB171" s="36">
        <f t="shared" si="175"/>
        <v>0</v>
      </c>
      <c r="AC171" s="288"/>
      <c r="AD171" s="56"/>
      <c r="AE171" s="68"/>
      <c r="AF171" s="46">
        <f t="shared" si="176"/>
        <v>0</v>
      </c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</row>
    <row r="172" spans="1:157" s="52" customFormat="1" ht="18" customHeight="1" x14ac:dyDescent="0.25">
      <c r="A172" s="27">
        <f t="shared" si="178"/>
        <v>159</v>
      </c>
      <c r="B172" s="90" t="s">
        <v>43</v>
      </c>
      <c r="C172" s="29">
        <f t="shared" si="164"/>
        <v>401.41</v>
      </c>
      <c r="D172" s="30">
        <f t="shared" si="165"/>
        <v>165.39918551879538</v>
      </c>
      <c r="E172" s="31">
        <f t="shared" si="166"/>
        <v>30.000074736739837</v>
      </c>
      <c r="F172" s="32">
        <f>+'TALLER RETIRADOS'!BF22</f>
        <v>350.42056694259963</v>
      </c>
      <c r="G172" s="32">
        <v>0</v>
      </c>
      <c r="H172" s="32">
        <f>+'TALLER RETIRADOS'!CX22</f>
        <v>216.38861857619577</v>
      </c>
      <c r="I172" s="32">
        <v>0</v>
      </c>
      <c r="J172" s="66"/>
      <c r="K172" s="33"/>
      <c r="L172" s="34">
        <f t="shared" si="167"/>
        <v>566.8091855187954</v>
      </c>
      <c r="M172" s="35">
        <f t="shared" si="168"/>
        <v>37.933</v>
      </c>
      <c r="N172" s="36">
        <f t="shared" si="169"/>
        <v>528.87618551879541</v>
      </c>
      <c r="O172" s="37">
        <f t="shared" si="170"/>
        <v>33.450000000000003</v>
      </c>
      <c r="P172" s="37">
        <f t="shared" si="171"/>
        <v>33.33</v>
      </c>
      <c r="Q172" s="33">
        <f t="shared" si="172"/>
        <v>66.78</v>
      </c>
      <c r="R172" s="38"/>
      <c r="S172" s="39"/>
      <c r="T172" s="35"/>
      <c r="U172" s="40">
        <f t="shared" si="173"/>
        <v>595.65618551879538</v>
      </c>
      <c r="V172" s="39">
        <v>595.65618551879538</v>
      </c>
      <c r="W172" s="35"/>
      <c r="X172" s="42"/>
      <c r="Y172" s="43"/>
      <c r="Z172" s="59"/>
      <c r="AA172" s="40">
        <f t="shared" si="174"/>
        <v>595.65618551879538</v>
      </c>
      <c r="AB172" s="36">
        <f t="shared" si="175"/>
        <v>0</v>
      </c>
      <c r="AC172" s="288"/>
      <c r="AD172" s="56"/>
      <c r="AE172" s="68"/>
      <c r="AF172" s="46">
        <f t="shared" si="176"/>
        <v>0</v>
      </c>
    </row>
    <row r="173" spans="1:157" s="52" customFormat="1" ht="18" customHeight="1" x14ac:dyDescent="0.25">
      <c r="A173" s="27">
        <f t="shared" si="178"/>
        <v>160</v>
      </c>
      <c r="B173" s="90" t="s">
        <v>201</v>
      </c>
      <c r="C173" s="29">
        <f t="shared" si="164"/>
        <v>401.41</v>
      </c>
      <c r="D173" s="30">
        <f t="shared" si="165"/>
        <v>114.1911736193245</v>
      </c>
      <c r="E173" s="31">
        <f t="shared" si="166"/>
        <v>30.000074736739837</v>
      </c>
      <c r="F173" s="32">
        <f>+'TALLER RETIRADOS'!BF23</f>
        <v>359.2125550431287</v>
      </c>
      <c r="G173" s="32">
        <v>0</v>
      </c>
      <c r="H173" s="32">
        <f>+'TALLER RETIRADOS'!CX23</f>
        <v>156.38861857619577</v>
      </c>
      <c r="I173" s="32">
        <v>0</v>
      </c>
      <c r="J173" s="32"/>
      <c r="K173" s="33"/>
      <c r="L173" s="34">
        <f t="shared" si="167"/>
        <v>515.60117361932453</v>
      </c>
      <c r="M173" s="35">
        <f t="shared" si="168"/>
        <v>37.933</v>
      </c>
      <c r="N173" s="36">
        <f t="shared" si="169"/>
        <v>477.66817361932453</v>
      </c>
      <c r="O173" s="37">
        <f t="shared" si="170"/>
        <v>33.450000000000003</v>
      </c>
      <c r="P173" s="37">
        <f t="shared" si="171"/>
        <v>33.33</v>
      </c>
      <c r="Q173" s="33">
        <f t="shared" si="172"/>
        <v>66.78</v>
      </c>
      <c r="R173" s="38">
        <f>33.45/30*E173</f>
        <v>33.450083331464917</v>
      </c>
      <c r="S173" s="39"/>
      <c r="T173" s="35"/>
      <c r="U173" s="40">
        <f t="shared" si="173"/>
        <v>577.89825695078946</v>
      </c>
      <c r="V173" s="39">
        <v>577.89825695078946</v>
      </c>
      <c r="W173" s="35"/>
      <c r="X173" s="42"/>
      <c r="Y173" s="43"/>
      <c r="Z173" s="55"/>
      <c r="AA173" s="40">
        <f t="shared" si="174"/>
        <v>577.89825695078946</v>
      </c>
      <c r="AB173" s="36">
        <f t="shared" si="175"/>
        <v>0</v>
      </c>
      <c r="AC173" s="288"/>
      <c r="AD173" s="91"/>
      <c r="AE173" s="68"/>
      <c r="AF173" s="46">
        <f t="shared" si="176"/>
        <v>0</v>
      </c>
    </row>
    <row r="174" spans="1:157" ht="18" customHeight="1" x14ac:dyDescent="0.25">
      <c r="A174" s="27">
        <f t="shared" si="178"/>
        <v>161</v>
      </c>
      <c r="B174" s="90" t="s">
        <v>42</v>
      </c>
      <c r="C174" s="29">
        <f t="shared" si="164"/>
        <v>401.41</v>
      </c>
      <c r="D174" s="30">
        <f t="shared" si="165"/>
        <v>101.21743051879537</v>
      </c>
      <c r="E174" s="31">
        <f t="shared" si="166"/>
        <v>30.000074736739837</v>
      </c>
      <c r="F174" s="32">
        <f>+'TALLER RETIRADOS'!BF24</f>
        <v>346.23881194259963</v>
      </c>
      <c r="G174" s="32">
        <v>0</v>
      </c>
      <c r="H174" s="32">
        <f>+'TALLER RETIRADOS'!CX24</f>
        <v>156.38861857619577</v>
      </c>
      <c r="I174" s="32">
        <v>0</v>
      </c>
      <c r="J174" s="32"/>
      <c r="K174" s="33"/>
      <c r="L174" s="34">
        <f t="shared" si="167"/>
        <v>502.62743051879539</v>
      </c>
      <c r="M174" s="35">
        <f t="shared" si="168"/>
        <v>37.933</v>
      </c>
      <c r="N174" s="36">
        <f t="shared" si="169"/>
        <v>464.6944305187954</v>
      </c>
      <c r="O174" s="37">
        <f t="shared" si="170"/>
        <v>33.450000000000003</v>
      </c>
      <c r="P174" s="37">
        <f t="shared" si="171"/>
        <v>33.33</v>
      </c>
      <c r="Q174" s="33">
        <f t="shared" si="172"/>
        <v>66.78</v>
      </c>
      <c r="R174" s="38">
        <f>33.45/30*E174</f>
        <v>33.450083331464917</v>
      </c>
      <c r="S174" s="39"/>
      <c r="T174" s="35"/>
      <c r="U174" s="40">
        <f t="shared" si="173"/>
        <v>564.92451385026038</v>
      </c>
      <c r="V174" s="39">
        <v>505.36451385026038</v>
      </c>
      <c r="W174" s="35"/>
      <c r="X174" s="42"/>
      <c r="Y174" s="43"/>
      <c r="Z174" s="47">
        <v>59.56</v>
      </c>
      <c r="AA174" s="40">
        <f t="shared" si="174"/>
        <v>564.92451385026038</v>
      </c>
      <c r="AB174" s="36">
        <f t="shared" si="175"/>
        <v>0</v>
      </c>
      <c r="AC174" s="288"/>
      <c r="AD174" s="56"/>
      <c r="AE174" s="68"/>
      <c r="AF174" s="46">
        <f t="shared" si="176"/>
        <v>0</v>
      </c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</row>
    <row r="175" spans="1:157" ht="18" customHeight="1" x14ac:dyDescent="0.25">
      <c r="A175" s="27">
        <f t="shared" si="178"/>
        <v>162</v>
      </c>
      <c r="B175" s="90" t="s">
        <v>164</v>
      </c>
      <c r="C175" s="29">
        <f t="shared" si="164"/>
        <v>331.31514019826352</v>
      </c>
      <c r="D175" s="30">
        <f t="shared" si="165"/>
        <v>0</v>
      </c>
      <c r="E175" s="31">
        <f t="shared" si="166"/>
        <v>24.761413436041309</v>
      </c>
      <c r="F175" s="32">
        <f>+'TALLER RETIRADOS'!BF25</f>
        <v>331.31514019826352</v>
      </c>
      <c r="G175" s="32">
        <v>0</v>
      </c>
      <c r="H175" s="32">
        <f>+'TALLER RETIRADOS'!CX25</f>
        <v>0</v>
      </c>
      <c r="I175" s="32">
        <v>0</v>
      </c>
      <c r="J175" s="32"/>
      <c r="K175" s="65"/>
      <c r="L175" s="34">
        <f t="shared" si="167"/>
        <v>331.31514019826352</v>
      </c>
      <c r="M175" s="35">
        <f t="shared" si="168"/>
        <v>31.309280748735898</v>
      </c>
      <c r="N175" s="36">
        <f t="shared" si="169"/>
        <v>300.00585944952763</v>
      </c>
      <c r="O175" s="37">
        <f t="shared" si="170"/>
        <v>27.60897598118606</v>
      </c>
      <c r="P175" s="37">
        <f t="shared" si="171"/>
        <v>27.509930327441893</v>
      </c>
      <c r="Q175" s="33">
        <f t="shared" si="172"/>
        <v>55.118906308627956</v>
      </c>
      <c r="R175" s="38"/>
      <c r="S175" s="39"/>
      <c r="T175" s="35"/>
      <c r="U175" s="40">
        <f t="shared" si="173"/>
        <v>355.1247657581556</v>
      </c>
      <c r="V175" s="39">
        <v>355.1247657581556</v>
      </c>
      <c r="W175" s="35"/>
      <c r="X175" s="42"/>
      <c r="Y175" s="43"/>
      <c r="Z175" s="55"/>
      <c r="AA175" s="40">
        <f t="shared" si="174"/>
        <v>355.1247657581556</v>
      </c>
      <c r="AB175" s="36">
        <f t="shared" si="175"/>
        <v>0</v>
      </c>
      <c r="AC175" s="288"/>
      <c r="AD175" s="56"/>
      <c r="AE175" s="68"/>
      <c r="AF175" s="46">
        <f t="shared" si="176"/>
        <v>0</v>
      </c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</row>
    <row r="176" spans="1:157" s="57" customFormat="1" ht="18" customHeight="1" x14ac:dyDescent="0.25">
      <c r="A176" s="27">
        <f t="shared" si="178"/>
        <v>163</v>
      </c>
      <c r="B176" s="90" t="s">
        <v>175</v>
      </c>
      <c r="C176" s="29">
        <f t="shared" si="164"/>
        <v>271.27038399847021</v>
      </c>
      <c r="D176" s="30">
        <f t="shared" si="165"/>
        <v>0</v>
      </c>
      <c r="E176" s="31">
        <f t="shared" si="166"/>
        <v>20.273864113545301</v>
      </c>
      <c r="F176" s="32">
        <f>+'TALLER RETIRADOS'!BF26</f>
        <v>271.27038399847021</v>
      </c>
      <c r="G176" s="32">
        <v>0</v>
      </c>
      <c r="H176" s="32">
        <f>+'TALLER RETIRADOS'!CX26</f>
        <v>0</v>
      </c>
      <c r="I176" s="32">
        <v>0</v>
      </c>
      <c r="J176" s="32"/>
      <c r="K176" s="33"/>
      <c r="L176" s="34">
        <f t="shared" si="167"/>
        <v>271.27038399847021</v>
      </c>
      <c r="M176" s="35">
        <f t="shared" si="168"/>
        <v>25.635051287855433</v>
      </c>
      <c r="N176" s="36">
        <f t="shared" si="169"/>
        <v>245.63533271061476</v>
      </c>
      <c r="O176" s="37">
        <f t="shared" si="170"/>
        <v>22.605358486603009</v>
      </c>
      <c r="P176" s="37">
        <f t="shared" si="171"/>
        <v>22.52426303014883</v>
      </c>
      <c r="Q176" s="33">
        <f t="shared" si="172"/>
        <v>45.12962151675184</v>
      </c>
      <c r="R176" s="38"/>
      <c r="S176" s="39"/>
      <c r="T176" s="35"/>
      <c r="U176" s="40">
        <f t="shared" si="173"/>
        <v>290.76495422736662</v>
      </c>
      <c r="V176" s="39">
        <v>290.76495422736662</v>
      </c>
      <c r="W176" s="35"/>
      <c r="X176" s="42"/>
      <c r="Y176" s="43"/>
      <c r="Z176" s="44"/>
      <c r="AA176" s="40">
        <f t="shared" si="174"/>
        <v>290.76495422736662</v>
      </c>
      <c r="AB176" s="36">
        <f t="shared" si="175"/>
        <v>0</v>
      </c>
      <c r="AC176" s="288"/>
      <c r="AD176" s="56"/>
      <c r="AE176" s="68"/>
      <c r="AF176" s="46">
        <f t="shared" si="176"/>
        <v>0</v>
      </c>
    </row>
    <row r="177" spans="1:157" ht="18" customHeight="1" x14ac:dyDescent="0.25">
      <c r="A177" s="27">
        <f t="shared" ref="A177:A183" si="179">A176+1</f>
        <v>164</v>
      </c>
      <c r="B177" s="90" t="s">
        <v>202</v>
      </c>
      <c r="C177" s="29">
        <f t="shared" si="164"/>
        <v>288.46000000000004</v>
      </c>
      <c r="D177" s="30">
        <f t="shared" si="165"/>
        <v>0</v>
      </c>
      <c r="E177" s="31">
        <f t="shared" si="166"/>
        <v>21.558559972496884</v>
      </c>
      <c r="F177" s="32">
        <f>+'TALLER RETIRADOS'!BF27</f>
        <v>250.00000000000006</v>
      </c>
      <c r="G177" s="32">
        <v>0</v>
      </c>
      <c r="H177" s="32">
        <f>+'TALLER RETIRADOS'!CX27</f>
        <v>38.46</v>
      </c>
      <c r="I177" s="32">
        <v>0</v>
      </c>
      <c r="J177" s="32"/>
      <c r="K177" s="33"/>
      <c r="L177" s="34">
        <f t="shared" si="167"/>
        <v>288.46000000000004</v>
      </c>
      <c r="M177" s="35">
        <f t="shared" si="168"/>
        <v>27.25947</v>
      </c>
      <c r="N177" s="36">
        <f t="shared" si="169"/>
        <v>261.20053000000001</v>
      </c>
      <c r="O177" s="37">
        <f t="shared" si="170"/>
        <v>24.037794369334026</v>
      </c>
      <c r="P177" s="37">
        <f t="shared" si="171"/>
        <v>23.951560129444037</v>
      </c>
      <c r="Q177" s="33">
        <f t="shared" si="172"/>
        <v>47.989354498778063</v>
      </c>
      <c r="R177" s="38"/>
      <c r="S177" s="39"/>
      <c r="T177" s="35"/>
      <c r="U177" s="40">
        <f t="shared" si="173"/>
        <v>309.1898844987781</v>
      </c>
      <c r="V177" s="39">
        <v>309.1898844987781</v>
      </c>
      <c r="W177" s="35"/>
      <c r="X177" s="42"/>
      <c r="Y177" s="43"/>
      <c r="Z177" s="44"/>
      <c r="AA177" s="40">
        <f t="shared" si="174"/>
        <v>309.1898844987781</v>
      </c>
      <c r="AB177" s="36">
        <f t="shared" si="175"/>
        <v>0</v>
      </c>
      <c r="AC177" s="288"/>
      <c r="AD177" s="56"/>
      <c r="AE177" s="68"/>
      <c r="AF177" s="46">
        <f t="shared" si="176"/>
        <v>0</v>
      </c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</row>
    <row r="178" spans="1:157" s="57" customFormat="1" ht="18" customHeight="1" x14ac:dyDescent="0.25">
      <c r="A178" s="27">
        <f t="shared" si="179"/>
        <v>165</v>
      </c>
      <c r="B178" s="90" t="s">
        <v>199</v>
      </c>
      <c r="C178" s="29">
        <f t="shared" si="164"/>
        <v>0</v>
      </c>
      <c r="D178" s="30">
        <f t="shared" si="165"/>
        <v>0</v>
      </c>
      <c r="E178" s="31">
        <f t="shared" si="166"/>
        <v>0</v>
      </c>
      <c r="F178" s="32">
        <f>+'TALLER RETIRADOS'!BF28</f>
        <v>0</v>
      </c>
      <c r="G178" s="32">
        <v>0</v>
      </c>
      <c r="H178" s="32">
        <f>+'TALLER RETIRADOS'!CX28</f>
        <v>0</v>
      </c>
      <c r="I178" s="32">
        <v>0</v>
      </c>
      <c r="J178" s="32"/>
      <c r="K178" s="33"/>
      <c r="L178" s="34">
        <f t="shared" si="167"/>
        <v>0</v>
      </c>
      <c r="M178" s="35">
        <f t="shared" si="168"/>
        <v>0</v>
      </c>
      <c r="N178" s="36">
        <f t="shared" si="169"/>
        <v>0</v>
      </c>
      <c r="O178" s="37">
        <f t="shared" si="170"/>
        <v>0</v>
      </c>
      <c r="P178" s="37">
        <f t="shared" si="171"/>
        <v>0</v>
      </c>
      <c r="Q178" s="33">
        <f t="shared" si="172"/>
        <v>0</v>
      </c>
      <c r="R178" s="38"/>
      <c r="S178" s="39"/>
      <c r="T178" s="35"/>
      <c r="U178" s="40">
        <f t="shared" si="173"/>
        <v>0</v>
      </c>
      <c r="V178" s="39">
        <v>0</v>
      </c>
      <c r="W178" s="35"/>
      <c r="X178" s="42"/>
      <c r="Y178" s="43"/>
      <c r="Z178" s="44"/>
      <c r="AA178" s="40">
        <f t="shared" si="174"/>
        <v>0</v>
      </c>
      <c r="AB178" s="36">
        <f t="shared" si="175"/>
        <v>0</v>
      </c>
      <c r="AC178" s="288"/>
      <c r="AD178" s="56"/>
      <c r="AE178" s="68"/>
      <c r="AF178" s="46">
        <f t="shared" si="176"/>
        <v>0</v>
      </c>
    </row>
    <row r="179" spans="1:157" s="57" customFormat="1" ht="18" customHeight="1" x14ac:dyDescent="0.25">
      <c r="A179" s="27">
        <f t="shared" si="179"/>
        <v>166</v>
      </c>
      <c r="B179" s="89" t="s">
        <v>47</v>
      </c>
      <c r="C179" s="29">
        <f t="shared" si="164"/>
        <v>401.41</v>
      </c>
      <c r="D179" s="30">
        <f t="shared" si="165"/>
        <v>202.4469657352941</v>
      </c>
      <c r="E179" s="31">
        <f t="shared" si="166"/>
        <v>30.000074736739837</v>
      </c>
      <c r="F179" s="32">
        <f>+'TALLER RETIRADOS'!BF81</f>
        <v>362.07035249999996</v>
      </c>
      <c r="G179" s="32">
        <v>0</v>
      </c>
      <c r="H179" s="32">
        <f>'TALLER RETIRADOS'!CX81+'TALLER RETIRADOS'!DC81</f>
        <v>241.78661323529414</v>
      </c>
      <c r="I179" s="32">
        <v>0</v>
      </c>
      <c r="J179" s="32"/>
      <c r="K179" s="33"/>
      <c r="L179" s="34">
        <f t="shared" si="167"/>
        <v>603.85696573529412</v>
      </c>
      <c r="M179" s="35">
        <f t="shared" si="168"/>
        <v>37.933</v>
      </c>
      <c r="N179" s="36">
        <f t="shared" si="169"/>
        <v>565.92396573529413</v>
      </c>
      <c r="O179" s="37">
        <f t="shared" si="170"/>
        <v>33.450000000000003</v>
      </c>
      <c r="P179" s="37">
        <f t="shared" si="171"/>
        <v>33.33</v>
      </c>
      <c r="Q179" s="33">
        <f t="shared" si="172"/>
        <v>66.78</v>
      </c>
      <c r="R179" s="38">
        <f>33.45/30*E179</f>
        <v>33.450083331464917</v>
      </c>
      <c r="S179" s="39"/>
      <c r="T179" s="35"/>
      <c r="U179" s="40">
        <f t="shared" si="173"/>
        <v>666.15404906675906</v>
      </c>
      <c r="V179" s="39">
        <v>666.15404906675906</v>
      </c>
      <c r="W179" s="35"/>
      <c r="X179" s="42"/>
      <c r="Y179" s="43"/>
      <c r="Z179" s="55"/>
      <c r="AA179" s="40">
        <f t="shared" si="174"/>
        <v>666.15404906675906</v>
      </c>
      <c r="AB179" s="36">
        <f t="shared" si="175"/>
        <v>0</v>
      </c>
      <c r="AC179" s="288"/>
      <c r="AD179" s="56"/>
      <c r="AE179" s="68"/>
      <c r="AF179" s="46">
        <f t="shared" si="176"/>
        <v>0</v>
      </c>
    </row>
    <row r="180" spans="1:157" s="57" customFormat="1" ht="18" customHeight="1" x14ac:dyDescent="0.25">
      <c r="A180" s="27">
        <f t="shared" si="179"/>
        <v>167</v>
      </c>
      <c r="B180" s="90" t="s">
        <v>183</v>
      </c>
      <c r="C180" s="29">
        <f t="shared" si="164"/>
        <v>401.41</v>
      </c>
      <c r="D180" s="30">
        <f t="shared" si="165"/>
        <v>238.71377565701033</v>
      </c>
      <c r="E180" s="31">
        <f t="shared" si="166"/>
        <v>30.000074736739837</v>
      </c>
      <c r="F180" s="32">
        <f>+'TALLER RETIRADOS'!BF82</f>
        <v>375.88630884552043</v>
      </c>
      <c r="G180" s="32">
        <v>0</v>
      </c>
      <c r="H180" s="32">
        <f>'TALLER RETIRADOS'!CX82+'TALLER RETIRADOS'!DC82</f>
        <v>264.23746681148987</v>
      </c>
      <c r="I180" s="32">
        <v>0</v>
      </c>
      <c r="J180" s="32"/>
      <c r="K180" s="65"/>
      <c r="L180" s="34">
        <f t="shared" si="167"/>
        <v>640.12377565701036</v>
      </c>
      <c r="M180" s="35">
        <f t="shared" si="168"/>
        <v>37.933</v>
      </c>
      <c r="N180" s="36">
        <f t="shared" si="169"/>
        <v>602.19077565701036</v>
      </c>
      <c r="O180" s="37">
        <f t="shared" si="170"/>
        <v>33.450000000000003</v>
      </c>
      <c r="P180" s="37">
        <f t="shared" si="171"/>
        <v>33.33</v>
      </c>
      <c r="Q180" s="33">
        <f t="shared" si="172"/>
        <v>66.78</v>
      </c>
      <c r="R180" s="38">
        <f>33.45/30*E180</f>
        <v>33.450083331464917</v>
      </c>
      <c r="S180" s="39"/>
      <c r="T180" s="35"/>
      <c r="U180" s="40">
        <f t="shared" si="173"/>
        <v>702.42085898847529</v>
      </c>
      <c r="V180" s="39">
        <v>702.42085898847529</v>
      </c>
      <c r="W180" s="35"/>
      <c r="X180" s="42"/>
      <c r="Y180" s="43"/>
      <c r="Z180" s="55"/>
      <c r="AA180" s="40">
        <f t="shared" si="174"/>
        <v>702.42085898847529</v>
      </c>
      <c r="AB180" s="36">
        <f t="shared" si="175"/>
        <v>0</v>
      </c>
      <c r="AC180" s="288"/>
      <c r="AD180" s="56"/>
      <c r="AE180" s="68"/>
      <c r="AF180" s="46">
        <f t="shared" si="176"/>
        <v>0</v>
      </c>
    </row>
    <row r="181" spans="1:157" s="57" customFormat="1" ht="18" customHeight="1" x14ac:dyDescent="0.25">
      <c r="A181" s="27">
        <f t="shared" si="179"/>
        <v>168</v>
      </c>
      <c r="B181" s="89" t="s">
        <v>174</v>
      </c>
      <c r="C181" s="29">
        <f t="shared" si="164"/>
        <v>401.41</v>
      </c>
      <c r="D181" s="30">
        <f t="shared" si="165"/>
        <v>184.53048585431799</v>
      </c>
      <c r="E181" s="31">
        <f t="shared" si="166"/>
        <v>30.000074736739837</v>
      </c>
      <c r="F181" s="32">
        <f>+'TALLER RETIRADOS'!BF83</f>
        <v>395.87971187582343</v>
      </c>
      <c r="G181" s="32">
        <v>0</v>
      </c>
      <c r="H181" s="32">
        <f>'TALLER RETIRADOS'!CX83+'TALLER RETIRADOS'!DC83</f>
        <v>190.06077397849461</v>
      </c>
      <c r="I181" s="32">
        <v>0</v>
      </c>
      <c r="J181" s="32"/>
      <c r="K181" s="33"/>
      <c r="L181" s="34">
        <f t="shared" si="167"/>
        <v>585.94048585431801</v>
      </c>
      <c r="M181" s="35">
        <f t="shared" si="168"/>
        <v>37.933</v>
      </c>
      <c r="N181" s="36">
        <f t="shared" si="169"/>
        <v>548.00748585431802</v>
      </c>
      <c r="O181" s="37">
        <f t="shared" si="170"/>
        <v>33.450000000000003</v>
      </c>
      <c r="P181" s="37">
        <f t="shared" si="171"/>
        <v>33.33</v>
      </c>
      <c r="Q181" s="33">
        <f t="shared" si="172"/>
        <v>66.78</v>
      </c>
      <c r="R181" s="38">
        <f>33.45/30*E181</f>
        <v>33.450083331464917</v>
      </c>
      <c r="S181" s="39"/>
      <c r="T181" s="35"/>
      <c r="U181" s="40">
        <f t="shared" si="173"/>
        <v>648.23756918578295</v>
      </c>
      <c r="V181" s="39">
        <v>648.23756918578295</v>
      </c>
      <c r="W181" s="35"/>
      <c r="X181" s="42"/>
      <c r="Y181" s="43"/>
      <c r="Z181" s="277"/>
      <c r="AA181" s="40">
        <f t="shared" si="174"/>
        <v>648.23756918578295</v>
      </c>
      <c r="AB181" s="36">
        <f t="shared" si="175"/>
        <v>0</v>
      </c>
      <c r="AC181" s="288"/>
      <c r="AD181" s="56"/>
      <c r="AE181" s="68"/>
      <c r="AF181" s="46">
        <f t="shared" si="176"/>
        <v>0</v>
      </c>
    </row>
    <row r="182" spans="1:157" s="57" customFormat="1" ht="18" customHeight="1" x14ac:dyDescent="0.25">
      <c r="A182" s="27">
        <f t="shared" si="179"/>
        <v>169</v>
      </c>
      <c r="B182" s="90" t="s">
        <v>170</v>
      </c>
      <c r="C182" s="29">
        <f t="shared" si="164"/>
        <v>401.41</v>
      </c>
      <c r="D182" s="30">
        <f t="shared" si="165"/>
        <v>238.71377565701033</v>
      </c>
      <c r="E182" s="31">
        <f t="shared" si="166"/>
        <v>30.000074736739837</v>
      </c>
      <c r="F182" s="32">
        <f>+'TALLER RETIRADOS'!BF84</f>
        <v>375.88630884552043</v>
      </c>
      <c r="G182" s="32">
        <v>0</v>
      </c>
      <c r="H182" s="32">
        <f>'TALLER RETIRADOS'!CX84+'TALLER RETIRADOS'!DC84</f>
        <v>264.23746681148987</v>
      </c>
      <c r="I182" s="32">
        <v>0</v>
      </c>
      <c r="J182" s="32"/>
      <c r="K182" s="33"/>
      <c r="L182" s="34">
        <f t="shared" si="167"/>
        <v>640.12377565701036</v>
      </c>
      <c r="M182" s="35">
        <f t="shared" si="168"/>
        <v>37.933</v>
      </c>
      <c r="N182" s="36">
        <f t="shared" si="169"/>
        <v>602.19077565701036</v>
      </c>
      <c r="O182" s="37">
        <f t="shared" si="170"/>
        <v>33.450000000000003</v>
      </c>
      <c r="P182" s="37">
        <f t="shared" si="171"/>
        <v>33.33</v>
      </c>
      <c r="Q182" s="33">
        <f t="shared" si="172"/>
        <v>66.78</v>
      </c>
      <c r="R182" s="38">
        <f>33.45/30*E182</f>
        <v>33.450083331464917</v>
      </c>
      <c r="S182" s="39"/>
      <c r="T182" s="35"/>
      <c r="U182" s="40">
        <f t="shared" si="173"/>
        <v>702.42085898847529</v>
      </c>
      <c r="V182" s="39">
        <v>702.42085898847529</v>
      </c>
      <c r="W182" s="35"/>
      <c r="X182" s="42"/>
      <c r="Y182" s="43"/>
      <c r="Z182" s="55"/>
      <c r="AA182" s="40">
        <f t="shared" si="174"/>
        <v>702.42085898847529</v>
      </c>
      <c r="AB182" s="36">
        <f t="shared" si="175"/>
        <v>0</v>
      </c>
      <c r="AC182" s="288"/>
      <c r="AD182" s="56"/>
      <c r="AE182" s="45"/>
      <c r="AF182" s="46">
        <f t="shared" si="176"/>
        <v>0</v>
      </c>
    </row>
    <row r="183" spans="1:157" s="57" customFormat="1" ht="18" customHeight="1" x14ac:dyDescent="0.25">
      <c r="A183" s="27">
        <f t="shared" si="179"/>
        <v>170</v>
      </c>
      <c r="B183" s="90" t="s">
        <v>195</v>
      </c>
      <c r="C183" s="29">
        <f t="shared" si="164"/>
        <v>401.41</v>
      </c>
      <c r="D183" s="30">
        <f t="shared" si="165"/>
        <v>180.86492742171623</v>
      </c>
      <c r="E183" s="31">
        <f t="shared" si="166"/>
        <v>30.000074736739837</v>
      </c>
      <c r="F183" s="32">
        <f>+'TALLER RETIRADOS'!BF85</f>
        <v>375.88630884552043</v>
      </c>
      <c r="G183" s="32">
        <v>0</v>
      </c>
      <c r="H183" s="32">
        <f>'TALLER RETIRADOS'!CX85+'TALLER RETIRADOS'!DC85</f>
        <v>206.38861857619577</v>
      </c>
      <c r="I183" s="32">
        <v>0</v>
      </c>
      <c r="J183" s="32"/>
      <c r="K183" s="33"/>
      <c r="L183" s="34">
        <f t="shared" si="167"/>
        <v>582.27492742171626</v>
      </c>
      <c r="M183" s="35">
        <f t="shared" si="168"/>
        <v>37.933</v>
      </c>
      <c r="N183" s="36">
        <f t="shared" si="169"/>
        <v>544.34192742171626</v>
      </c>
      <c r="O183" s="37">
        <f t="shared" si="170"/>
        <v>33.450000000000003</v>
      </c>
      <c r="P183" s="37">
        <f t="shared" si="171"/>
        <v>33.33</v>
      </c>
      <c r="Q183" s="33">
        <f t="shared" si="172"/>
        <v>66.78</v>
      </c>
      <c r="R183" s="38">
        <f>33.45/30*E183</f>
        <v>33.450083331464917</v>
      </c>
      <c r="S183" s="49"/>
      <c r="T183" s="50"/>
      <c r="U183" s="40">
        <f t="shared" si="173"/>
        <v>644.57201075318119</v>
      </c>
      <c r="V183" s="39">
        <v>644.57201075318119</v>
      </c>
      <c r="W183" s="35"/>
      <c r="X183" s="42"/>
      <c r="Y183" s="43"/>
      <c r="Z183" s="44"/>
      <c r="AA183" s="40">
        <f t="shared" si="174"/>
        <v>644.57201075318119</v>
      </c>
      <c r="AB183" s="36">
        <f t="shared" si="175"/>
        <v>0</v>
      </c>
      <c r="AC183" s="288"/>
      <c r="AD183" s="56"/>
      <c r="AE183" s="68"/>
      <c r="AF183" s="46">
        <f t="shared" si="176"/>
        <v>0</v>
      </c>
    </row>
    <row r="184" spans="1:157" s="57" customFormat="1" ht="18" customHeight="1" x14ac:dyDescent="0.25">
      <c r="A184" s="7" t="s">
        <v>203</v>
      </c>
      <c r="B184" s="70"/>
      <c r="C184" s="29"/>
      <c r="D184" s="30"/>
      <c r="E184" s="31"/>
      <c r="F184" s="32"/>
      <c r="G184" s="32"/>
      <c r="H184" s="1035"/>
      <c r="I184" s="72"/>
      <c r="J184" s="72"/>
      <c r="K184" s="73"/>
      <c r="L184" s="34"/>
      <c r="M184" s="35"/>
      <c r="N184" s="36"/>
      <c r="O184" s="37"/>
      <c r="P184" s="37"/>
      <c r="Q184" s="33"/>
      <c r="R184" s="33"/>
      <c r="S184" s="74"/>
      <c r="T184" s="37"/>
      <c r="U184" s="40"/>
      <c r="V184" s="39"/>
      <c r="W184" s="35"/>
      <c r="X184" s="75"/>
      <c r="Y184" s="76"/>
      <c r="Z184" s="74"/>
      <c r="AA184" s="40"/>
      <c r="AB184" s="36"/>
      <c r="AC184" s="45"/>
      <c r="AD184" s="68"/>
      <c r="AE184" s="68"/>
      <c r="AF184" s="46"/>
    </row>
    <row r="185" spans="1:157" s="57" customFormat="1" ht="18" customHeight="1" x14ac:dyDescent="0.25">
      <c r="A185" s="27">
        <f>A183+1</f>
        <v>171</v>
      </c>
      <c r="B185" s="28" t="s">
        <v>207</v>
      </c>
      <c r="C185" s="29">
        <f t="shared" ref="C185:C191" si="180">IF(L185&gt;=401.41,401.41,IF(L185&lt;401.41,L185))</f>
        <v>401.41</v>
      </c>
      <c r="D185" s="30">
        <f t="shared" ref="D185:D191" si="181">+L185-C185</f>
        <v>348.59</v>
      </c>
      <c r="E185" s="31">
        <f t="shared" ref="E185:E191" si="182">+C185/13.3803</f>
        <v>30.000074736739837</v>
      </c>
      <c r="F185" s="32">
        <f>+'TALLER ACTIVOS'!BF109</f>
        <v>374.99763406593405</v>
      </c>
      <c r="G185" s="32">
        <v>0</v>
      </c>
      <c r="H185" s="102">
        <f>+'TALLER ACTIVOS'!CX109</f>
        <v>375.00236593406601</v>
      </c>
      <c r="I185" s="32">
        <v>0</v>
      </c>
      <c r="J185" s="32"/>
      <c r="K185" s="33"/>
      <c r="L185" s="34">
        <f t="shared" ref="L185:L191" si="183">+F185+G185+H185+I185+K185+J185</f>
        <v>750</v>
      </c>
      <c r="M185" s="35">
        <f t="shared" ref="M185:M191" si="184">IF(L185&gt;=401.41,37.933,IF(L185&lt;401.41,L185*9.45%))</f>
        <v>37.933</v>
      </c>
      <c r="N185" s="36">
        <f t="shared" ref="N185:N191" si="185">+L185-M185</f>
        <v>712.06700000000001</v>
      </c>
      <c r="O185" s="37">
        <f t="shared" ref="O185:O191" si="186">IF(E185&gt;=30,33.45,IF(E185&lt;30,E185*1.115))</f>
        <v>33.450000000000003</v>
      </c>
      <c r="P185" s="37">
        <f t="shared" ref="P185:P191" si="187">IF(E185&gt;=30,33.33,IF(E185&lt;30,E185*1.111))</f>
        <v>33.33</v>
      </c>
      <c r="Q185" s="33">
        <f t="shared" ref="Q185:Q250" si="188">+O185+P185</f>
        <v>66.78</v>
      </c>
      <c r="R185" s="38">
        <f>33.45/30*E185</f>
        <v>33.450083331464917</v>
      </c>
      <c r="S185" s="39"/>
      <c r="T185" s="35"/>
      <c r="U185" s="40">
        <f t="shared" ref="U185:U191" si="189">N185+Q185+R185+S185+T185</f>
        <v>812.29708333146493</v>
      </c>
      <c r="V185" s="39">
        <v>200</v>
      </c>
      <c r="W185" s="35"/>
      <c r="X185" s="42"/>
      <c r="Y185" s="43"/>
      <c r="Z185" s="55">
        <v>59.31</v>
      </c>
      <c r="AA185" s="40">
        <f t="shared" ref="AA185:AA189" si="190">+W185+V185+X185+Y185+Z185</f>
        <v>259.31</v>
      </c>
      <c r="AB185" s="36">
        <f t="shared" ref="AB185:AB191" si="191">+U185-AA185</f>
        <v>552.98708333146487</v>
      </c>
      <c r="AC185" s="288"/>
      <c r="AD185" s="92"/>
      <c r="AE185" s="93"/>
      <c r="AF185" s="46">
        <f>+AB185-AC185-AD185-AE185</f>
        <v>552.98708333146487</v>
      </c>
    </row>
    <row r="186" spans="1:157" s="57" customFormat="1" ht="18" customHeight="1" x14ac:dyDescent="0.25">
      <c r="A186" s="27">
        <f>A185+1</f>
        <v>172</v>
      </c>
      <c r="B186" s="28" t="s">
        <v>205</v>
      </c>
      <c r="C186" s="29">
        <f t="shared" si="180"/>
        <v>287.5</v>
      </c>
      <c r="D186" s="30">
        <f t="shared" si="181"/>
        <v>0</v>
      </c>
      <c r="E186" s="31">
        <f t="shared" si="182"/>
        <v>21.486812702256302</v>
      </c>
      <c r="F186" s="32">
        <f>+'TALLER ACTIVOS'!BF110</f>
        <v>0</v>
      </c>
      <c r="G186" s="32">
        <v>0</v>
      </c>
      <c r="H186" s="102">
        <f>+'TALLER ACTIVOS'!CX110</f>
        <v>94</v>
      </c>
      <c r="I186" s="32">
        <v>0</v>
      </c>
      <c r="J186" s="32"/>
      <c r="K186" s="33">
        <v>193.5</v>
      </c>
      <c r="L186" s="34">
        <f t="shared" si="183"/>
        <v>287.5</v>
      </c>
      <c r="M186" s="35">
        <f t="shared" si="184"/>
        <v>27.168749999999996</v>
      </c>
      <c r="N186" s="36">
        <f t="shared" si="185"/>
        <v>260.33125000000001</v>
      </c>
      <c r="O186" s="37">
        <f t="shared" si="186"/>
        <v>23.957796163015775</v>
      </c>
      <c r="P186" s="37">
        <f t="shared" si="187"/>
        <v>23.871848912206751</v>
      </c>
      <c r="Q186" s="33">
        <f t="shared" si="188"/>
        <v>47.82964507522253</v>
      </c>
      <c r="R186" s="38">
        <f t="shared" ref="R186:R190" si="192">33.45/30*E186</f>
        <v>23.957796163015775</v>
      </c>
      <c r="S186" s="39"/>
      <c r="T186" s="35"/>
      <c r="U186" s="40">
        <f t="shared" si="189"/>
        <v>332.11869123823828</v>
      </c>
      <c r="V186" s="39">
        <v>27.5</v>
      </c>
      <c r="W186" s="35"/>
      <c r="X186" s="42"/>
      <c r="Y186" s="43"/>
      <c r="Z186" s="47"/>
      <c r="AA186" s="40">
        <f t="shared" si="190"/>
        <v>27.5</v>
      </c>
      <c r="AB186" s="36">
        <f t="shared" si="191"/>
        <v>304.61869123823828</v>
      </c>
      <c r="AC186" s="288"/>
      <c r="AD186" s="92"/>
      <c r="AE186" s="93"/>
      <c r="AF186" s="46">
        <f>+AB186-AC186-AD186-AE186</f>
        <v>304.61869123823828</v>
      </c>
    </row>
    <row r="187" spans="1:157" s="57" customFormat="1" ht="18" customHeight="1" x14ac:dyDescent="0.25">
      <c r="A187" s="27">
        <f t="shared" ref="A187:A190" si="193">A186+1</f>
        <v>173</v>
      </c>
      <c r="B187" s="77" t="s">
        <v>206</v>
      </c>
      <c r="C187" s="29">
        <f t="shared" si="180"/>
        <v>401.41</v>
      </c>
      <c r="D187" s="30">
        <f t="shared" si="181"/>
        <v>155.65555054945054</v>
      </c>
      <c r="E187" s="31">
        <f t="shared" si="182"/>
        <v>30.000074736739837</v>
      </c>
      <c r="F187" s="32">
        <f>+'TALLER ACTIVOS'!BF111</f>
        <v>333.18763406593405</v>
      </c>
      <c r="G187" s="32">
        <v>0</v>
      </c>
      <c r="H187" s="102">
        <f>+'TALLER ACTIVOS'!CX111</f>
        <v>223.87791648351649</v>
      </c>
      <c r="I187" s="32">
        <v>0</v>
      </c>
      <c r="J187" s="32"/>
      <c r="K187" s="33"/>
      <c r="L187" s="34">
        <f>+F187+G187+H187+I187+K187+J187</f>
        <v>557.06555054945056</v>
      </c>
      <c r="M187" s="35">
        <f t="shared" si="184"/>
        <v>37.933</v>
      </c>
      <c r="N187" s="36">
        <f t="shared" si="185"/>
        <v>519.13255054945057</v>
      </c>
      <c r="O187" s="37">
        <f t="shared" si="186"/>
        <v>33.450000000000003</v>
      </c>
      <c r="P187" s="37">
        <f t="shared" si="187"/>
        <v>33.33</v>
      </c>
      <c r="Q187" s="33">
        <f t="shared" si="188"/>
        <v>66.78</v>
      </c>
      <c r="R187" s="38">
        <f t="shared" si="192"/>
        <v>33.450083331464917</v>
      </c>
      <c r="S187" s="39"/>
      <c r="T187" s="35"/>
      <c r="U187" s="40">
        <f t="shared" si="189"/>
        <v>619.3626338809155</v>
      </c>
      <c r="V187" s="39"/>
      <c r="W187" s="35"/>
      <c r="X187" s="42"/>
      <c r="Y187" s="43"/>
      <c r="Z187" s="47"/>
      <c r="AA187" s="40">
        <f t="shared" si="190"/>
        <v>0</v>
      </c>
      <c r="AB187" s="36">
        <f t="shared" si="191"/>
        <v>619.3626338809155</v>
      </c>
      <c r="AC187" s="288"/>
      <c r="AD187" s="92"/>
      <c r="AE187" s="93"/>
      <c r="AF187" s="46">
        <f>+AB187-AC187-AD187-AE187</f>
        <v>619.3626338809155</v>
      </c>
    </row>
    <row r="188" spans="1:157" ht="18" customHeight="1" x14ac:dyDescent="0.25">
      <c r="A188" s="27">
        <f t="shared" si="193"/>
        <v>174</v>
      </c>
      <c r="B188" s="77" t="s">
        <v>208</v>
      </c>
      <c r="C188" s="29">
        <f t="shared" si="180"/>
        <v>401.41</v>
      </c>
      <c r="D188" s="30">
        <f t="shared" si="181"/>
        <v>60.380473626373657</v>
      </c>
      <c r="E188" s="31">
        <f t="shared" si="182"/>
        <v>30.000074736739837</v>
      </c>
      <c r="F188" s="32">
        <f>+'TALLER ACTIVOS'!BF112</f>
        <v>299.91255714285717</v>
      </c>
      <c r="G188" s="32">
        <v>0</v>
      </c>
      <c r="H188" s="102">
        <f>+'TALLER ACTIVOS'!CX112</f>
        <v>161.87791648351649</v>
      </c>
      <c r="I188" s="32">
        <v>0</v>
      </c>
      <c r="J188" s="32"/>
      <c r="K188" s="33"/>
      <c r="L188" s="34">
        <f t="shared" si="183"/>
        <v>461.79047362637368</v>
      </c>
      <c r="M188" s="35">
        <f t="shared" si="184"/>
        <v>37.933</v>
      </c>
      <c r="N188" s="36">
        <f t="shared" si="185"/>
        <v>423.85747362637369</v>
      </c>
      <c r="O188" s="37">
        <f t="shared" si="186"/>
        <v>33.450000000000003</v>
      </c>
      <c r="P188" s="37">
        <f t="shared" si="187"/>
        <v>33.33</v>
      </c>
      <c r="Q188" s="33">
        <f t="shared" si="188"/>
        <v>66.78</v>
      </c>
      <c r="R188" s="1036"/>
      <c r="S188" s="39"/>
      <c r="T188" s="35"/>
      <c r="U188" s="40">
        <f t="shared" si="189"/>
        <v>490.63747362637366</v>
      </c>
      <c r="V188" s="39"/>
      <c r="W188" s="35"/>
      <c r="X188" s="42"/>
      <c r="Y188" s="43"/>
      <c r="Z188" s="58"/>
      <c r="AA188" s="40">
        <f t="shared" si="190"/>
        <v>0</v>
      </c>
      <c r="AB188" s="36">
        <f t="shared" si="191"/>
        <v>490.63747362637366</v>
      </c>
      <c r="AC188" s="288"/>
      <c r="AD188" s="92"/>
      <c r="AE188" s="93"/>
      <c r="AF188" s="46">
        <f>+AB188-AC188-AD188-AE188</f>
        <v>490.63747362637366</v>
      </c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</row>
    <row r="189" spans="1:157" ht="18" customHeight="1" x14ac:dyDescent="0.25">
      <c r="A189" s="27">
        <f t="shared" si="193"/>
        <v>175</v>
      </c>
      <c r="B189" s="28" t="s">
        <v>209</v>
      </c>
      <c r="C189" s="29">
        <f t="shared" si="180"/>
        <v>401.41</v>
      </c>
      <c r="D189" s="30">
        <f t="shared" si="181"/>
        <v>94.523550549450476</v>
      </c>
      <c r="E189" s="31">
        <f t="shared" si="182"/>
        <v>30.000074736739837</v>
      </c>
      <c r="F189" s="32">
        <f>+'TALLER ACTIVOS'!BF113</f>
        <v>333.18763406593405</v>
      </c>
      <c r="G189" s="32">
        <v>0</v>
      </c>
      <c r="H189" s="102">
        <f>+'TALLER ACTIVOS'!CX113</f>
        <v>162.74591648351648</v>
      </c>
      <c r="I189" s="32">
        <v>0</v>
      </c>
      <c r="J189" s="32"/>
      <c r="K189" s="33"/>
      <c r="L189" s="34">
        <f t="shared" si="183"/>
        <v>495.9335505494505</v>
      </c>
      <c r="M189" s="35">
        <f t="shared" si="184"/>
        <v>37.933</v>
      </c>
      <c r="N189" s="36">
        <f t="shared" si="185"/>
        <v>458.00055054945051</v>
      </c>
      <c r="O189" s="37">
        <f t="shared" si="186"/>
        <v>33.450000000000003</v>
      </c>
      <c r="P189" s="37">
        <f t="shared" si="187"/>
        <v>33.33</v>
      </c>
      <c r="Q189" s="33">
        <f t="shared" si="188"/>
        <v>66.78</v>
      </c>
      <c r="R189" s="1036"/>
      <c r="S189" s="39"/>
      <c r="T189" s="35"/>
      <c r="U189" s="40">
        <f t="shared" si="189"/>
        <v>524.78055054945048</v>
      </c>
      <c r="V189" s="39"/>
      <c r="W189" s="35"/>
      <c r="X189" s="42"/>
      <c r="Y189" s="43"/>
      <c r="Z189" s="47">
        <v>59.41</v>
      </c>
      <c r="AA189" s="40">
        <f t="shared" si="190"/>
        <v>59.41</v>
      </c>
      <c r="AB189" s="36">
        <f t="shared" si="191"/>
        <v>465.37055054945051</v>
      </c>
      <c r="AC189" s="288"/>
      <c r="AD189" s="92"/>
      <c r="AE189" s="93"/>
      <c r="AF189" s="46">
        <f t="shared" ref="AF189:AF222" si="194">+AB189-AC189-AD189-AE189</f>
        <v>465.37055054945051</v>
      </c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</row>
    <row r="190" spans="1:157" ht="18" customHeight="1" x14ac:dyDescent="0.25">
      <c r="A190" s="27">
        <f t="shared" si="193"/>
        <v>176</v>
      </c>
      <c r="B190" s="28" t="s">
        <v>211</v>
      </c>
      <c r="C190" s="29">
        <f t="shared" si="180"/>
        <v>401.41</v>
      </c>
      <c r="D190" s="30">
        <f t="shared" si="181"/>
        <v>34.350473626373571</v>
      </c>
      <c r="E190" s="31">
        <f t="shared" si="182"/>
        <v>30.000074736739837</v>
      </c>
      <c r="F190" s="32">
        <f>+'TALLER ACTIVOS'!BF114</f>
        <v>289.18163406593408</v>
      </c>
      <c r="G190" s="32">
        <v>0</v>
      </c>
      <c r="H190" s="102">
        <f>+'TALLER ACTIVOS'!CX114</f>
        <v>146.57883956043955</v>
      </c>
      <c r="I190" s="32">
        <v>0</v>
      </c>
      <c r="J190" s="32"/>
      <c r="K190" s="33"/>
      <c r="L190" s="34">
        <f t="shared" si="183"/>
        <v>435.7604736263736</v>
      </c>
      <c r="M190" s="35">
        <f t="shared" si="184"/>
        <v>37.933</v>
      </c>
      <c r="N190" s="36">
        <f t="shared" si="185"/>
        <v>397.8274736263736</v>
      </c>
      <c r="O190" s="37">
        <f t="shared" si="186"/>
        <v>33.450000000000003</v>
      </c>
      <c r="P190" s="37">
        <f t="shared" si="187"/>
        <v>33.33</v>
      </c>
      <c r="Q190" s="33">
        <f t="shared" si="188"/>
        <v>66.78</v>
      </c>
      <c r="R190" s="38">
        <f t="shared" si="192"/>
        <v>33.450083331464917</v>
      </c>
      <c r="S190" s="39"/>
      <c r="T190" s="35"/>
      <c r="U190" s="40">
        <f t="shared" si="189"/>
        <v>498.05755695783847</v>
      </c>
      <c r="V190" s="39"/>
      <c r="W190" s="35"/>
      <c r="X190" s="42"/>
      <c r="Y190" s="43"/>
      <c r="Z190" s="69"/>
      <c r="AA190" s="40">
        <f t="shared" ref="AA190:AA250" si="195">+W190+V190+X190+Y190+Z190</f>
        <v>0</v>
      </c>
      <c r="AB190" s="36">
        <f t="shared" si="191"/>
        <v>498.05755695783847</v>
      </c>
      <c r="AC190" s="288"/>
      <c r="AD190" s="92"/>
      <c r="AE190" s="93"/>
      <c r="AF190" s="46">
        <f t="shared" si="194"/>
        <v>498.05755695783847</v>
      </c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</row>
    <row r="191" spans="1:157" ht="18" customHeight="1" x14ac:dyDescent="0.25">
      <c r="A191" s="27">
        <f>A190+1</f>
        <v>177</v>
      </c>
      <c r="B191" s="198" t="s">
        <v>213</v>
      </c>
      <c r="C191" s="29">
        <f t="shared" si="180"/>
        <v>401.41</v>
      </c>
      <c r="D191" s="30">
        <f t="shared" si="181"/>
        <v>20.053396703296698</v>
      </c>
      <c r="E191" s="31">
        <f t="shared" si="182"/>
        <v>30.000074736739837</v>
      </c>
      <c r="F191" s="32">
        <f>+'TALLER ACTIVOS'!BF115</f>
        <v>309.18163406593408</v>
      </c>
      <c r="G191" s="32">
        <v>0</v>
      </c>
      <c r="H191" s="102">
        <f>+'TALLER ACTIVOS'!CX115</f>
        <v>92.211762637362625</v>
      </c>
      <c r="I191" s="32">
        <v>0</v>
      </c>
      <c r="J191" s="32">
        <f>13.38*3*50%</f>
        <v>20.07</v>
      </c>
      <c r="K191" s="33"/>
      <c r="L191" s="34">
        <f t="shared" si="183"/>
        <v>421.46339670329672</v>
      </c>
      <c r="M191" s="35">
        <f t="shared" si="184"/>
        <v>37.933</v>
      </c>
      <c r="N191" s="36">
        <f t="shared" si="185"/>
        <v>383.53039670329673</v>
      </c>
      <c r="O191" s="37">
        <f t="shared" si="186"/>
        <v>33.450000000000003</v>
      </c>
      <c r="P191" s="37">
        <f t="shared" si="187"/>
        <v>33.33</v>
      </c>
      <c r="Q191" s="33">
        <f t="shared" si="188"/>
        <v>66.78</v>
      </c>
      <c r="R191" s="38">
        <f t="shared" ref="R191" si="196">33.45/30*E191</f>
        <v>33.450083331464917</v>
      </c>
      <c r="S191" s="39"/>
      <c r="T191" s="35"/>
      <c r="U191" s="40">
        <f t="shared" si="189"/>
        <v>483.76048003476166</v>
      </c>
      <c r="V191" s="39"/>
      <c r="W191" s="35"/>
      <c r="X191" s="42"/>
      <c r="Y191" s="43"/>
      <c r="Z191" s="44"/>
      <c r="AA191" s="40">
        <f t="shared" si="195"/>
        <v>0</v>
      </c>
      <c r="AB191" s="36">
        <f t="shared" si="191"/>
        <v>483.76048003476166</v>
      </c>
      <c r="AC191" s="288"/>
      <c r="AD191" s="92"/>
      <c r="AE191" s="68"/>
      <c r="AF191" s="46">
        <f t="shared" si="194"/>
        <v>483.76048003476166</v>
      </c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</row>
    <row r="192" spans="1:157" ht="18" customHeight="1" x14ac:dyDescent="0.25">
      <c r="A192" s="27">
        <f>A199+1</f>
        <v>183</v>
      </c>
      <c r="B192" s="94" t="s">
        <v>216</v>
      </c>
      <c r="C192" s="29">
        <f>IF(L192&gt;=401.41,401.41,IF(L192&lt;401.41,L192))</f>
        <v>391.26955054945051</v>
      </c>
      <c r="D192" s="30">
        <f>+L192-C192</f>
        <v>0</v>
      </c>
      <c r="E192" s="31">
        <f>+C192/13.3803</f>
        <v>29.242210604354948</v>
      </c>
      <c r="F192" s="32">
        <f>+'TALLER RETIRADOS'!BF100</f>
        <v>244.89163406593403</v>
      </c>
      <c r="G192" s="32">
        <v>0</v>
      </c>
      <c r="H192" s="102">
        <f>'TALLER RETIRADOS'!CX100+'TALLER RETIRADOS'!DC100</f>
        <v>81.877916483516486</v>
      </c>
      <c r="I192" s="32">
        <v>0</v>
      </c>
      <c r="J192" s="32"/>
      <c r="K192" s="33">
        <v>64.5</v>
      </c>
      <c r="L192" s="34">
        <f>+F192+G192+H192+I192+K192+J192</f>
        <v>391.26955054945051</v>
      </c>
      <c r="M192" s="35">
        <f>IF(L192&gt;=401.41,37.933,IF(L192&lt;401.41,L192*9.45%))</f>
        <v>36.974972526923068</v>
      </c>
      <c r="N192" s="36">
        <f>+L192-M192</f>
        <v>354.29457802252745</v>
      </c>
      <c r="O192" s="37">
        <f>IF(E192&gt;=30,33.45,IF(E192&lt;30,E192*1.115))</f>
        <v>32.60506482385577</v>
      </c>
      <c r="P192" s="37">
        <f>IF(E192&gt;=30,33.33,IF(E192&lt;30,E192*1.111))</f>
        <v>32.488095981438349</v>
      </c>
      <c r="Q192" s="33">
        <f>+O192+P192</f>
        <v>65.093160805294119</v>
      </c>
      <c r="R192" s="38">
        <f>33.45/30*E192</f>
        <v>32.60506482385577</v>
      </c>
      <c r="S192" s="39"/>
      <c r="T192" s="35"/>
      <c r="U192" s="40">
        <f>N192+Q192+R192+S192+T192</f>
        <v>451.99280365167738</v>
      </c>
      <c r="V192" s="39"/>
      <c r="W192" s="35"/>
      <c r="X192" s="42"/>
      <c r="Y192" s="43"/>
      <c r="Z192" s="58"/>
      <c r="AA192" s="40">
        <f>+W192+V192+X192+Y192+Z192</f>
        <v>0</v>
      </c>
      <c r="AB192" s="36">
        <f>+U192-AA192</f>
        <v>451.99280365167738</v>
      </c>
      <c r="AC192" s="288"/>
      <c r="AD192" s="91"/>
      <c r="AE192" s="68"/>
      <c r="AF192" s="46">
        <f>+AB192-AC192-AD192-AE192</f>
        <v>451.99280365167738</v>
      </c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</row>
    <row r="193" spans="1:157" s="57" customFormat="1" ht="18" customHeight="1" x14ac:dyDescent="0.25">
      <c r="A193" s="27">
        <f>A201+1</f>
        <v>185</v>
      </c>
      <c r="B193" s="199" t="s">
        <v>210</v>
      </c>
      <c r="C193" s="29">
        <f>IF(L193&gt;=401.41,401.41,IF(L193&lt;401.41,L193))</f>
        <v>401.41</v>
      </c>
      <c r="D193" s="30">
        <f>+L193-C193</f>
        <v>23.718473626373623</v>
      </c>
      <c r="E193" s="31">
        <f>+C193/13.3803</f>
        <v>30.000074736739837</v>
      </c>
      <c r="F193" s="32">
        <f>+'TALLER RETIRADOS'!BF103</f>
        <v>289.18163406593408</v>
      </c>
      <c r="G193" s="32">
        <v>0</v>
      </c>
      <c r="H193" s="102">
        <f>'TALLER RETIRADOS'!CX103+'TALLER RETIRADOS'!DC103</f>
        <v>71.446839560439557</v>
      </c>
      <c r="I193" s="32">
        <v>0</v>
      </c>
      <c r="J193" s="32"/>
      <c r="K193" s="33">
        <v>64.5</v>
      </c>
      <c r="L193" s="34">
        <f>+F193+G193+H193+I193+K193+J193</f>
        <v>425.12847362637365</v>
      </c>
      <c r="M193" s="35">
        <f>IF(L193&gt;=401.41,37.933,IF(L193&lt;401.41,L193*9.45%))</f>
        <v>37.933</v>
      </c>
      <c r="N193" s="36">
        <f>+L193-M193</f>
        <v>387.19547362637365</v>
      </c>
      <c r="O193" s="37">
        <f>IF(E193&gt;=30,33.45,IF(E193&lt;30,E193*1.115))</f>
        <v>33.450000000000003</v>
      </c>
      <c r="P193" s="37">
        <f>IF(E193&gt;=30,33.33,IF(E193&lt;30,E193*1.111))</f>
        <v>33.33</v>
      </c>
      <c r="Q193" s="33">
        <f>+O193+P193</f>
        <v>66.78</v>
      </c>
      <c r="R193" s="38">
        <f>33.45/30*E193</f>
        <v>33.450083331464917</v>
      </c>
      <c r="S193" s="39"/>
      <c r="T193" s="35"/>
      <c r="U193" s="40">
        <f>N193+Q193+R193+S193+T193</f>
        <v>487.42555695783852</v>
      </c>
      <c r="V193" s="39"/>
      <c r="W193" s="35"/>
      <c r="X193" s="42"/>
      <c r="Y193" s="43"/>
      <c r="Z193" s="55"/>
      <c r="AA193" s="40">
        <f>+W193+V193+X193+Y193+Z193</f>
        <v>0</v>
      </c>
      <c r="AB193" s="36">
        <f>+U193-AA193</f>
        <v>487.42555695783852</v>
      </c>
      <c r="AC193" s="288"/>
      <c r="AD193" s="91"/>
      <c r="AE193" s="68"/>
      <c r="AF193" s="46">
        <f>+AB193-AC193-AD193-AE193</f>
        <v>487.42555695783852</v>
      </c>
    </row>
    <row r="194" spans="1:157" ht="18" customHeight="1" x14ac:dyDescent="0.25">
      <c r="A194" s="1310" t="s">
        <v>477</v>
      </c>
      <c r="B194" s="1309"/>
      <c r="C194" s="29"/>
      <c r="D194" s="30"/>
      <c r="E194" s="31"/>
      <c r="F194" s="32"/>
      <c r="G194" s="32"/>
      <c r="H194" s="32"/>
      <c r="I194" s="32"/>
      <c r="J194" s="32"/>
      <c r="K194" s="33"/>
      <c r="L194" s="34"/>
      <c r="M194" s="35"/>
      <c r="N194" s="36"/>
      <c r="O194" s="37"/>
      <c r="P194" s="37"/>
      <c r="Q194" s="33"/>
      <c r="R194" s="38"/>
      <c r="S194" s="39"/>
      <c r="T194" s="35"/>
      <c r="U194" s="40"/>
      <c r="V194" s="39"/>
      <c r="W194" s="35"/>
      <c r="X194" s="42"/>
      <c r="Y194" s="43"/>
      <c r="Z194" s="55"/>
      <c r="AA194" s="40"/>
      <c r="AB194" s="36"/>
      <c r="AC194" s="288"/>
      <c r="AD194" s="91"/>
      <c r="AE194" s="68"/>
      <c r="AF194" s="46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</row>
    <row r="195" spans="1:157" ht="18" customHeight="1" x14ac:dyDescent="0.25">
      <c r="A195" s="27">
        <f>A191+1</f>
        <v>178</v>
      </c>
      <c r="B195" s="199" t="s">
        <v>134</v>
      </c>
      <c r="C195" s="29">
        <f t="shared" ref="C195:C203" si="197">IF(L195&gt;=401.41,401.41,IF(L195&lt;401.41,L195))</f>
        <v>330.98961648351644</v>
      </c>
      <c r="D195" s="30">
        <f t="shared" ref="D195:D203" si="198">+L195-C195</f>
        <v>0</v>
      </c>
      <c r="E195" s="31">
        <f>+C195/13.3803</f>
        <v>24.737084854862481</v>
      </c>
      <c r="F195" s="32">
        <f>+'TALLER RETIRADOS'!BF70</f>
        <v>217.11169999999998</v>
      </c>
      <c r="G195" s="32">
        <v>0</v>
      </c>
      <c r="H195" s="32">
        <f>+'TALLER RETIRADOS'!CX70</f>
        <v>113.87791648351649</v>
      </c>
      <c r="I195" s="32">
        <v>0</v>
      </c>
      <c r="J195" s="32"/>
      <c r="K195" s="33"/>
      <c r="L195" s="34">
        <f t="shared" ref="L195:L203" si="199">+F195+G195+H195+I195+K195+J195</f>
        <v>330.98961648351644</v>
      </c>
      <c r="M195" s="35">
        <f t="shared" ref="M195:M203" si="200">IF(L195&gt;=401.41,37.933,IF(L195&lt;401.41,L195*9.45%))</f>
        <v>31.2785187576923</v>
      </c>
      <c r="N195" s="36">
        <f t="shared" ref="N195:N203" si="201">+L195-M195</f>
        <v>299.71109772582412</v>
      </c>
      <c r="O195" s="37">
        <f t="shared" ref="O195:O203" si="202">IF(E195&gt;=30,33.45,IF(E195&lt;30,E195*1.115))</f>
        <v>27.581849613171666</v>
      </c>
      <c r="P195" s="37">
        <f t="shared" ref="P195:P203" si="203">IF(E195&gt;=30,33.33,IF(E195&lt;30,E195*1.111))</f>
        <v>27.482901273752216</v>
      </c>
      <c r="Q195" s="33">
        <f t="shared" ref="Q195:Q203" si="204">+O195+P195</f>
        <v>55.064750886923882</v>
      </c>
      <c r="R195" s="1036"/>
      <c r="S195" s="39"/>
      <c r="T195" s="35"/>
      <c r="U195" s="40">
        <f t="shared" ref="U195:U203" si="205">N195+Q195+R195+S195+T195</f>
        <v>354.77584861274801</v>
      </c>
      <c r="V195" s="39">
        <v>354.77584861274801</v>
      </c>
      <c r="W195" s="35"/>
      <c r="X195" s="42"/>
      <c r="Y195" s="43"/>
      <c r="Z195" s="55"/>
      <c r="AA195" s="40">
        <f t="shared" ref="AA195:AA203" si="206">+W195+V195+X195+Y195+Z195</f>
        <v>354.77584861274801</v>
      </c>
      <c r="AB195" s="36">
        <f t="shared" ref="AB195:AB203" si="207">+U195-AA195</f>
        <v>0</v>
      </c>
      <c r="AC195" s="288"/>
      <c r="AD195" s="91"/>
      <c r="AE195" s="68"/>
      <c r="AF195" s="46">
        <f t="shared" ref="AF195:AF203" si="208">+AB195-AC195-AD195-AE195</f>
        <v>0</v>
      </c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</row>
    <row r="196" spans="1:157" ht="18" customHeight="1" x14ac:dyDescent="0.25">
      <c r="A196" s="27">
        <f t="shared" ref="A196:A203" si="209">A195+1</f>
        <v>179</v>
      </c>
      <c r="B196" s="199" t="s">
        <v>268</v>
      </c>
      <c r="C196" s="29">
        <f t="shared" si="197"/>
        <v>386.83955054945051</v>
      </c>
      <c r="D196" s="30">
        <f t="shared" si="198"/>
        <v>0</v>
      </c>
      <c r="E196" s="31">
        <f>+C196/13.3803</f>
        <v>28.911126846890614</v>
      </c>
      <c r="F196" s="32">
        <f>+'TALLER RETIRADOS'!BF71</f>
        <v>244.89163406593403</v>
      </c>
      <c r="G196" s="32">
        <v>0</v>
      </c>
      <c r="H196" s="32">
        <f>+'TALLER RETIRADOS'!CX71</f>
        <v>121.87791648351649</v>
      </c>
      <c r="I196" s="32">
        <v>0</v>
      </c>
      <c r="J196" s="32">
        <f>13.38*3*50%</f>
        <v>20.07</v>
      </c>
      <c r="K196" s="33"/>
      <c r="L196" s="34">
        <f t="shared" si="199"/>
        <v>386.83955054945051</v>
      </c>
      <c r="M196" s="35">
        <f t="shared" si="200"/>
        <v>36.556337526923066</v>
      </c>
      <c r="N196" s="36">
        <f t="shared" si="201"/>
        <v>350.28321302252743</v>
      </c>
      <c r="O196" s="37">
        <f t="shared" si="202"/>
        <v>32.235906434283031</v>
      </c>
      <c r="P196" s="37">
        <f t="shared" si="203"/>
        <v>32.120261926895473</v>
      </c>
      <c r="Q196" s="33">
        <f t="shared" si="204"/>
        <v>64.356168361178504</v>
      </c>
      <c r="R196" s="38"/>
      <c r="S196" s="39"/>
      <c r="T196" s="35"/>
      <c r="U196" s="40">
        <f t="shared" si="205"/>
        <v>414.63938138370594</v>
      </c>
      <c r="V196" s="39">
        <v>414.63938138370594</v>
      </c>
      <c r="W196" s="35"/>
      <c r="X196" s="42"/>
      <c r="Y196" s="43"/>
      <c r="Z196" s="55"/>
      <c r="AA196" s="40">
        <f t="shared" si="206"/>
        <v>414.63938138370594</v>
      </c>
      <c r="AB196" s="36">
        <f t="shared" si="207"/>
        <v>0</v>
      </c>
      <c r="AC196" s="288"/>
      <c r="AD196" s="91"/>
      <c r="AE196" s="68"/>
      <c r="AF196" s="46">
        <f t="shared" si="208"/>
        <v>0</v>
      </c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</row>
    <row r="197" spans="1:157" ht="18" customHeight="1" x14ac:dyDescent="0.25">
      <c r="A197" s="27">
        <f t="shared" si="209"/>
        <v>180</v>
      </c>
      <c r="B197" s="199" t="s">
        <v>267</v>
      </c>
      <c r="C197" s="29">
        <f t="shared" si="197"/>
        <v>358.43165054945058</v>
      </c>
      <c r="D197" s="30">
        <f t="shared" si="198"/>
        <v>0</v>
      </c>
      <c r="E197" s="31">
        <f>+C197/13.3803</f>
        <v>26.788013015362178</v>
      </c>
      <c r="F197" s="32">
        <f>+'TALLER RETIRADOS'!BF72</f>
        <v>201.13873406593405</v>
      </c>
      <c r="G197" s="32">
        <v>0</v>
      </c>
      <c r="H197" s="32">
        <f>+'TALLER RETIRADOS'!CX72</f>
        <v>133.87791648351649</v>
      </c>
      <c r="I197" s="32">
        <v>0</v>
      </c>
      <c r="J197" s="32">
        <f>13.38*7*25%</f>
        <v>23.415000000000003</v>
      </c>
      <c r="K197" s="33"/>
      <c r="L197" s="34">
        <f t="shared" si="199"/>
        <v>358.43165054945058</v>
      </c>
      <c r="M197" s="35">
        <f t="shared" si="200"/>
        <v>33.871790976923073</v>
      </c>
      <c r="N197" s="36">
        <f t="shared" si="201"/>
        <v>324.5598595725275</v>
      </c>
      <c r="O197" s="37">
        <f t="shared" si="202"/>
        <v>29.868634512128828</v>
      </c>
      <c r="P197" s="37">
        <f t="shared" si="203"/>
        <v>29.761482460067381</v>
      </c>
      <c r="Q197" s="33">
        <f t="shared" si="204"/>
        <v>59.630116972196205</v>
      </c>
      <c r="R197" s="38"/>
      <c r="S197" s="39"/>
      <c r="T197" s="35"/>
      <c r="U197" s="40">
        <f t="shared" si="205"/>
        <v>384.18997654472372</v>
      </c>
      <c r="V197" s="39">
        <v>384.18997654472372</v>
      </c>
      <c r="W197" s="35"/>
      <c r="X197" s="42"/>
      <c r="Y197" s="43"/>
      <c r="Z197" s="55"/>
      <c r="AA197" s="40">
        <f t="shared" si="206"/>
        <v>384.18997654472372</v>
      </c>
      <c r="AB197" s="36">
        <f t="shared" si="207"/>
        <v>0</v>
      </c>
      <c r="AC197" s="288"/>
      <c r="AD197" s="91"/>
      <c r="AE197" s="68"/>
      <c r="AF197" s="46">
        <f t="shared" si="208"/>
        <v>0</v>
      </c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</row>
    <row r="198" spans="1:157" ht="18" customHeight="1" x14ac:dyDescent="0.25">
      <c r="A198" s="27">
        <f t="shared" si="209"/>
        <v>181</v>
      </c>
      <c r="B198" s="199" t="s">
        <v>116</v>
      </c>
      <c r="C198" s="29">
        <f t="shared" si="197"/>
        <v>43.752899999999997</v>
      </c>
      <c r="D198" s="30">
        <f t="shared" si="198"/>
        <v>0</v>
      </c>
      <c r="E198" s="31">
        <f>+C198/13.3803</f>
        <v>3.2699491042801729</v>
      </c>
      <c r="F198" s="32">
        <f>+'TALLER RETIRADOS'!BF73</f>
        <v>43.752899999999997</v>
      </c>
      <c r="G198" s="32">
        <v>0</v>
      </c>
      <c r="H198" s="32">
        <f>+'TALLER RETIRADOS'!CX73</f>
        <v>0</v>
      </c>
      <c r="I198" s="32">
        <v>0</v>
      </c>
      <c r="J198" s="32"/>
      <c r="K198" s="33"/>
      <c r="L198" s="34">
        <f t="shared" si="199"/>
        <v>43.752899999999997</v>
      </c>
      <c r="M198" s="35">
        <f t="shared" si="200"/>
        <v>4.1346490499999993</v>
      </c>
      <c r="N198" s="36">
        <f t="shared" si="201"/>
        <v>39.618250949999997</v>
      </c>
      <c r="O198" s="37">
        <f t="shared" si="202"/>
        <v>3.6459932512723929</v>
      </c>
      <c r="P198" s="37">
        <f t="shared" si="203"/>
        <v>3.632913454855272</v>
      </c>
      <c r="Q198" s="33">
        <f t="shared" si="204"/>
        <v>7.2789067061276649</v>
      </c>
      <c r="R198" s="38"/>
      <c r="S198" s="39"/>
      <c r="T198" s="35"/>
      <c r="U198" s="40">
        <f t="shared" si="205"/>
        <v>46.897157656127661</v>
      </c>
      <c r="V198" s="39">
        <v>46.897157656127661</v>
      </c>
      <c r="W198" s="35"/>
      <c r="X198" s="42"/>
      <c r="Y198" s="43"/>
      <c r="Z198" s="55"/>
      <c r="AA198" s="40">
        <f t="shared" si="206"/>
        <v>46.897157656127661</v>
      </c>
      <c r="AB198" s="36">
        <f t="shared" si="207"/>
        <v>0</v>
      </c>
      <c r="AC198" s="288"/>
      <c r="AD198" s="91"/>
      <c r="AE198" s="68"/>
      <c r="AF198" s="46">
        <f t="shared" si="208"/>
        <v>0</v>
      </c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</row>
    <row r="199" spans="1:157" ht="18" customHeight="1" x14ac:dyDescent="0.25">
      <c r="A199" s="27">
        <f t="shared" si="209"/>
        <v>182</v>
      </c>
      <c r="B199" s="28" t="s">
        <v>269</v>
      </c>
      <c r="C199" s="29">
        <f t="shared" si="197"/>
        <v>36.682499999999997</v>
      </c>
      <c r="D199" s="30">
        <f t="shared" si="198"/>
        <v>0</v>
      </c>
      <c r="E199" s="31">
        <f t="shared" ref="E199" si="210">+C199/13.3803</f>
        <v>2.7415304589583189</v>
      </c>
      <c r="F199" s="32">
        <f>+'TALLER RETIRADOS'!BF74</f>
        <v>36.682499999999997</v>
      </c>
      <c r="G199" s="32">
        <v>0</v>
      </c>
      <c r="H199" s="32">
        <f>+'TALLER RETIRADOS'!CX74</f>
        <v>0</v>
      </c>
      <c r="I199" s="32">
        <v>0</v>
      </c>
      <c r="J199" s="32"/>
      <c r="K199" s="33"/>
      <c r="L199" s="34">
        <f t="shared" si="199"/>
        <v>36.682499999999997</v>
      </c>
      <c r="M199" s="35">
        <f t="shared" si="200"/>
        <v>3.4664962499999992</v>
      </c>
      <c r="N199" s="36">
        <f t="shared" si="201"/>
        <v>33.216003749999999</v>
      </c>
      <c r="O199" s="37">
        <f t="shared" si="202"/>
        <v>3.0568064617385255</v>
      </c>
      <c r="P199" s="37">
        <f t="shared" si="203"/>
        <v>3.0458403399026923</v>
      </c>
      <c r="Q199" s="33">
        <f t="shared" si="204"/>
        <v>6.1026468016412174</v>
      </c>
      <c r="R199" s="38"/>
      <c r="S199" s="39"/>
      <c r="T199" s="35"/>
      <c r="U199" s="40">
        <f t="shared" si="205"/>
        <v>39.318650551641213</v>
      </c>
      <c r="V199" s="39">
        <v>39.318650551641213</v>
      </c>
      <c r="W199" s="35"/>
      <c r="X199" s="42"/>
      <c r="Y199" s="43"/>
      <c r="Z199" s="59"/>
      <c r="AA199" s="40">
        <f t="shared" si="206"/>
        <v>39.318650551641213</v>
      </c>
      <c r="AB199" s="36">
        <f t="shared" si="207"/>
        <v>0</v>
      </c>
      <c r="AC199" s="288"/>
      <c r="AD199" s="56"/>
      <c r="AE199" s="68"/>
      <c r="AF199" s="46">
        <f t="shared" si="208"/>
        <v>0</v>
      </c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</row>
    <row r="200" spans="1:157" ht="18" customHeight="1" x14ac:dyDescent="0.25">
      <c r="A200" s="27">
        <f>A199+1</f>
        <v>183</v>
      </c>
      <c r="B200" s="28" t="s">
        <v>215</v>
      </c>
      <c r="C200" s="29">
        <f t="shared" si="197"/>
        <v>401.41</v>
      </c>
      <c r="D200" s="30">
        <f t="shared" si="198"/>
        <v>63.117264835164804</v>
      </c>
      <c r="E200" s="31">
        <f t="shared" ref="E200:E203" si="211">+C200/13.3803</f>
        <v>30.000074736739837</v>
      </c>
      <c r="F200" s="32">
        <f>+'TALLER RETIRADOS'!BF101</f>
        <v>309.18163406593408</v>
      </c>
      <c r="G200" s="32">
        <v>0</v>
      </c>
      <c r="H200" s="102">
        <f>'TALLER RETIRADOS'!CX101+'TALLER RETIRADOS'!DC101</f>
        <v>155.34563076923078</v>
      </c>
      <c r="I200" s="32">
        <v>0</v>
      </c>
      <c r="J200" s="32"/>
      <c r="K200" s="33"/>
      <c r="L200" s="34">
        <f t="shared" si="199"/>
        <v>464.52726483516483</v>
      </c>
      <c r="M200" s="35">
        <f t="shared" si="200"/>
        <v>37.933</v>
      </c>
      <c r="N200" s="36">
        <f t="shared" si="201"/>
        <v>426.59426483516484</v>
      </c>
      <c r="O200" s="37">
        <f t="shared" si="202"/>
        <v>33.450000000000003</v>
      </c>
      <c r="P200" s="37">
        <f t="shared" si="203"/>
        <v>33.33</v>
      </c>
      <c r="Q200" s="33">
        <f t="shared" si="204"/>
        <v>66.78</v>
      </c>
      <c r="R200" s="38"/>
      <c r="S200" s="39"/>
      <c r="T200" s="35"/>
      <c r="U200" s="40">
        <f t="shared" si="205"/>
        <v>493.37426483516481</v>
      </c>
      <c r="V200" s="39">
        <v>493.37426483516481</v>
      </c>
      <c r="W200" s="35"/>
      <c r="X200" s="42"/>
      <c r="Y200" s="43"/>
      <c r="Z200" s="44"/>
      <c r="AA200" s="40">
        <f t="shared" si="206"/>
        <v>493.37426483516481</v>
      </c>
      <c r="AB200" s="36">
        <f t="shared" si="207"/>
        <v>0</v>
      </c>
      <c r="AC200" s="288"/>
      <c r="AD200" s="92"/>
      <c r="AE200" s="45"/>
      <c r="AF200" s="46">
        <f t="shared" si="208"/>
        <v>0</v>
      </c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</row>
    <row r="201" spans="1:157" ht="18" customHeight="1" x14ac:dyDescent="0.25">
      <c r="A201" s="27">
        <f t="shared" si="209"/>
        <v>184</v>
      </c>
      <c r="B201" s="199" t="s">
        <v>214</v>
      </c>
      <c r="C201" s="29">
        <f t="shared" si="197"/>
        <v>401.41</v>
      </c>
      <c r="D201" s="30">
        <f t="shared" si="198"/>
        <v>38.519550549450571</v>
      </c>
      <c r="E201" s="31">
        <f t="shared" si="211"/>
        <v>30.000074736739837</v>
      </c>
      <c r="F201" s="32">
        <f>+'TALLER RETIRADOS'!BF102</f>
        <v>267.18163406593408</v>
      </c>
      <c r="G201" s="32">
        <v>0</v>
      </c>
      <c r="H201" s="102">
        <f>'TALLER RETIRADOS'!CX102+'TALLER RETIRADOS'!DC102</f>
        <v>172.74791648351649</v>
      </c>
      <c r="I201" s="32">
        <v>0</v>
      </c>
      <c r="J201" s="32"/>
      <c r="K201" s="33"/>
      <c r="L201" s="34">
        <f t="shared" si="199"/>
        <v>439.9295505494506</v>
      </c>
      <c r="M201" s="35">
        <f t="shared" si="200"/>
        <v>37.933</v>
      </c>
      <c r="N201" s="36">
        <f t="shared" si="201"/>
        <v>401.9965505494506</v>
      </c>
      <c r="O201" s="37">
        <f t="shared" si="202"/>
        <v>33.450000000000003</v>
      </c>
      <c r="P201" s="37">
        <f t="shared" si="203"/>
        <v>33.33</v>
      </c>
      <c r="Q201" s="33">
        <f t="shared" si="204"/>
        <v>66.78</v>
      </c>
      <c r="R201" s="38">
        <f>33.45/30*E201</f>
        <v>33.450083331464917</v>
      </c>
      <c r="S201" s="39"/>
      <c r="T201" s="35"/>
      <c r="U201" s="40">
        <f t="shared" si="205"/>
        <v>502.22663388091547</v>
      </c>
      <c r="V201" s="39">
        <v>454.08663388091549</v>
      </c>
      <c r="W201" s="35"/>
      <c r="X201" s="42"/>
      <c r="Y201" s="43"/>
      <c r="Z201" s="58">
        <v>48.14</v>
      </c>
      <c r="AA201" s="40">
        <f t="shared" si="206"/>
        <v>502.22663388091547</v>
      </c>
      <c r="AB201" s="36">
        <f t="shared" si="207"/>
        <v>0</v>
      </c>
      <c r="AC201" s="288"/>
      <c r="AD201" s="56"/>
      <c r="AE201" s="68"/>
      <c r="AF201" s="46">
        <f t="shared" si="208"/>
        <v>0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</row>
    <row r="202" spans="1:157" s="57" customFormat="1" ht="18" customHeight="1" x14ac:dyDescent="0.25">
      <c r="A202" s="27">
        <f>A201+1</f>
        <v>185</v>
      </c>
      <c r="B202" s="94" t="s">
        <v>212</v>
      </c>
      <c r="C202" s="29">
        <f t="shared" si="197"/>
        <v>401.41</v>
      </c>
      <c r="D202" s="30">
        <f t="shared" si="198"/>
        <v>61.249396703296668</v>
      </c>
      <c r="E202" s="31">
        <f t="shared" si="211"/>
        <v>30.000074736739837</v>
      </c>
      <c r="F202" s="32">
        <f>+'TALLER RETIRADOS'!BF104</f>
        <v>289.18163406593408</v>
      </c>
      <c r="G202" s="32">
        <v>0</v>
      </c>
      <c r="H202" s="102">
        <f>'TALLER RETIRADOS'!CX104+'TALLER RETIRADOS'!DC104</f>
        <v>173.47776263736264</v>
      </c>
      <c r="I202" s="32">
        <v>0</v>
      </c>
      <c r="J202" s="32"/>
      <c r="K202" s="33"/>
      <c r="L202" s="34">
        <f t="shared" si="199"/>
        <v>462.65939670329669</v>
      </c>
      <c r="M202" s="35">
        <f t="shared" si="200"/>
        <v>37.933</v>
      </c>
      <c r="N202" s="36">
        <f t="shared" si="201"/>
        <v>424.7263967032967</v>
      </c>
      <c r="O202" s="37">
        <f t="shared" si="202"/>
        <v>33.450000000000003</v>
      </c>
      <c r="P202" s="37">
        <f t="shared" si="203"/>
        <v>33.33</v>
      </c>
      <c r="Q202" s="33">
        <f t="shared" si="204"/>
        <v>66.78</v>
      </c>
      <c r="R202" s="38">
        <f>33.45/30*E202</f>
        <v>33.450083331464917</v>
      </c>
      <c r="S202" s="39"/>
      <c r="T202" s="35"/>
      <c r="U202" s="40">
        <f t="shared" si="205"/>
        <v>524.95648003476163</v>
      </c>
      <c r="V202" s="39">
        <v>524.95648003476163</v>
      </c>
      <c r="W202" s="35"/>
      <c r="X202" s="42"/>
      <c r="Y202" s="43"/>
      <c r="Z202" s="47"/>
      <c r="AA202" s="40">
        <f t="shared" si="206"/>
        <v>524.95648003476163</v>
      </c>
      <c r="AB202" s="36">
        <f t="shared" si="207"/>
        <v>0</v>
      </c>
      <c r="AC202" s="288"/>
      <c r="AD202" s="68"/>
      <c r="AE202" s="45"/>
      <c r="AF202" s="46">
        <f t="shared" si="208"/>
        <v>0</v>
      </c>
    </row>
    <row r="203" spans="1:157" s="57" customFormat="1" ht="18" customHeight="1" x14ac:dyDescent="0.25">
      <c r="A203" s="27">
        <f t="shared" si="209"/>
        <v>186</v>
      </c>
      <c r="B203" s="199" t="s">
        <v>127</v>
      </c>
      <c r="C203" s="29">
        <f t="shared" si="197"/>
        <v>401.41</v>
      </c>
      <c r="D203" s="30">
        <f t="shared" si="198"/>
        <v>80.519550549450571</v>
      </c>
      <c r="E203" s="31">
        <f t="shared" si="211"/>
        <v>30.000074736739837</v>
      </c>
      <c r="F203" s="32">
        <f>+'TALLER RETIRADOS'!BF105</f>
        <v>289.18163406593408</v>
      </c>
      <c r="G203" s="32">
        <v>0</v>
      </c>
      <c r="H203" s="102">
        <f>'TALLER RETIRADOS'!CX105+'TALLER RETIRADOS'!DC105</f>
        <v>192.74791648351649</v>
      </c>
      <c r="I203" s="32">
        <v>0</v>
      </c>
      <c r="J203" s="66"/>
      <c r="K203" s="33"/>
      <c r="L203" s="34">
        <f t="shared" si="199"/>
        <v>481.9295505494506</v>
      </c>
      <c r="M203" s="35">
        <f t="shared" si="200"/>
        <v>37.933</v>
      </c>
      <c r="N203" s="36">
        <f t="shared" si="201"/>
        <v>443.9965505494506</v>
      </c>
      <c r="O203" s="37">
        <f t="shared" si="202"/>
        <v>33.450000000000003</v>
      </c>
      <c r="P203" s="37">
        <f t="shared" si="203"/>
        <v>33.33</v>
      </c>
      <c r="Q203" s="33">
        <f t="shared" si="204"/>
        <v>66.78</v>
      </c>
      <c r="R203" s="38">
        <f>33.45/30*E203</f>
        <v>33.450083331464917</v>
      </c>
      <c r="S203" s="39"/>
      <c r="T203" s="35"/>
      <c r="U203" s="40">
        <f t="shared" si="205"/>
        <v>544.22663388091553</v>
      </c>
      <c r="V203" s="39">
        <v>544.22663388091553</v>
      </c>
      <c r="W203" s="35"/>
      <c r="X203" s="42"/>
      <c r="Y203" s="43"/>
      <c r="Z203" s="44"/>
      <c r="AA203" s="40">
        <f t="shared" si="206"/>
        <v>544.22663388091553</v>
      </c>
      <c r="AB203" s="36">
        <f t="shared" si="207"/>
        <v>0</v>
      </c>
      <c r="AC203" s="288"/>
      <c r="AD203" s="56"/>
      <c r="AE203" s="68"/>
      <c r="AF203" s="46">
        <f t="shared" si="208"/>
        <v>0</v>
      </c>
    </row>
    <row r="204" spans="1:157" s="57" customFormat="1" ht="18" customHeight="1" x14ac:dyDescent="0.25">
      <c r="A204" s="1304" t="s">
        <v>272</v>
      </c>
      <c r="B204" s="1305"/>
      <c r="C204" s="29"/>
      <c r="D204" s="30"/>
      <c r="E204" s="31"/>
      <c r="F204" s="32"/>
      <c r="G204" s="32"/>
      <c r="H204" s="32"/>
      <c r="I204" s="200"/>
      <c r="J204" s="201"/>
      <c r="K204" s="202"/>
      <c r="L204" s="34"/>
      <c r="M204" s="35"/>
      <c r="N204" s="36"/>
      <c r="O204" s="37"/>
      <c r="P204" s="37"/>
      <c r="Q204" s="33"/>
      <c r="R204" s="38"/>
      <c r="S204" s="39"/>
      <c r="T204" s="107"/>
      <c r="U204" s="40"/>
      <c r="V204" s="106"/>
      <c r="W204" s="35"/>
      <c r="X204" s="108"/>
      <c r="Y204" s="43"/>
      <c r="Z204" s="203"/>
      <c r="AA204" s="40"/>
      <c r="AB204" s="36"/>
      <c r="AC204" s="45"/>
      <c r="AD204" s="45"/>
      <c r="AE204" s="68"/>
      <c r="AF204" s="46"/>
    </row>
    <row r="205" spans="1:157" s="57" customFormat="1" ht="18" customHeight="1" x14ac:dyDescent="0.25">
      <c r="A205" s="27">
        <f>A203+1</f>
        <v>187</v>
      </c>
      <c r="B205" s="28" t="s">
        <v>289</v>
      </c>
      <c r="C205" s="29">
        <f t="shared" ref="C205:C211" si="212">IF(L205&gt;=401.41,401.41,IF(L205&lt;401.41,L205))</f>
        <v>356.57800000000003</v>
      </c>
      <c r="D205" s="30">
        <f t="shared" ref="D205:D211" si="213">+L205-C205</f>
        <v>0</v>
      </c>
      <c r="E205" s="31">
        <f t="shared" ref="E205:E211" si="214">+C205/13.3803</f>
        <v>26.649477216504863</v>
      </c>
      <c r="F205" s="32">
        <f>+VIVERO!K5</f>
        <v>180.65400000000002</v>
      </c>
      <c r="G205" s="32">
        <v>0</v>
      </c>
      <c r="H205" s="32">
        <f>+VIVERO!T5</f>
        <v>169.23400000000001</v>
      </c>
      <c r="I205" s="32">
        <v>0</v>
      </c>
      <c r="J205" s="95">
        <f>13.38*1*50%</f>
        <v>6.69</v>
      </c>
      <c r="K205" s="33"/>
      <c r="L205" s="34">
        <f t="shared" ref="L205:L211" si="215">+F205+G205+H205+I205+K205+J205</f>
        <v>356.57800000000003</v>
      </c>
      <c r="M205" s="35">
        <f t="shared" ref="M205:M211" si="216">IF(L205&gt;=401.41,37.933,IF(L205&lt;401.41,L205*9.45%))</f>
        <v>33.696621</v>
      </c>
      <c r="N205" s="36">
        <f t="shared" ref="N205:N211" si="217">+L205-M205</f>
        <v>322.88137900000004</v>
      </c>
      <c r="O205" s="37">
        <f t="shared" ref="O205:O211" si="218">IF(E205&gt;=30,33.45,IF(E205&lt;30,E205*1.115))</f>
        <v>29.714167096402921</v>
      </c>
      <c r="P205" s="37">
        <f t="shared" ref="P205:P211" si="219">IF(E205&gt;=30,33.33,IF(E205&lt;30,E205*1.111))</f>
        <v>29.607569187536903</v>
      </c>
      <c r="Q205" s="33">
        <f t="shared" ref="Q205:Q211" si="220">+O205+P205</f>
        <v>59.321736283939828</v>
      </c>
      <c r="R205" s="38">
        <f t="shared" ref="R205:R212" si="221">33.45/30*E205</f>
        <v>29.714167096402921</v>
      </c>
      <c r="S205" s="39"/>
      <c r="T205" s="35"/>
      <c r="U205" s="40">
        <f t="shared" ref="U205:U211" si="222">N205+Q205+R205+S205+T205</f>
        <v>411.91728238034278</v>
      </c>
      <c r="V205" s="39"/>
      <c r="W205" s="35"/>
      <c r="X205" s="42"/>
      <c r="Y205" s="43"/>
      <c r="Z205" s="44"/>
      <c r="AA205" s="40">
        <f t="shared" ref="AA205:AA211" si="223">+W205+V205+X205+Y205+Z205</f>
        <v>0</v>
      </c>
      <c r="AB205" s="36">
        <f t="shared" ref="AB205:AB211" si="224">+U205-AA205</f>
        <v>411.91728238034278</v>
      </c>
      <c r="AC205" s="288"/>
      <c r="AD205" s="45"/>
      <c r="AE205" s="68"/>
      <c r="AF205" s="46">
        <f t="shared" ref="AF205:AF211" si="225">+AB205-AC205-AD205-AE205</f>
        <v>411.91728238034278</v>
      </c>
    </row>
    <row r="206" spans="1:157" s="57" customFormat="1" ht="18" customHeight="1" x14ac:dyDescent="0.25">
      <c r="A206" s="27">
        <f t="shared" ref="A206:A211" si="226">A205+1</f>
        <v>188</v>
      </c>
      <c r="B206" s="28" t="s">
        <v>117</v>
      </c>
      <c r="C206" s="29">
        <f t="shared" si="212"/>
        <v>389.23</v>
      </c>
      <c r="D206" s="30">
        <f t="shared" si="213"/>
        <v>0</v>
      </c>
      <c r="E206" s="31">
        <f t="shared" si="214"/>
        <v>29.089781245562506</v>
      </c>
      <c r="F206" s="32">
        <f>+VIVERO!K6</f>
        <v>219.99600000000001</v>
      </c>
      <c r="G206" s="32">
        <v>0</v>
      </c>
      <c r="H206" s="32">
        <f>+VIVERO!T6</f>
        <v>169.23400000000001</v>
      </c>
      <c r="I206" s="32">
        <v>0</v>
      </c>
      <c r="J206" s="95"/>
      <c r="K206" s="33"/>
      <c r="L206" s="34">
        <f>+F206+G206+H206+I206+K206+J206</f>
        <v>389.23</v>
      </c>
      <c r="M206" s="35">
        <f t="shared" si="216"/>
        <v>36.782235</v>
      </c>
      <c r="N206" s="36">
        <f t="shared" si="217"/>
        <v>352.447765</v>
      </c>
      <c r="O206" s="37">
        <f t="shared" si="218"/>
        <v>32.435106088802193</v>
      </c>
      <c r="P206" s="37">
        <f t="shared" si="219"/>
        <v>32.31874696381994</v>
      </c>
      <c r="Q206" s="33">
        <f t="shared" si="220"/>
        <v>64.753853052622134</v>
      </c>
      <c r="R206" s="38">
        <f t="shared" si="221"/>
        <v>32.435106088802193</v>
      </c>
      <c r="S206" s="39"/>
      <c r="T206" s="35"/>
      <c r="U206" s="40">
        <f t="shared" si="222"/>
        <v>449.63672414142434</v>
      </c>
      <c r="V206" s="39"/>
      <c r="W206" s="35"/>
      <c r="X206" s="42"/>
      <c r="Y206" s="43"/>
      <c r="Z206" s="44"/>
      <c r="AA206" s="40">
        <f t="shared" si="223"/>
        <v>0</v>
      </c>
      <c r="AB206" s="36">
        <f t="shared" si="224"/>
        <v>449.63672414142434</v>
      </c>
      <c r="AC206" s="288"/>
      <c r="AD206" s="45"/>
      <c r="AE206" s="68"/>
      <c r="AF206" s="46">
        <f t="shared" si="225"/>
        <v>449.63672414142434</v>
      </c>
    </row>
    <row r="207" spans="1:157" s="57" customFormat="1" ht="18" customHeight="1" x14ac:dyDescent="0.25">
      <c r="A207" s="27">
        <f t="shared" si="226"/>
        <v>189</v>
      </c>
      <c r="B207" s="28" t="s">
        <v>193</v>
      </c>
      <c r="C207" s="29">
        <f t="shared" si="212"/>
        <v>401.41</v>
      </c>
      <c r="D207" s="30">
        <f t="shared" si="213"/>
        <v>21.666800000000023</v>
      </c>
      <c r="E207" s="31">
        <f t="shared" si="214"/>
        <v>30.000074736739837</v>
      </c>
      <c r="F207" s="32">
        <f>+VIVERO!K7</f>
        <v>219.99600000000001</v>
      </c>
      <c r="G207" s="32">
        <v>0</v>
      </c>
      <c r="H207" s="32">
        <f>+VIVERO!T7</f>
        <v>203.08080000000001</v>
      </c>
      <c r="I207" s="32">
        <v>0</v>
      </c>
      <c r="J207" s="95"/>
      <c r="K207" s="33"/>
      <c r="L207" s="34">
        <f t="shared" si="215"/>
        <v>423.07680000000005</v>
      </c>
      <c r="M207" s="35">
        <f t="shared" si="216"/>
        <v>37.933</v>
      </c>
      <c r="N207" s="36">
        <f t="shared" si="217"/>
        <v>385.14380000000006</v>
      </c>
      <c r="O207" s="37">
        <f t="shared" si="218"/>
        <v>33.450000000000003</v>
      </c>
      <c r="P207" s="37">
        <f t="shared" si="219"/>
        <v>33.33</v>
      </c>
      <c r="Q207" s="33">
        <f t="shared" si="220"/>
        <v>66.78</v>
      </c>
      <c r="R207" s="38">
        <f t="shared" si="221"/>
        <v>33.450083331464917</v>
      </c>
      <c r="S207" s="39"/>
      <c r="T207" s="35"/>
      <c r="U207" s="40">
        <f t="shared" si="222"/>
        <v>485.37388333146492</v>
      </c>
      <c r="V207" s="39"/>
      <c r="W207" s="35"/>
      <c r="X207" s="42"/>
      <c r="Y207" s="43"/>
      <c r="Z207" s="44"/>
      <c r="AA207" s="40">
        <f t="shared" si="223"/>
        <v>0</v>
      </c>
      <c r="AB207" s="36">
        <f t="shared" si="224"/>
        <v>485.37388333146492</v>
      </c>
      <c r="AC207" s="288"/>
      <c r="AD207" s="45"/>
      <c r="AE207" s="68"/>
      <c r="AF207" s="46">
        <f t="shared" si="225"/>
        <v>485.37388333146492</v>
      </c>
    </row>
    <row r="208" spans="1:157" ht="18" customHeight="1" x14ac:dyDescent="0.25">
      <c r="A208" s="27">
        <f t="shared" si="226"/>
        <v>190</v>
      </c>
      <c r="B208" s="28" t="s">
        <v>389</v>
      </c>
      <c r="C208" s="29">
        <f t="shared" si="212"/>
        <v>330.00220000000002</v>
      </c>
      <c r="D208" s="30">
        <f t="shared" si="213"/>
        <v>0</v>
      </c>
      <c r="E208" s="31">
        <f t="shared" si="214"/>
        <v>24.663288566026175</v>
      </c>
      <c r="F208" s="32">
        <f>+VIVERO!K8</f>
        <v>109.998</v>
      </c>
      <c r="G208" s="32">
        <v>0</v>
      </c>
      <c r="H208" s="32">
        <f>+VIVERO!T8</f>
        <v>220.00420000000003</v>
      </c>
      <c r="I208" s="32">
        <v>0</v>
      </c>
      <c r="J208" s="95"/>
      <c r="K208" s="33"/>
      <c r="L208" s="34">
        <f t="shared" si="215"/>
        <v>330.00220000000002</v>
      </c>
      <c r="M208" s="35">
        <f t="shared" si="216"/>
        <v>31.185207899999998</v>
      </c>
      <c r="N208" s="36">
        <f t="shared" si="217"/>
        <v>298.81699209999999</v>
      </c>
      <c r="O208" s="37">
        <f t="shared" si="218"/>
        <v>27.499566751119186</v>
      </c>
      <c r="P208" s="37">
        <f t="shared" si="219"/>
        <v>27.40091359685508</v>
      </c>
      <c r="Q208" s="33">
        <f t="shared" si="220"/>
        <v>54.900480347974266</v>
      </c>
      <c r="R208" s="38">
        <f t="shared" si="221"/>
        <v>27.499566751119186</v>
      </c>
      <c r="S208" s="39"/>
      <c r="T208" s="35"/>
      <c r="U208" s="40">
        <f t="shared" si="222"/>
        <v>381.21703919909345</v>
      </c>
      <c r="V208" s="39"/>
      <c r="W208" s="35"/>
      <c r="X208" s="42"/>
      <c r="Y208" s="43"/>
      <c r="Z208" s="44"/>
      <c r="AA208" s="40">
        <f t="shared" si="223"/>
        <v>0</v>
      </c>
      <c r="AB208" s="36">
        <f t="shared" si="224"/>
        <v>381.21703919909345</v>
      </c>
      <c r="AC208" s="288"/>
      <c r="AD208" s="45"/>
      <c r="AE208" s="68"/>
      <c r="AF208" s="46">
        <f t="shared" si="225"/>
        <v>381.21703919909345</v>
      </c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</row>
    <row r="209" spans="1:157" ht="18" customHeight="1" x14ac:dyDescent="0.25">
      <c r="A209" s="27">
        <f t="shared" si="226"/>
        <v>191</v>
      </c>
      <c r="B209" s="28" t="s">
        <v>290</v>
      </c>
      <c r="C209" s="29">
        <f t="shared" si="212"/>
        <v>390.98540000000003</v>
      </c>
      <c r="D209" s="30">
        <f t="shared" si="213"/>
        <v>0</v>
      </c>
      <c r="E209" s="31">
        <f t="shared" si="214"/>
        <v>29.220974118666998</v>
      </c>
      <c r="F209" s="32">
        <f>+VIVERO!K9</f>
        <v>196.36800000000002</v>
      </c>
      <c r="G209" s="32">
        <v>0</v>
      </c>
      <c r="H209" s="32">
        <f>+VIVERO!T9</f>
        <v>194.6174</v>
      </c>
      <c r="I209" s="32">
        <v>0</v>
      </c>
      <c r="J209" s="95"/>
      <c r="K209" s="33"/>
      <c r="L209" s="34">
        <f t="shared" si="215"/>
        <v>390.98540000000003</v>
      </c>
      <c r="M209" s="35">
        <f t="shared" si="216"/>
        <v>36.948120299999999</v>
      </c>
      <c r="N209" s="36">
        <f t="shared" si="217"/>
        <v>354.0372797</v>
      </c>
      <c r="O209" s="37">
        <f t="shared" si="218"/>
        <v>32.581386142313704</v>
      </c>
      <c r="P209" s="37">
        <f t="shared" si="219"/>
        <v>32.464502245839036</v>
      </c>
      <c r="Q209" s="33">
        <f t="shared" si="220"/>
        <v>65.045888388152747</v>
      </c>
      <c r="R209" s="38">
        <f t="shared" si="221"/>
        <v>32.581386142313704</v>
      </c>
      <c r="S209" s="39"/>
      <c r="T209" s="35"/>
      <c r="U209" s="40">
        <f t="shared" si="222"/>
        <v>451.66455423046648</v>
      </c>
      <c r="V209" s="39"/>
      <c r="W209" s="35"/>
      <c r="X209" s="42"/>
      <c r="Y209" s="43"/>
      <c r="Z209" s="44"/>
      <c r="AA209" s="40">
        <f t="shared" si="223"/>
        <v>0</v>
      </c>
      <c r="AB209" s="36">
        <f t="shared" si="224"/>
        <v>451.66455423046648</v>
      </c>
      <c r="AC209" s="288"/>
      <c r="AD209" s="45"/>
      <c r="AE209" s="68"/>
      <c r="AF209" s="46">
        <f t="shared" si="225"/>
        <v>451.66455423046648</v>
      </c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</row>
    <row r="210" spans="1:157" ht="18" customHeight="1" x14ac:dyDescent="0.25">
      <c r="A210" s="27">
        <f t="shared" si="226"/>
        <v>192</v>
      </c>
      <c r="B210" s="28" t="s">
        <v>196</v>
      </c>
      <c r="C210" s="29">
        <f t="shared" si="212"/>
        <v>401.41</v>
      </c>
      <c r="D210" s="30">
        <f t="shared" si="213"/>
        <v>51.970200000000034</v>
      </c>
      <c r="E210" s="31">
        <f t="shared" si="214"/>
        <v>30.000074736739837</v>
      </c>
      <c r="F210" s="32">
        <f>+VIVERO!K10</f>
        <v>219.99600000000001</v>
      </c>
      <c r="G210" s="32">
        <v>0</v>
      </c>
      <c r="H210" s="32">
        <f>+VIVERO!T10</f>
        <v>220.00420000000003</v>
      </c>
      <c r="I210" s="32">
        <v>0</v>
      </c>
      <c r="J210" s="95">
        <f>13.38*2*50%</f>
        <v>13.38</v>
      </c>
      <c r="K210" s="33"/>
      <c r="L210" s="34">
        <f t="shared" si="215"/>
        <v>453.38020000000006</v>
      </c>
      <c r="M210" s="35">
        <f t="shared" si="216"/>
        <v>37.933</v>
      </c>
      <c r="N210" s="36">
        <f t="shared" si="217"/>
        <v>415.44720000000007</v>
      </c>
      <c r="O210" s="37">
        <f t="shared" si="218"/>
        <v>33.450000000000003</v>
      </c>
      <c r="P210" s="37">
        <f t="shared" si="219"/>
        <v>33.33</v>
      </c>
      <c r="Q210" s="33">
        <f t="shared" si="220"/>
        <v>66.78</v>
      </c>
      <c r="R210" s="38">
        <f t="shared" si="221"/>
        <v>33.450083331464917</v>
      </c>
      <c r="S210" s="39"/>
      <c r="T210" s="35"/>
      <c r="U210" s="40">
        <f t="shared" si="222"/>
        <v>515.67728333146499</v>
      </c>
      <c r="V210" s="39"/>
      <c r="W210" s="35"/>
      <c r="X210" s="42"/>
      <c r="Y210" s="43"/>
      <c r="Z210" s="44"/>
      <c r="AA210" s="40">
        <f t="shared" si="223"/>
        <v>0</v>
      </c>
      <c r="AB210" s="36">
        <f t="shared" si="224"/>
        <v>515.67728333146499</v>
      </c>
      <c r="AC210" s="288"/>
      <c r="AD210" s="45"/>
      <c r="AE210" s="68"/>
      <c r="AF210" s="46">
        <f t="shared" si="225"/>
        <v>515.67728333146499</v>
      </c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</row>
    <row r="211" spans="1:157" ht="18" customHeight="1" x14ac:dyDescent="0.25">
      <c r="A211" s="27">
        <f t="shared" si="226"/>
        <v>193</v>
      </c>
      <c r="B211" s="28" t="s">
        <v>187</v>
      </c>
      <c r="C211" s="29">
        <f t="shared" si="212"/>
        <v>390.43939999999998</v>
      </c>
      <c r="D211" s="30">
        <f t="shared" si="213"/>
        <v>0</v>
      </c>
      <c r="E211" s="31">
        <f t="shared" si="214"/>
        <v>29.180167858717667</v>
      </c>
      <c r="F211" s="32">
        <f>+VIVERO!K11</f>
        <v>204.28200000000001</v>
      </c>
      <c r="G211" s="32">
        <v>0</v>
      </c>
      <c r="H211" s="32">
        <f>+VIVERO!T11</f>
        <v>186.1574</v>
      </c>
      <c r="I211" s="32">
        <v>0</v>
      </c>
      <c r="J211" s="95"/>
      <c r="K211" s="33"/>
      <c r="L211" s="34">
        <f t="shared" si="215"/>
        <v>390.43939999999998</v>
      </c>
      <c r="M211" s="35">
        <f t="shared" si="216"/>
        <v>36.896523299999991</v>
      </c>
      <c r="N211" s="36">
        <f t="shared" si="217"/>
        <v>353.54287669999997</v>
      </c>
      <c r="O211" s="37">
        <f t="shared" si="218"/>
        <v>32.535887162470196</v>
      </c>
      <c r="P211" s="37">
        <f t="shared" si="219"/>
        <v>32.419166491035327</v>
      </c>
      <c r="Q211" s="33">
        <f t="shared" si="220"/>
        <v>64.95505365350553</v>
      </c>
      <c r="R211" s="38">
        <f t="shared" si="221"/>
        <v>32.535887162470196</v>
      </c>
      <c r="S211" s="39"/>
      <c r="T211" s="35"/>
      <c r="U211" s="40">
        <f t="shared" si="222"/>
        <v>451.03381751597567</v>
      </c>
      <c r="V211" s="39"/>
      <c r="W211" s="35"/>
      <c r="X211" s="42"/>
      <c r="Y211" s="43"/>
      <c r="Z211" s="55">
        <v>25.33</v>
      </c>
      <c r="AA211" s="40">
        <f t="shared" si="223"/>
        <v>25.33</v>
      </c>
      <c r="AB211" s="36">
        <f t="shared" si="224"/>
        <v>425.70381751597569</v>
      </c>
      <c r="AC211" s="288"/>
      <c r="AD211" s="45"/>
      <c r="AE211" s="68"/>
      <c r="AF211" s="46">
        <f t="shared" si="225"/>
        <v>425.70381751597569</v>
      </c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</row>
    <row r="212" spans="1:157" ht="18" customHeight="1" x14ac:dyDescent="0.25">
      <c r="A212" s="27">
        <f t="shared" ref="A212:A216" si="227">A211+1</f>
        <v>194</v>
      </c>
      <c r="B212" s="204" t="s">
        <v>38</v>
      </c>
      <c r="C212" s="29">
        <f>IF(L212&gt;=401.41,401.41,IF(L212&lt;401.41,L212))</f>
        <v>357.80200000000002</v>
      </c>
      <c r="D212" s="30">
        <f>+L212-C212</f>
        <v>0</v>
      </c>
      <c r="E212" s="31">
        <f>+C212/13.3803</f>
        <v>26.740954986061599</v>
      </c>
      <c r="F212" s="32">
        <f>+VIVERO!K12</f>
        <v>188.56800000000001</v>
      </c>
      <c r="G212" s="32">
        <v>0</v>
      </c>
      <c r="H212" s="32">
        <f>+VIVERO!T12</f>
        <v>169.23400000000001</v>
      </c>
      <c r="I212" s="32">
        <v>0</v>
      </c>
      <c r="J212" s="95"/>
      <c r="K212" s="33"/>
      <c r="L212" s="34">
        <f t="shared" ref="L212:L222" si="228">+F212+G212+H212+I212+K212+J212</f>
        <v>357.80200000000002</v>
      </c>
      <c r="M212" s="35">
        <f t="shared" ref="M212:M219" si="229">IF(L212&gt;=401.41,37.933,IF(L212&lt;401.41,L212*9.45%))</f>
        <v>33.812289</v>
      </c>
      <c r="N212" s="36">
        <f t="shared" ref="N212:N219" si="230">+L212-M212</f>
        <v>323.989711</v>
      </c>
      <c r="O212" s="37">
        <f t="shared" ref="O212:O219" si="231">IF(E212&gt;=30,33.45,IF(E212&lt;30,E212*1.115))</f>
        <v>29.816164809458684</v>
      </c>
      <c r="P212" s="37">
        <f t="shared" ref="P212:P219" si="232">IF(E212&gt;=30,33.33,IF(E212&lt;30,E212*1.111))</f>
        <v>29.709200989514436</v>
      </c>
      <c r="Q212" s="33">
        <f t="shared" ref="Q212:Q219" si="233">+O212+P212</f>
        <v>59.52536579897312</v>
      </c>
      <c r="R212" s="38">
        <f t="shared" si="221"/>
        <v>29.816164809458684</v>
      </c>
      <c r="S212" s="39"/>
      <c r="T212" s="35"/>
      <c r="U212" s="40">
        <f t="shared" ref="U212:U219" si="234">N212+Q212+R212+S212+T212</f>
        <v>413.33124160843181</v>
      </c>
      <c r="V212" s="39"/>
      <c r="W212" s="35"/>
      <c r="X212" s="42"/>
      <c r="Y212" s="43"/>
      <c r="Z212" s="44"/>
      <c r="AA212" s="40">
        <f t="shared" ref="AA212:AA219" si="235">+W212+V212+X212+Y212+Z212</f>
        <v>0</v>
      </c>
      <c r="AB212" s="36">
        <f t="shared" ref="AB212:AB219" si="236">+U212-AA212</f>
        <v>413.33124160843181</v>
      </c>
      <c r="AC212" s="288"/>
      <c r="AD212" s="45"/>
      <c r="AE212" s="68"/>
      <c r="AF212" s="46">
        <f t="shared" ref="AF212:AF219" si="237">+AB212-AC212-AD212-AE212</f>
        <v>413.33124160843181</v>
      </c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</row>
    <row r="213" spans="1:157" ht="18" customHeight="1" x14ac:dyDescent="0.25">
      <c r="A213" s="27">
        <f t="shared" si="227"/>
        <v>195</v>
      </c>
      <c r="B213" s="204" t="s">
        <v>284</v>
      </c>
      <c r="C213" s="29">
        <f>IF(L213&gt;=401.41,401.41,IF(L213&lt;401.41,L213))</f>
        <v>401.41</v>
      </c>
      <c r="D213" s="30">
        <f>+L213-C213</f>
        <v>298.58999999999997</v>
      </c>
      <c r="E213" s="31">
        <f>+C213/13.3803</f>
        <v>30.000074736739837</v>
      </c>
      <c r="F213" s="32">
        <f>+VIVERO!K13</f>
        <v>350</v>
      </c>
      <c r="G213" s="32">
        <v>0</v>
      </c>
      <c r="H213" s="32">
        <f>+VIVERO!T13</f>
        <v>350</v>
      </c>
      <c r="I213" s="32">
        <v>0</v>
      </c>
      <c r="J213" s="201"/>
      <c r="K213" s="202"/>
      <c r="L213" s="34">
        <f>+F213+G213+H213+I213+K213+J213</f>
        <v>700</v>
      </c>
      <c r="M213" s="35">
        <f>IF(L213&gt;=401.41,37.933,IF(L213&lt;401.41,L213*9.45%))</f>
        <v>37.933</v>
      </c>
      <c r="N213" s="36">
        <f>+L213-M213</f>
        <v>662.06700000000001</v>
      </c>
      <c r="O213" s="37">
        <f>IF(E213&gt;=30,33.45,IF(E213&lt;30,E213*1.115))</f>
        <v>33.450000000000003</v>
      </c>
      <c r="P213" s="37">
        <f>IF(E213&gt;=30,33.33,IF(E213&lt;30,E213*1.111))</f>
        <v>33.33</v>
      </c>
      <c r="Q213" s="33">
        <f>+O213+P213</f>
        <v>66.78</v>
      </c>
      <c r="R213" s="38"/>
      <c r="S213" s="39">
        <v>300</v>
      </c>
      <c r="T213" s="35"/>
      <c r="U213" s="40">
        <f>N213+Q213+R213+S213+T213</f>
        <v>1028.847</v>
      </c>
      <c r="V213" s="39"/>
      <c r="W213" s="35"/>
      <c r="X213" s="42"/>
      <c r="Y213" s="43"/>
      <c r="Z213" s="44"/>
      <c r="AA213" s="40">
        <f>+W213+V213+X213+Y213+Z213</f>
        <v>0</v>
      </c>
      <c r="AB213" s="36">
        <f>+U213-AA213</f>
        <v>1028.847</v>
      </c>
      <c r="AC213" s="288"/>
      <c r="AD213" s="45"/>
      <c r="AE213" s="68"/>
      <c r="AF213" s="46">
        <f>+AB213-AC213-AD213-AE213</f>
        <v>1028.847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</row>
    <row r="214" spans="1:157" ht="18" customHeight="1" x14ac:dyDescent="0.25">
      <c r="A214" s="27">
        <f t="shared" si="227"/>
        <v>196</v>
      </c>
      <c r="B214" s="204" t="s">
        <v>390</v>
      </c>
      <c r="C214" s="29">
        <f t="shared" ref="C214:C219" si="238">IF(L214&gt;=401.41,401.41,IF(L214&lt;401.41,L214))</f>
        <v>401.41</v>
      </c>
      <c r="D214" s="30">
        <f t="shared" ref="D214:D219" si="239">+L214-C214</f>
        <v>38.590200000000038</v>
      </c>
      <c r="E214" s="31">
        <f t="shared" ref="E214:E219" si="240">+C214/13.3803</f>
        <v>30.000074736739837</v>
      </c>
      <c r="F214" s="32">
        <f>+VIVERO!K14</f>
        <v>219.99600000000001</v>
      </c>
      <c r="G214" s="32">
        <v>0</v>
      </c>
      <c r="H214" s="32">
        <f>+VIVERO!T14</f>
        <v>220.00420000000003</v>
      </c>
      <c r="I214" s="200">
        <v>0</v>
      </c>
      <c r="J214" s="201"/>
      <c r="K214" s="202"/>
      <c r="L214" s="34">
        <f t="shared" si="228"/>
        <v>440.00020000000006</v>
      </c>
      <c r="M214" s="35">
        <f t="shared" si="229"/>
        <v>37.933</v>
      </c>
      <c r="N214" s="36">
        <f t="shared" si="230"/>
        <v>402.06720000000007</v>
      </c>
      <c r="O214" s="37">
        <f t="shared" si="231"/>
        <v>33.450000000000003</v>
      </c>
      <c r="P214" s="37">
        <f t="shared" si="232"/>
        <v>33.33</v>
      </c>
      <c r="Q214" s="33">
        <f t="shared" si="233"/>
        <v>66.78</v>
      </c>
      <c r="R214" s="38"/>
      <c r="S214" s="39"/>
      <c r="T214" s="35"/>
      <c r="U214" s="40">
        <f t="shared" si="234"/>
        <v>468.84720000000004</v>
      </c>
      <c r="V214" s="39"/>
      <c r="W214" s="35"/>
      <c r="X214" s="42"/>
      <c r="Y214" s="43"/>
      <c r="Z214" s="44"/>
      <c r="AA214" s="40">
        <f t="shared" si="235"/>
        <v>0</v>
      </c>
      <c r="AB214" s="36">
        <f t="shared" si="236"/>
        <v>468.84720000000004</v>
      </c>
      <c r="AC214" s="288"/>
      <c r="AD214" s="45"/>
      <c r="AE214" s="68"/>
      <c r="AF214" s="46">
        <f t="shared" si="237"/>
        <v>468.84720000000004</v>
      </c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</row>
    <row r="215" spans="1:157" ht="18" customHeight="1" x14ac:dyDescent="0.25">
      <c r="A215" s="27">
        <f t="shared" si="227"/>
        <v>197</v>
      </c>
      <c r="B215" s="204" t="s">
        <v>110</v>
      </c>
      <c r="C215" s="29">
        <f t="shared" si="238"/>
        <v>365.60200000000003</v>
      </c>
      <c r="D215" s="30">
        <f t="shared" si="239"/>
        <v>0</v>
      </c>
      <c r="E215" s="31">
        <f t="shared" si="240"/>
        <v>27.323901556766295</v>
      </c>
      <c r="F215" s="32">
        <f>+VIVERO!K15</f>
        <v>196.36800000000002</v>
      </c>
      <c r="G215" s="32">
        <v>0</v>
      </c>
      <c r="H215" s="32">
        <f>+VIVERO!T15</f>
        <v>169.23400000000001</v>
      </c>
      <c r="I215" s="200">
        <v>0</v>
      </c>
      <c r="J215" s="201"/>
      <c r="K215" s="202"/>
      <c r="L215" s="34">
        <f t="shared" si="228"/>
        <v>365.60200000000003</v>
      </c>
      <c r="M215" s="35">
        <f t="shared" si="229"/>
        <v>34.549388999999998</v>
      </c>
      <c r="N215" s="36">
        <f t="shared" si="230"/>
        <v>331.05261100000001</v>
      </c>
      <c r="O215" s="37">
        <f t="shared" si="231"/>
        <v>30.466150235794419</v>
      </c>
      <c r="P215" s="37">
        <f t="shared" si="232"/>
        <v>30.356854629567351</v>
      </c>
      <c r="Q215" s="33">
        <f t="shared" si="233"/>
        <v>60.823004865361767</v>
      </c>
      <c r="R215" s="38"/>
      <c r="S215" s="39"/>
      <c r="T215" s="35"/>
      <c r="U215" s="40">
        <f t="shared" si="234"/>
        <v>391.87561586536179</v>
      </c>
      <c r="V215" s="39"/>
      <c r="W215" s="35"/>
      <c r="X215" s="42"/>
      <c r="Y215" s="43"/>
      <c r="Z215" s="44"/>
      <c r="AA215" s="40">
        <f t="shared" si="235"/>
        <v>0</v>
      </c>
      <c r="AB215" s="36">
        <f t="shared" si="236"/>
        <v>391.87561586536179</v>
      </c>
      <c r="AC215" s="288"/>
      <c r="AD215" s="45"/>
      <c r="AE215" s="68"/>
      <c r="AF215" s="46">
        <f t="shared" si="237"/>
        <v>391.87561586536179</v>
      </c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</row>
    <row r="216" spans="1:157" ht="18" customHeight="1" x14ac:dyDescent="0.25">
      <c r="A216" s="27">
        <f t="shared" si="227"/>
        <v>198</v>
      </c>
      <c r="B216" s="204" t="s">
        <v>282</v>
      </c>
      <c r="C216" s="29">
        <f t="shared" si="238"/>
        <v>401.41</v>
      </c>
      <c r="D216" s="30">
        <f t="shared" si="239"/>
        <v>98.590000000000032</v>
      </c>
      <c r="E216" s="31">
        <f t="shared" si="240"/>
        <v>30.000074736739837</v>
      </c>
      <c r="F216" s="32">
        <f>+VIVERO!K16</f>
        <v>250.00000000000003</v>
      </c>
      <c r="G216" s="32">
        <v>0</v>
      </c>
      <c r="H216" s="32">
        <f>+VIVERO!T16</f>
        <v>250.00000000000003</v>
      </c>
      <c r="I216" s="200">
        <v>0</v>
      </c>
      <c r="J216" s="201"/>
      <c r="K216" s="202"/>
      <c r="L216" s="34">
        <f t="shared" si="228"/>
        <v>500.00000000000006</v>
      </c>
      <c r="M216" s="35">
        <f t="shared" si="229"/>
        <v>37.933</v>
      </c>
      <c r="N216" s="36">
        <f t="shared" si="230"/>
        <v>462.06700000000006</v>
      </c>
      <c r="O216" s="37">
        <f t="shared" si="231"/>
        <v>33.450000000000003</v>
      </c>
      <c r="P216" s="37">
        <f t="shared" si="232"/>
        <v>33.33</v>
      </c>
      <c r="Q216" s="33">
        <f t="shared" si="233"/>
        <v>66.78</v>
      </c>
      <c r="R216" s="38"/>
      <c r="S216" s="39"/>
      <c r="T216" s="35"/>
      <c r="U216" s="40">
        <f t="shared" si="234"/>
        <v>528.84700000000009</v>
      </c>
      <c r="V216" s="39"/>
      <c r="W216" s="35"/>
      <c r="X216" s="42"/>
      <c r="Y216" s="43"/>
      <c r="Z216" s="44"/>
      <c r="AA216" s="40">
        <f t="shared" si="235"/>
        <v>0</v>
      </c>
      <c r="AB216" s="36">
        <f t="shared" si="236"/>
        <v>528.84700000000009</v>
      </c>
      <c r="AC216" s="288"/>
      <c r="AD216" s="45"/>
      <c r="AE216" s="68"/>
      <c r="AF216" s="46">
        <f t="shared" si="237"/>
        <v>528.84700000000009</v>
      </c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</row>
    <row r="217" spans="1:157" ht="18" customHeight="1" x14ac:dyDescent="0.25">
      <c r="A217" s="27">
        <f>A216+1</f>
        <v>199</v>
      </c>
      <c r="B217" s="204" t="s">
        <v>285</v>
      </c>
      <c r="C217" s="29">
        <f t="shared" si="238"/>
        <v>401.41</v>
      </c>
      <c r="D217" s="30">
        <f t="shared" si="239"/>
        <v>48.589999999999975</v>
      </c>
      <c r="E217" s="31">
        <f t="shared" si="240"/>
        <v>30.000074736739837</v>
      </c>
      <c r="F217" s="32">
        <f>+VIVERO!K17</f>
        <v>225</v>
      </c>
      <c r="G217" s="32">
        <v>0</v>
      </c>
      <c r="H217" s="32">
        <f>+VIVERO!T17</f>
        <v>225</v>
      </c>
      <c r="I217" s="200">
        <v>0</v>
      </c>
      <c r="J217" s="201"/>
      <c r="K217" s="202"/>
      <c r="L217" s="34">
        <f t="shared" si="228"/>
        <v>450</v>
      </c>
      <c r="M217" s="35">
        <f t="shared" si="229"/>
        <v>37.933</v>
      </c>
      <c r="N217" s="36">
        <f t="shared" si="230"/>
        <v>412.06700000000001</v>
      </c>
      <c r="O217" s="37">
        <f t="shared" si="231"/>
        <v>33.450000000000003</v>
      </c>
      <c r="P217" s="37">
        <f t="shared" si="232"/>
        <v>33.33</v>
      </c>
      <c r="Q217" s="33">
        <f t="shared" si="233"/>
        <v>66.78</v>
      </c>
      <c r="R217" s="38"/>
      <c r="S217" s="39"/>
      <c r="T217" s="35"/>
      <c r="U217" s="40">
        <f t="shared" si="234"/>
        <v>478.84699999999998</v>
      </c>
      <c r="V217" s="39"/>
      <c r="W217" s="35"/>
      <c r="X217" s="42"/>
      <c r="Y217" s="43"/>
      <c r="Z217" s="44"/>
      <c r="AA217" s="40">
        <f t="shared" si="235"/>
        <v>0</v>
      </c>
      <c r="AB217" s="36">
        <f t="shared" si="236"/>
        <v>478.84699999999998</v>
      </c>
      <c r="AC217" s="288"/>
      <c r="AD217" s="45"/>
      <c r="AE217" s="68"/>
      <c r="AF217" s="46">
        <f t="shared" si="237"/>
        <v>478.84699999999998</v>
      </c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</row>
    <row r="218" spans="1:157" ht="18" customHeight="1" x14ac:dyDescent="0.25">
      <c r="A218" s="1306" t="s">
        <v>477</v>
      </c>
      <c r="B218" s="1307"/>
      <c r="C218" s="29"/>
      <c r="D218" s="30"/>
      <c r="E218" s="31"/>
      <c r="F218" s="32"/>
      <c r="G218" s="32"/>
      <c r="H218" s="32"/>
      <c r="I218" s="200"/>
      <c r="J218" s="201"/>
      <c r="K218" s="202"/>
      <c r="L218" s="34"/>
      <c r="M218" s="35"/>
      <c r="N218" s="36"/>
      <c r="O218" s="37"/>
      <c r="P218" s="37"/>
      <c r="Q218" s="33"/>
      <c r="R218" s="38"/>
      <c r="S218" s="39"/>
      <c r="T218" s="35"/>
      <c r="U218" s="40"/>
      <c r="V218" s="39"/>
      <c r="W218" s="35"/>
      <c r="X218" s="42"/>
      <c r="Y218" s="43"/>
      <c r="Z218" s="44"/>
      <c r="AA218" s="40"/>
      <c r="AB218" s="36"/>
      <c r="AC218" s="288"/>
      <c r="AD218" s="45"/>
      <c r="AE218" s="68"/>
      <c r="AF218" s="46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</row>
    <row r="219" spans="1:157" ht="18" customHeight="1" x14ac:dyDescent="0.25">
      <c r="A219" s="27">
        <f t="shared" ref="A219" si="241">A217+1</f>
        <v>200</v>
      </c>
      <c r="B219" s="204" t="s">
        <v>286</v>
      </c>
      <c r="C219" s="29">
        <f t="shared" si="238"/>
        <v>401.41</v>
      </c>
      <c r="D219" s="30">
        <f t="shared" si="239"/>
        <v>93.589999999999975</v>
      </c>
      <c r="E219" s="31">
        <f t="shared" si="240"/>
        <v>30.000074736739837</v>
      </c>
      <c r="F219" s="32">
        <f>+VIVERO!K18</f>
        <v>225</v>
      </c>
      <c r="G219" s="32">
        <v>0</v>
      </c>
      <c r="H219" s="32">
        <f>+VIVERO!T18</f>
        <v>270</v>
      </c>
      <c r="I219" s="200">
        <v>0</v>
      </c>
      <c r="J219" s="201"/>
      <c r="K219" s="202"/>
      <c r="L219" s="34">
        <f t="shared" si="228"/>
        <v>495</v>
      </c>
      <c r="M219" s="35">
        <f t="shared" si="229"/>
        <v>37.933</v>
      </c>
      <c r="N219" s="36">
        <f t="shared" si="230"/>
        <v>457.06700000000001</v>
      </c>
      <c r="O219" s="37">
        <f t="shared" si="231"/>
        <v>33.450000000000003</v>
      </c>
      <c r="P219" s="37">
        <f t="shared" si="232"/>
        <v>33.33</v>
      </c>
      <c r="Q219" s="33">
        <f t="shared" si="233"/>
        <v>66.78</v>
      </c>
      <c r="R219" s="38"/>
      <c r="S219" s="39"/>
      <c r="T219" s="35"/>
      <c r="U219" s="40">
        <f t="shared" si="234"/>
        <v>523.84699999999998</v>
      </c>
      <c r="V219" s="39">
        <v>523.84699999999998</v>
      </c>
      <c r="W219" s="35"/>
      <c r="X219" s="42"/>
      <c r="Y219" s="43"/>
      <c r="Z219" s="44"/>
      <c r="AA219" s="40">
        <f t="shared" si="235"/>
        <v>523.84699999999998</v>
      </c>
      <c r="AB219" s="36">
        <f t="shared" si="236"/>
        <v>0</v>
      </c>
      <c r="AC219" s="288"/>
      <c r="AD219" s="45"/>
      <c r="AE219" s="68"/>
      <c r="AF219" s="46">
        <f t="shared" si="237"/>
        <v>0</v>
      </c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</row>
    <row r="220" spans="1:157" ht="18" customHeight="1" x14ac:dyDescent="0.25">
      <c r="A220" s="7" t="s">
        <v>217</v>
      </c>
      <c r="B220" s="96"/>
      <c r="C220" s="29"/>
      <c r="D220" s="30"/>
      <c r="E220" s="31"/>
      <c r="F220" s="32"/>
      <c r="G220" s="32"/>
      <c r="H220" s="71"/>
      <c r="I220" s="97"/>
      <c r="J220" s="97"/>
      <c r="K220" s="98"/>
      <c r="L220" s="34"/>
      <c r="M220" s="35"/>
      <c r="N220" s="36"/>
      <c r="O220" s="37"/>
      <c r="P220" s="37"/>
      <c r="Q220" s="33"/>
      <c r="R220" s="38"/>
      <c r="S220" s="39"/>
      <c r="T220" s="35"/>
      <c r="U220" s="40"/>
      <c r="V220" s="39"/>
      <c r="W220" s="35"/>
      <c r="X220" s="42"/>
      <c r="Y220" s="43"/>
      <c r="Z220" s="44"/>
      <c r="AA220" s="40"/>
      <c r="AB220" s="36"/>
      <c r="AC220" s="45"/>
      <c r="AD220" s="45"/>
      <c r="AE220" s="68"/>
      <c r="AF220" s="46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</row>
    <row r="221" spans="1:157" ht="18" customHeight="1" x14ac:dyDescent="0.25">
      <c r="A221" s="1284">
        <f>A219+1</f>
        <v>201</v>
      </c>
      <c r="B221" s="1056" t="s">
        <v>856</v>
      </c>
      <c r="C221" s="29">
        <f t="shared" ref="C221" si="242">IF(L221&gt;=401.41,401.41,IF(L221&lt;401.41,L221))</f>
        <v>100.35000000000001</v>
      </c>
      <c r="D221" s="30">
        <f t="shared" ref="D221" si="243">+L221-C221</f>
        <v>0</v>
      </c>
      <c r="E221" s="31">
        <f>+C221/13.3803</f>
        <v>7.4998318423353743</v>
      </c>
      <c r="F221" s="102">
        <f>+ENCOLAJE!AK8</f>
        <v>0</v>
      </c>
      <c r="G221" s="32">
        <v>0</v>
      </c>
      <c r="H221" s="32">
        <f>+ENCOLAJE!BU8</f>
        <v>0</v>
      </c>
      <c r="I221" s="32">
        <v>0</v>
      </c>
      <c r="J221" s="32">
        <v>100.35000000000001</v>
      </c>
      <c r="K221" s="33"/>
      <c r="L221" s="34">
        <f t="shared" ref="L221" si="244">+F221+G221+H221+I221+K221+J221</f>
        <v>100.35000000000001</v>
      </c>
      <c r="M221" s="35">
        <f t="shared" ref="M221" si="245">IF(L221&gt;=401.41,37.933,IF(L221&lt;401.41,L221*9.45%))</f>
        <v>9.4830749999999995</v>
      </c>
      <c r="N221" s="36">
        <f t="shared" ref="N221" si="246">+L221-M221</f>
        <v>90.866925000000009</v>
      </c>
      <c r="O221" s="37">
        <f t="shared" ref="O221" si="247">IF(E221&gt;=30,33.45,IF(E221&lt;30,E221*1.115))</f>
        <v>8.3623125042039419</v>
      </c>
      <c r="P221" s="37">
        <f t="shared" ref="P221" si="248">IF(E221&gt;=30,33.33,IF(E221&lt;30,E221*1.111))</f>
        <v>8.3323131768346013</v>
      </c>
      <c r="Q221" s="33">
        <f t="shared" ref="Q221" si="249">+O221+P221</f>
        <v>16.694625681038545</v>
      </c>
      <c r="R221" s="365"/>
      <c r="S221" s="39"/>
      <c r="T221" s="35"/>
      <c r="U221" s="40">
        <f t="shared" ref="U221" si="250">N221+Q221+R221+S221+T221</f>
        <v>107.56155068103855</v>
      </c>
      <c r="V221" s="49"/>
      <c r="W221" s="39"/>
      <c r="X221" s="42"/>
      <c r="Y221" s="43"/>
      <c r="Z221" s="1043">
        <v>10.26</v>
      </c>
      <c r="AA221" s="40">
        <f t="shared" ref="AA221" si="251">+W221+V221+X221+Y221+Z221</f>
        <v>10.26</v>
      </c>
      <c r="AB221" s="36">
        <f t="shared" ref="AB221" si="252">+U221-AA221</f>
        <v>97.301550681038549</v>
      </c>
      <c r="AC221" s="288"/>
      <c r="AD221" s="103"/>
      <c r="AE221" s="104"/>
      <c r="AF221" s="46">
        <f t="shared" ref="AF221" si="253">+AB221-AC221-AD221-AE221</f>
        <v>97.301550681038549</v>
      </c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</row>
    <row r="222" spans="1:157" ht="18" customHeight="1" x14ac:dyDescent="0.25">
      <c r="A222" s="100">
        <f>A221+1</f>
        <v>202</v>
      </c>
      <c r="B222" s="89" t="s">
        <v>307</v>
      </c>
      <c r="C222" s="29">
        <f>IF(L222&gt;=401.41,401.41,IF(L222&lt;401.41,L222))</f>
        <v>401.41</v>
      </c>
      <c r="D222" s="30">
        <f t="shared" ref="D222:D233" si="254">+L222-C222</f>
        <v>45.882805194805144</v>
      </c>
      <c r="E222" s="31">
        <f>+C222/13.3803</f>
        <v>30.000074736739837</v>
      </c>
      <c r="F222" s="102">
        <f>+ENCOLAJE!AK9</f>
        <v>269.47344155844155</v>
      </c>
      <c r="G222" s="32">
        <v>0</v>
      </c>
      <c r="H222" s="32">
        <f>+ENCOLAJE!BU9</f>
        <v>177.81936363636362</v>
      </c>
      <c r="I222" s="32">
        <v>0</v>
      </c>
      <c r="J222" s="32"/>
      <c r="K222" s="33"/>
      <c r="L222" s="34">
        <f t="shared" si="228"/>
        <v>447.29280519480517</v>
      </c>
      <c r="M222" s="35">
        <f t="shared" ref="M222:M250" si="255">IF(L222&gt;=401.41,37.933,IF(L222&lt;401.41,L222*9.45%))</f>
        <v>37.933</v>
      </c>
      <c r="N222" s="36">
        <f t="shared" ref="N222:N250" si="256">+L222-M222</f>
        <v>409.35980519480518</v>
      </c>
      <c r="O222" s="37">
        <f t="shared" ref="O222:O250" si="257">IF(E222&gt;=30,33.45,IF(E222&lt;30,E222*1.115))</f>
        <v>33.450000000000003</v>
      </c>
      <c r="P222" s="37">
        <f t="shared" ref="P222:P250" si="258">IF(E222&gt;=30,33.33,IF(E222&lt;30,E222*1.111))</f>
        <v>33.33</v>
      </c>
      <c r="Q222" s="33">
        <f t="shared" si="188"/>
        <v>66.78</v>
      </c>
      <c r="R222" s="365"/>
      <c r="S222" s="39"/>
      <c r="T222" s="35"/>
      <c r="U222" s="40">
        <f t="shared" ref="U222:U250" si="259">N222+Q222+R222+S222+T222</f>
        <v>476.13980519480515</v>
      </c>
      <c r="V222" s="49"/>
      <c r="W222" s="39"/>
      <c r="X222" s="42"/>
      <c r="Y222" s="43"/>
      <c r="Z222" s="1043">
        <v>10.26</v>
      </c>
      <c r="AA222" s="40">
        <f t="shared" si="195"/>
        <v>10.26</v>
      </c>
      <c r="AB222" s="36">
        <f t="shared" ref="AB222:AB250" si="260">+U222-AA222</f>
        <v>465.87980519480516</v>
      </c>
      <c r="AC222" s="288"/>
      <c r="AD222" s="103"/>
      <c r="AE222" s="104"/>
      <c r="AF222" s="46">
        <f t="shared" si="194"/>
        <v>465.87980519480516</v>
      </c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</row>
    <row r="223" spans="1:157" ht="18" customHeight="1" x14ac:dyDescent="0.25">
      <c r="A223" s="100">
        <f t="shared" ref="A223:A228" si="261">A222+1</f>
        <v>203</v>
      </c>
      <c r="B223" s="89" t="s">
        <v>312</v>
      </c>
      <c r="C223" s="101">
        <f t="shared" ref="C223:C233" si="262">IF(L223&gt;=401.41,401.41,IF(L223&lt;401.41,L223))</f>
        <v>401.41</v>
      </c>
      <c r="D223" s="30">
        <f t="shared" si="254"/>
        <v>81.589999999999975</v>
      </c>
      <c r="E223" s="31">
        <f t="shared" ref="E223:E250" si="263">+C223/13.3803</f>
        <v>30.000074736739837</v>
      </c>
      <c r="F223" s="102">
        <f>+ENCOLAJE!AK10</f>
        <v>302</v>
      </c>
      <c r="G223" s="32">
        <v>0</v>
      </c>
      <c r="H223" s="32">
        <f>+ENCOLAJE!BU10</f>
        <v>181</v>
      </c>
      <c r="I223" s="32">
        <v>0</v>
      </c>
      <c r="J223" s="32"/>
      <c r="K223" s="33"/>
      <c r="L223" s="34">
        <f t="shared" ref="L223:L250" si="264">+F223+G223+H223+I223+K223+J223</f>
        <v>483</v>
      </c>
      <c r="M223" s="35">
        <f t="shared" si="255"/>
        <v>37.933</v>
      </c>
      <c r="N223" s="36">
        <f t="shared" si="256"/>
        <v>445.06700000000001</v>
      </c>
      <c r="O223" s="37">
        <f t="shared" si="257"/>
        <v>33.450000000000003</v>
      </c>
      <c r="P223" s="37">
        <f t="shared" si="258"/>
        <v>33.33</v>
      </c>
      <c r="Q223" s="33">
        <f t="shared" si="188"/>
        <v>66.78</v>
      </c>
      <c r="R223" s="38">
        <f>33.45/30*E223</f>
        <v>33.450083331464917</v>
      </c>
      <c r="S223" s="39"/>
      <c r="T223" s="35"/>
      <c r="U223" s="40">
        <f t="shared" si="259"/>
        <v>545.29708333146493</v>
      </c>
      <c r="V223" s="39"/>
      <c r="W223" s="35"/>
      <c r="X223" s="42"/>
      <c r="Y223" s="43"/>
      <c r="Z223" s="58">
        <v>18.22</v>
      </c>
      <c r="AA223" s="40">
        <f t="shared" si="195"/>
        <v>18.22</v>
      </c>
      <c r="AB223" s="36">
        <f t="shared" si="260"/>
        <v>527.07708333146491</v>
      </c>
      <c r="AC223" s="288"/>
      <c r="AD223" s="103"/>
      <c r="AE223" s="104"/>
      <c r="AF223" s="46">
        <f t="shared" ref="AF223:AF250" si="265">+AB223-AC223-AD223-AE223</f>
        <v>527.07708333146491</v>
      </c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</row>
    <row r="224" spans="1:157" ht="18" customHeight="1" x14ac:dyDescent="0.25">
      <c r="A224" s="100">
        <f t="shared" si="261"/>
        <v>204</v>
      </c>
      <c r="B224" s="89" t="s">
        <v>316</v>
      </c>
      <c r="C224" s="101">
        <f t="shared" ref="C224:C230" si="266">IF(L224&gt;=401.41,401.41,IF(L224&lt;401.41,L224))</f>
        <v>401.41</v>
      </c>
      <c r="D224" s="30">
        <f t="shared" ref="D224:D230" si="267">+L224-C224</f>
        <v>176.58999999999997</v>
      </c>
      <c r="E224" s="31">
        <f t="shared" ref="E224:E230" si="268">+C224/13.3803</f>
        <v>30.000074736739837</v>
      </c>
      <c r="F224" s="102">
        <f>+ENCOLAJE!AK11</f>
        <v>357</v>
      </c>
      <c r="G224" s="32">
        <v>0</v>
      </c>
      <c r="H224" s="32">
        <f>+ENCOLAJE!BU11</f>
        <v>221</v>
      </c>
      <c r="I224" s="32">
        <v>0</v>
      </c>
      <c r="J224" s="32"/>
      <c r="K224" s="33"/>
      <c r="L224" s="34">
        <f t="shared" ref="L224:L230" si="269">+F224+G224+H224+I224+K224+J224</f>
        <v>578</v>
      </c>
      <c r="M224" s="35">
        <f t="shared" ref="M224:M230" si="270">IF(L224&gt;=401.41,37.933,IF(L224&lt;401.41,L224*9.45%))</f>
        <v>37.933</v>
      </c>
      <c r="N224" s="36">
        <f t="shared" ref="N224:N230" si="271">+L224-M224</f>
        <v>540.06700000000001</v>
      </c>
      <c r="O224" s="37">
        <f t="shared" ref="O224:O230" si="272">IF(E224&gt;=30,33.45,IF(E224&lt;30,E224*1.115))</f>
        <v>33.450000000000003</v>
      </c>
      <c r="P224" s="37">
        <f t="shared" ref="P224:P230" si="273">IF(E224&gt;=30,33.33,IF(E224&lt;30,E224*1.111))</f>
        <v>33.33</v>
      </c>
      <c r="Q224" s="33">
        <f t="shared" ref="Q224:Q230" si="274">+O224+P224</f>
        <v>66.78</v>
      </c>
      <c r="R224" s="38">
        <f>33.45/30*E224</f>
        <v>33.450083331464917</v>
      </c>
      <c r="S224" s="39"/>
      <c r="T224" s="35"/>
      <c r="U224" s="40">
        <f t="shared" ref="U224:U230" si="275">N224+Q224+R224+S224+T224</f>
        <v>640.29708333146493</v>
      </c>
      <c r="V224" s="39"/>
      <c r="W224" s="35"/>
      <c r="X224" s="42"/>
      <c r="Y224" s="43"/>
      <c r="Z224" s="58"/>
      <c r="AA224" s="40">
        <f t="shared" ref="AA224:AA230" si="276">+W224+V224+X224+Y224+Z224</f>
        <v>0</v>
      </c>
      <c r="AB224" s="36">
        <f t="shared" ref="AB224:AB230" si="277">+U224-AA224</f>
        <v>640.29708333146493</v>
      </c>
      <c r="AC224" s="288"/>
      <c r="AD224" s="103"/>
      <c r="AE224" s="104"/>
      <c r="AF224" s="46">
        <f t="shared" ref="AF224:AF230" si="278">+AB224-AC224-AD224-AE224</f>
        <v>640.29708333146493</v>
      </c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</row>
    <row r="225" spans="1:157" ht="18" customHeight="1" x14ac:dyDescent="0.25">
      <c r="A225" s="100">
        <f t="shared" si="261"/>
        <v>205</v>
      </c>
      <c r="B225" s="89" t="s">
        <v>318</v>
      </c>
      <c r="C225" s="101">
        <f t="shared" si="266"/>
        <v>401.41</v>
      </c>
      <c r="D225" s="30">
        <f t="shared" si="267"/>
        <v>209.58999999999997</v>
      </c>
      <c r="E225" s="31">
        <f t="shared" si="268"/>
        <v>30.000074736739837</v>
      </c>
      <c r="F225" s="102">
        <f>+ENCOLAJE!AK12</f>
        <v>351</v>
      </c>
      <c r="G225" s="32">
        <v>0</v>
      </c>
      <c r="H225" s="32">
        <f>+ENCOLAJE!BU12</f>
        <v>260</v>
      </c>
      <c r="I225" s="32">
        <v>0</v>
      </c>
      <c r="J225" s="32"/>
      <c r="K225" s="33"/>
      <c r="L225" s="34">
        <f t="shared" si="269"/>
        <v>611</v>
      </c>
      <c r="M225" s="35">
        <f t="shared" si="270"/>
        <v>37.933</v>
      </c>
      <c r="N225" s="36">
        <f t="shared" si="271"/>
        <v>573.06700000000001</v>
      </c>
      <c r="O225" s="37">
        <f t="shared" si="272"/>
        <v>33.450000000000003</v>
      </c>
      <c r="P225" s="37">
        <f t="shared" si="273"/>
        <v>33.33</v>
      </c>
      <c r="Q225" s="33">
        <f t="shared" si="274"/>
        <v>66.78</v>
      </c>
      <c r="R225" s="38">
        <f>33.45/30*E225</f>
        <v>33.450083331464917</v>
      </c>
      <c r="S225" s="39"/>
      <c r="T225" s="35"/>
      <c r="U225" s="40">
        <f t="shared" si="275"/>
        <v>673.29708333146493</v>
      </c>
      <c r="V225" s="39"/>
      <c r="W225" s="35"/>
      <c r="X225" s="42"/>
      <c r="Y225" s="43"/>
      <c r="Z225" s="58"/>
      <c r="AA225" s="40">
        <f t="shared" si="276"/>
        <v>0</v>
      </c>
      <c r="AB225" s="36">
        <f t="shared" si="277"/>
        <v>673.29708333146493</v>
      </c>
      <c r="AC225" s="288"/>
      <c r="AD225" s="103"/>
      <c r="AE225" s="104"/>
      <c r="AF225" s="46">
        <f t="shared" si="278"/>
        <v>673.29708333146493</v>
      </c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</row>
    <row r="226" spans="1:157" ht="18" customHeight="1" x14ac:dyDescent="0.25">
      <c r="A226" s="100">
        <f t="shared" si="261"/>
        <v>206</v>
      </c>
      <c r="B226" s="89" t="s">
        <v>320</v>
      </c>
      <c r="C226" s="101">
        <f t="shared" si="266"/>
        <v>401.41</v>
      </c>
      <c r="D226" s="30">
        <f t="shared" si="267"/>
        <v>34.63549610389606</v>
      </c>
      <c r="E226" s="31">
        <f t="shared" si="268"/>
        <v>30.000074736739837</v>
      </c>
      <c r="F226" s="102">
        <f>+ENCOLAJE!AK13</f>
        <v>262.26853246753245</v>
      </c>
      <c r="G226" s="32">
        <v>0</v>
      </c>
      <c r="H226" s="32">
        <f>+ENCOLAJE!BU13</f>
        <v>173.77696363636363</v>
      </c>
      <c r="I226" s="32">
        <v>0</v>
      </c>
      <c r="J226" s="32"/>
      <c r="K226" s="33"/>
      <c r="L226" s="34">
        <f t="shared" si="269"/>
        <v>436.04549610389608</v>
      </c>
      <c r="M226" s="35">
        <f t="shared" si="270"/>
        <v>37.933</v>
      </c>
      <c r="N226" s="36">
        <f t="shared" si="271"/>
        <v>398.11249610389609</v>
      </c>
      <c r="O226" s="37">
        <f t="shared" si="272"/>
        <v>33.450000000000003</v>
      </c>
      <c r="P226" s="37">
        <f t="shared" si="273"/>
        <v>33.33</v>
      </c>
      <c r="Q226" s="33">
        <f t="shared" si="274"/>
        <v>66.78</v>
      </c>
      <c r="R226" s="365"/>
      <c r="S226" s="39"/>
      <c r="T226" s="35"/>
      <c r="U226" s="40">
        <f t="shared" si="275"/>
        <v>464.89249610389606</v>
      </c>
      <c r="V226" s="39"/>
      <c r="W226" s="35"/>
      <c r="X226" s="42"/>
      <c r="Y226" s="43"/>
      <c r="Z226" s="58"/>
      <c r="AA226" s="40">
        <f t="shared" si="276"/>
        <v>0</v>
      </c>
      <c r="AB226" s="36">
        <f t="shared" si="277"/>
        <v>464.89249610389606</v>
      </c>
      <c r="AC226" s="288"/>
      <c r="AD226" s="103"/>
      <c r="AE226" s="104"/>
      <c r="AF226" s="46">
        <f t="shared" si="278"/>
        <v>464.89249610389606</v>
      </c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</row>
    <row r="227" spans="1:157" ht="18" customHeight="1" x14ac:dyDescent="0.25">
      <c r="A227" s="100">
        <f t="shared" si="261"/>
        <v>207</v>
      </c>
      <c r="B227" s="89" t="s">
        <v>321</v>
      </c>
      <c r="C227" s="101">
        <f t="shared" si="266"/>
        <v>401.41</v>
      </c>
      <c r="D227" s="30">
        <f t="shared" si="267"/>
        <v>92.589999999999975</v>
      </c>
      <c r="E227" s="31">
        <f t="shared" si="268"/>
        <v>30.000074736739837</v>
      </c>
      <c r="F227" s="102">
        <f>+ENCOLAJE!AK14</f>
        <v>309</v>
      </c>
      <c r="G227" s="32">
        <v>0</v>
      </c>
      <c r="H227" s="32">
        <f>+ENCOLAJE!BU14</f>
        <v>185</v>
      </c>
      <c r="I227" s="32">
        <v>0</v>
      </c>
      <c r="J227" s="32"/>
      <c r="K227" s="33"/>
      <c r="L227" s="34">
        <f t="shared" si="269"/>
        <v>494</v>
      </c>
      <c r="M227" s="35">
        <f t="shared" si="270"/>
        <v>37.933</v>
      </c>
      <c r="N227" s="36">
        <f t="shared" si="271"/>
        <v>456.06700000000001</v>
      </c>
      <c r="O227" s="37">
        <f t="shared" si="272"/>
        <v>33.450000000000003</v>
      </c>
      <c r="P227" s="37">
        <f t="shared" si="273"/>
        <v>33.33</v>
      </c>
      <c r="Q227" s="33">
        <f t="shared" si="274"/>
        <v>66.78</v>
      </c>
      <c r="R227" s="38"/>
      <c r="S227" s="39"/>
      <c r="T227" s="35"/>
      <c r="U227" s="40">
        <f t="shared" si="275"/>
        <v>522.84699999999998</v>
      </c>
      <c r="V227" s="39"/>
      <c r="W227" s="35"/>
      <c r="X227" s="42"/>
      <c r="Y227" s="43"/>
      <c r="Z227" s="58"/>
      <c r="AA227" s="40">
        <f t="shared" si="276"/>
        <v>0</v>
      </c>
      <c r="AB227" s="36">
        <f t="shared" si="277"/>
        <v>522.84699999999998</v>
      </c>
      <c r="AC227" s="288"/>
      <c r="AD227" s="103"/>
      <c r="AE227" s="104"/>
      <c r="AF227" s="46">
        <f t="shared" si="278"/>
        <v>522.84699999999998</v>
      </c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</row>
    <row r="228" spans="1:157" ht="18" customHeight="1" x14ac:dyDescent="0.25">
      <c r="A228" s="100">
        <f t="shared" si="261"/>
        <v>208</v>
      </c>
      <c r="B228" s="89" t="s">
        <v>322</v>
      </c>
      <c r="C228" s="101">
        <f t="shared" si="266"/>
        <v>115.84400000000001</v>
      </c>
      <c r="D228" s="30">
        <f t="shared" si="267"/>
        <v>0</v>
      </c>
      <c r="E228" s="31">
        <f t="shared" si="268"/>
        <v>8.6578028893223618</v>
      </c>
      <c r="F228" s="102">
        <f>+ENCOLAJE!AK15</f>
        <v>0</v>
      </c>
      <c r="G228" s="32">
        <v>0</v>
      </c>
      <c r="H228" s="32">
        <f>+ENCOLAJE!BU15</f>
        <v>15.494</v>
      </c>
      <c r="I228" s="32">
        <v>0</v>
      </c>
      <c r="J228" s="32">
        <f>13.38*30*25%</f>
        <v>100.35000000000001</v>
      </c>
      <c r="K228" s="33"/>
      <c r="L228" s="34">
        <f t="shared" si="269"/>
        <v>115.84400000000001</v>
      </c>
      <c r="M228" s="35">
        <f t="shared" si="270"/>
        <v>10.947258</v>
      </c>
      <c r="N228" s="36">
        <f t="shared" si="271"/>
        <v>104.896742</v>
      </c>
      <c r="O228" s="37">
        <f t="shared" si="272"/>
        <v>9.6534502215944329</v>
      </c>
      <c r="P228" s="37">
        <f t="shared" si="273"/>
        <v>9.6188190100371447</v>
      </c>
      <c r="Q228" s="33">
        <f t="shared" si="274"/>
        <v>19.272269231631576</v>
      </c>
      <c r="R228" s="38"/>
      <c r="S228" s="39"/>
      <c r="T228" s="35"/>
      <c r="U228" s="40">
        <f t="shared" si="275"/>
        <v>124.16901123163157</v>
      </c>
      <c r="V228" s="39"/>
      <c r="W228" s="35"/>
      <c r="X228" s="42"/>
      <c r="Y228" s="43"/>
      <c r="Z228" s="58"/>
      <c r="AA228" s="40">
        <f t="shared" si="276"/>
        <v>0</v>
      </c>
      <c r="AB228" s="36">
        <f t="shared" si="277"/>
        <v>124.16901123163157</v>
      </c>
      <c r="AC228" s="288"/>
      <c r="AD228" s="103"/>
      <c r="AE228" s="104"/>
      <c r="AF228" s="46">
        <f t="shared" si="278"/>
        <v>124.16901123163157</v>
      </c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</row>
    <row r="229" spans="1:157" ht="18" customHeight="1" x14ac:dyDescent="0.25">
      <c r="A229" s="100">
        <f>A228+1</f>
        <v>209</v>
      </c>
      <c r="B229" s="89" t="s">
        <v>325</v>
      </c>
      <c r="C229" s="101">
        <f t="shared" si="266"/>
        <v>401.41</v>
      </c>
      <c r="D229" s="30">
        <f t="shared" si="267"/>
        <v>155.58999999999997</v>
      </c>
      <c r="E229" s="31">
        <f t="shared" si="268"/>
        <v>30.000074736739837</v>
      </c>
      <c r="F229" s="102">
        <f>+ENCOLAJE!AK17</f>
        <v>315</v>
      </c>
      <c r="G229" s="32">
        <v>0</v>
      </c>
      <c r="H229" s="32">
        <f>+ENCOLAJE!BU17</f>
        <v>242</v>
      </c>
      <c r="I229" s="32">
        <v>0</v>
      </c>
      <c r="J229" s="32"/>
      <c r="K229" s="33"/>
      <c r="L229" s="34">
        <f t="shared" si="269"/>
        <v>557</v>
      </c>
      <c r="M229" s="35">
        <f t="shared" si="270"/>
        <v>37.933</v>
      </c>
      <c r="N229" s="36">
        <f t="shared" si="271"/>
        <v>519.06700000000001</v>
      </c>
      <c r="O229" s="37">
        <f t="shared" si="272"/>
        <v>33.450000000000003</v>
      </c>
      <c r="P229" s="37">
        <f t="shared" si="273"/>
        <v>33.33</v>
      </c>
      <c r="Q229" s="33">
        <f t="shared" si="274"/>
        <v>66.78</v>
      </c>
      <c r="R229" s="38"/>
      <c r="S229" s="39"/>
      <c r="T229" s="35"/>
      <c r="U229" s="40">
        <f t="shared" si="275"/>
        <v>585.84699999999998</v>
      </c>
      <c r="V229" s="39"/>
      <c r="W229" s="35"/>
      <c r="X229" s="42"/>
      <c r="Y229" s="43"/>
      <c r="Z229" s="58"/>
      <c r="AA229" s="40">
        <f t="shared" si="276"/>
        <v>0</v>
      </c>
      <c r="AB229" s="36">
        <f t="shared" si="277"/>
        <v>585.84699999999998</v>
      </c>
      <c r="AC229" s="288"/>
      <c r="AD229" s="103"/>
      <c r="AE229" s="104"/>
      <c r="AF229" s="46">
        <f t="shared" si="278"/>
        <v>585.84699999999998</v>
      </c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</row>
    <row r="230" spans="1:157" ht="18" customHeight="1" x14ac:dyDescent="0.25">
      <c r="A230" s="100">
        <f>A229+1</f>
        <v>210</v>
      </c>
      <c r="B230" s="89" t="s">
        <v>326</v>
      </c>
      <c r="C230" s="101">
        <f t="shared" si="266"/>
        <v>401.41</v>
      </c>
      <c r="D230" s="30">
        <f t="shared" si="267"/>
        <v>53.357896103896053</v>
      </c>
      <c r="E230" s="31">
        <f t="shared" si="268"/>
        <v>30.000074736739837</v>
      </c>
      <c r="F230" s="102">
        <f>+ENCOLAJE!AK18</f>
        <v>288.26053246753247</v>
      </c>
      <c r="G230" s="32">
        <v>0</v>
      </c>
      <c r="H230" s="32">
        <f>+ENCOLAJE!BU18</f>
        <v>166.50736363636364</v>
      </c>
      <c r="I230" s="32">
        <v>0</v>
      </c>
      <c r="J230" s="32"/>
      <c r="K230" s="33"/>
      <c r="L230" s="34">
        <f t="shared" si="269"/>
        <v>454.76789610389608</v>
      </c>
      <c r="M230" s="35">
        <f t="shared" si="270"/>
        <v>37.933</v>
      </c>
      <c r="N230" s="36">
        <f t="shared" si="271"/>
        <v>416.83489610389609</v>
      </c>
      <c r="O230" s="37">
        <f t="shared" si="272"/>
        <v>33.450000000000003</v>
      </c>
      <c r="P230" s="37">
        <f t="shared" si="273"/>
        <v>33.33</v>
      </c>
      <c r="Q230" s="33">
        <f t="shared" si="274"/>
        <v>66.78</v>
      </c>
      <c r="R230" s="38">
        <f t="shared" ref="R230:R234" si="279">33.45/30*E230</f>
        <v>33.450083331464917</v>
      </c>
      <c r="S230" s="39"/>
      <c r="T230" s="35"/>
      <c r="U230" s="40">
        <f t="shared" si="275"/>
        <v>517.06497943536101</v>
      </c>
      <c r="V230" s="39"/>
      <c r="W230" s="35"/>
      <c r="X230" s="42"/>
      <c r="Y230" s="43"/>
      <c r="Z230" s="58"/>
      <c r="AA230" s="40">
        <f t="shared" si="276"/>
        <v>0</v>
      </c>
      <c r="AB230" s="36">
        <f t="shared" si="277"/>
        <v>517.06497943536101</v>
      </c>
      <c r="AC230" s="288"/>
      <c r="AD230" s="103"/>
      <c r="AE230" s="104"/>
      <c r="AF230" s="46">
        <f t="shared" si="278"/>
        <v>517.06497943536101</v>
      </c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</row>
    <row r="231" spans="1:157" ht="18" customHeight="1" x14ac:dyDescent="0.25">
      <c r="A231" s="100">
        <f t="shared" ref="A231:A233" si="280">A230+1</f>
        <v>211</v>
      </c>
      <c r="B231" s="89" t="s">
        <v>327</v>
      </c>
      <c r="C231" s="101">
        <f t="shared" si="262"/>
        <v>401.41</v>
      </c>
      <c r="D231" s="30">
        <f t="shared" si="254"/>
        <v>45.677350649350672</v>
      </c>
      <c r="E231" s="31">
        <f t="shared" si="263"/>
        <v>30.000074736739837</v>
      </c>
      <c r="F231" s="102">
        <f>+ENCOLAJE!AK19</f>
        <v>270.43598701298703</v>
      </c>
      <c r="G231" s="32">
        <v>0</v>
      </c>
      <c r="H231" s="32">
        <f>+ENCOLAJE!BU19</f>
        <v>176.65136363636364</v>
      </c>
      <c r="I231" s="32">
        <v>0</v>
      </c>
      <c r="J231" s="32"/>
      <c r="K231" s="33"/>
      <c r="L231" s="34">
        <f t="shared" si="264"/>
        <v>447.0873506493507</v>
      </c>
      <c r="M231" s="35">
        <f t="shared" si="255"/>
        <v>37.933</v>
      </c>
      <c r="N231" s="36">
        <f t="shared" si="256"/>
        <v>409.1543506493507</v>
      </c>
      <c r="O231" s="37">
        <f t="shared" si="257"/>
        <v>33.450000000000003</v>
      </c>
      <c r="P231" s="37">
        <f t="shared" si="258"/>
        <v>33.33</v>
      </c>
      <c r="Q231" s="33">
        <f t="shared" si="188"/>
        <v>66.78</v>
      </c>
      <c r="R231" s="38">
        <f t="shared" si="279"/>
        <v>33.450083331464917</v>
      </c>
      <c r="S231" s="39"/>
      <c r="T231" s="35"/>
      <c r="U231" s="40">
        <f t="shared" si="259"/>
        <v>509.38443398081557</v>
      </c>
      <c r="V231" s="39"/>
      <c r="W231" s="35"/>
      <c r="X231" s="42"/>
      <c r="Y231" s="43"/>
      <c r="Z231" s="277">
        <v>17.489999999999998</v>
      </c>
      <c r="AA231" s="40">
        <f t="shared" si="195"/>
        <v>17.489999999999998</v>
      </c>
      <c r="AB231" s="36">
        <f t="shared" si="260"/>
        <v>491.89443398081556</v>
      </c>
      <c r="AC231" s="288"/>
      <c r="AD231" s="103"/>
      <c r="AE231" s="104"/>
      <c r="AF231" s="46">
        <f t="shared" si="265"/>
        <v>491.89443398081556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</row>
    <row r="232" spans="1:157" ht="18" customHeight="1" x14ac:dyDescent="0.25">
      <c r="A232" s="100">
        <f t="shared" si="280"/>
        <v>212</v>
      </c>
      <c r="B232" s="89" t="s">
        <v>328</v>
      </c>
      <c r="C232" s="101">
        <f t="shared" si="262"/>
        <v>401.41</v>
      </c>
      <c r="D232" s="30">
        <f t="shared" si="254"/>
        <v>194.94</v>
      </c>
      <c r="E232" s="31">
        <f t="shared" si="263"/>
        <v>30.000074736739837</v>
      </c>
      <c r="F232" s="102">
        <f>+ENCOLAJE!AK20</f>
        <v>297</v>
      </c>
      <c r="G232" s="32">
        <v>0</v>
      </c>
      <c r="H232" s="32">
        <f>+ENCOLAJE!BU20</f>
        <v>199</v>
      </c>
      <c r="I232" s="32">
        <v>0</v>
      </c>
      <c r="J232" s="32">
        <f>13.38*30*25%</f>
        <v>100.35000000000001</v>
      </c>
      <c r="K232" s="33"/>
      <c r="L232" s="34">
        <f t="shared" si="264"/>
        <v>596.35</v>
      </c>
      <c r="M232" s="35">
        <f t="shared" si="255"/>
        <v>37.933</v>
      </c>
      <c r="N232" s="36">
        <f t="shared" si="256"/>
        <v>558.41700000000003</v>
      </c>
      <c r="O232" s="37">
        <f t="shared" si="257"/>
        <v>33.450000000000003</v>
      </c>
      <c r="P232" s="37">
        <f t="shared" si="258"/>
        <v>33.33</v>
      </c>
      <c r="Q232" s="33">
        <f t="shared" si="188"/>
        <v>66.78</v>
      </c>
      <c r="R232" s="38">
        <f t="shared" si="279"/>
        <v>33.450083331464917</v>
      </c>
      <c r="S232" s="39"/>
      <c r="T232" s="35"/>
      <c r="U232" s="40">
        <f t="shared" si="259"/>
        <v>658.64708333146496</v>
      </c>
      <c r="V232" s="39"/>
      <c r="W232" s="35"/>
      <c r="X232" s="42"/>
      <c r="Y232" s="43"/>
      <c r="Z232" s="55">
        <v>24.28</v>
      </c>
      <c r="AA232" s="40">
        <f t="shared" si="195"/>
        <v>24.28</v>
      </c>
      <c r="AB232" s="36">
        <f t="shared" si="260"/>
        <v>634.36708333146498</v>
      </c>
      <c r="AC232" s="288"/>
      <c r="AD232" s="103"/>
      <c r="AE232" s="104"/>
      <c r="AF232" s="46">
        <f t="shared" si="265"/>
        <v>634.36708333146498</v>
      </c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</row>
    <row r="233" spans="1:157" ht="18" customHeight="1" x14ac:dyDescent="0.25">
      <c r="A233" s="100">
        <f t="shared" si="280"/>
        <v>213</v>
      </c>
      <c r="B233" s="89" t="s">
        <v>329</v>
      </c>
      <c r="C233" s="101">
        <f t="shared" si="262"/>
        <v>401.41</v>
      </c>
      <c r="D233" s="30">
        <f t="shared" si="254"/>
        <v>70.611496103896059</v>
      </c>
      <c r="E233" s="31">
        <f t="shared" si="263"/>
        <v>30.000074736739837</v>
      </c>
      <c r="F233" s="102">
        <f>+ENCOLAJE!AK21</f>
        <v>290.05353246753242</v>
      </c>
      <c r="G233" s="32">
        <v>0</v>
      </c>
      <c r="H233" s="32">
        <f>+ENCOLAJE!BU21</f>
        <v>181.96796363636363</v>
      </c>
      <c r="I233" s="32">
        <v>0</v>
      </c>
      <c r="J233" s="32"/>
      <c r="K233" s="33"/>
      <c r="L233" s="34">
        <f t="shared" si="264"/>
        <v>472.02149610389608</v>
      </c>
      <c r="M233" s="35">
        <f t="shared" si="255"/>
        <v>37.933</v>
      </c>
      <c r="N233" s="36">
        <f t="shared" si="256"/>
        <v>434.08849610389609</v>
      </c>
      <c r="O233" s="37">
        <f t="shared" si="257"/>
        <v>33.450000000000003</v>
      </c>
      <c r="P233" s="37">
        <f t="shared" si="258"/>
        <v>33.33</v>
      </c>
      <c r="Q233" s="33">
        <f t="shared" si="188"/>
        <v>66.78</v>
      </c>
      <c r="R233" s="38">
        <f t="shared" si="279"/>
        <v>33.450083331464917</v>
      </c>
      <c r="S233" s="39"/>
      <c r="T233" s="35"/>
      <c r="U233" s="40">
        <f t="shared" si="259"/>
        <v>534.31857943536102</v>
      </c>
      <c r="V233" s="39"/>
      <c r="W233" s="35"/>
      <c r="X233" s="42"/>
      <c r="Y233" s="43"/>
      <c r="Z233" s="55"/>
      <c r="AA233" s="40">
        <f t="shared" si="195"/>
        <v>0</v>
      </c>
      <c r="AB233" s="36">
        <f t="shared" si="260"/>
        <v>534.31857943536102</v>
      </c>
      <c r="AC233" s="288"/>
      <c r="AD233" s="103"/>
      <c r="AE233" s="104"/>
      <c r="AF233" s="46">
        <f t="shared" si="265"/>
        <v>534.31857943536102</v>
      </c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</row>
    <row r="234" spans="1:157" ht="18" customHeight="1" x14ac:dyDescent="0.25">
      <c r="A234" s="100">
        <f>A233+1</f>
        <v>214</v>
      </c>
      <c r="B234" s="89" t="s">
        <v>332</v>
      </c>
      <c r="C234" s="101">
        <f t="shared" ref="C234:C250" si="281">IF(L234&gt;=401.41,401.41,IF(L234&lt;401.41,L234))</f>
        <v>401.41</v>
      </c>
      <c r="D234" s="30">
        <f t="shared" ref="D234:D250" si="282">+L234-C234</f>
        <v>191.43799999999993</v>
      </c>
      <c r="E234" s="31">
        <f t="shared" si="263"/>
        <v>30.000074736739837</v>
      </c>
      <c r="F234" s="102">
        <f>+ENCOLAJE!AK23</f>
        <v>344.91199999999998</v>
      </c>
      <c r="G234" s="32">
        <v>0</v>
      </c>
      <c r="H234" s="32">
        <f>+ENCOLAJE!BU23</f>
        <v>247.93599999999998</v>
      </c>
      <c r="I234" s="32">
        <v>0</v>
      </c>
      <c r="J234" s="32"/>
      <c r="K234" s="33"/>
      <c r="L234" s="34">
        <f t="shared" si="264"/>
        <v>592.84799999999996</v>
      </c>
      <c r="M234" s="35">
        <f t="shared" si="255"/>
        <v>37.933</v>
      </c>
      <c r="N234" s="36">
        <f t="shared" si="256"/>
        <v>554.91499999999996</v>
      </c>
      <c r="O234" s="37">
        <f>IF(E234&gt;=30,33.45,IF(E234&lt;30,E234*1.115))</f>
        <v>33.450000000000003</v>
      </c>
      <c r="P234" s="37">
        <f>IF(E234&gt;=30,33.33,IF(E234&lt;30,E234*1.111))</f>
        <v>33.33</v>
      </c>
      <c r="Q234" s="33">
        <f>+O234+P234</f>
        <v>66.78</v>
      </c>
      <c r="R234" s="38">
        <f t="shared" si="279"/>
        <v>33.450083331464917</v>
      </c>
      <c r="S234" s="39"/>
      <c r="T234" s="35"/>
      <c r="U234" s="40">
        <f t="shared" si="259"/>
        <v>655.14508333146489</v>
      </c>
      <c r="V234" s="39"/>
      <c r="W234" s="35"/>
      <c r="X234" s="42"/>
      <c r="Y234" s="43"/>
      <c r="Z234" s="55"/>
      <c r="AA234" s="40">
        <f t="shared" si="195"/>
        <v>0</v>
      </c>
      <c r="AB234" s="36">
        <f t="shared" si="260"/>
        <v>655.14508333146489</v>
      </c>
      <c r="AC234" s="288"/>
      <c r="AD234" s="103"/>
      <c r="AE234" s="104"/>
      <c r="AF234" s="46">
        <f t="shared" si="265"/>
        <v>655.14508333146489</v>
      </c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</row>
    <row r="235" spans="1:157" ht="18" customHeight="1" x14ac:dyDescent="0.25">
      <c r="A235" s="100">
        <f t="shared" ref="A235:A238" si="283">A234+1</f>
        <v>215</v>
      </c>
      <c r="B235" s="89" t="s">
        <v>333</v>
      </c>
      <c r="C235" s="101">
        <f t="shared" si="281"/>
        <v>401.41</v>
      </c>
      <c r="D235" s="30">
        <f t="shared" si="282"/>
        <v>100.71062337662323</v>
      </c>
      <c r="E235" s="31">
        <f t="shared" si="263"/>
        <v>30.000074736739837</v>
      </c>
      <c r="F235" s="102">
        <f>+ENCOLAJE!AK24</f>
        <v>297.05025974025966</v>
      </c>
      <c r="G235" s="32">
        <v>0</v>
      </c>
      <c r="H235" s="32">
        <f>+ENCOLAJE!BU24</f>
        <v>205.07036363636362</v>
      </c>
      <c r="I235" s="32">
        <v>0</v>
      </c>
      <c r="J235" s="32"/>
      <c r="K235" s="33"/>
      <c r="L235" s="34">
        <f t="shared" si="264"/>
        <v>502.12062337662326</v>
      </c>
      <c r="M235" s="35">
        <f t="shared" si="255"/>
        <v>37.933</v>
      </c>
      <c r="N235" s="36">
        <f t="shared" si="256"/>
        <v>464.18762337662326</v>
      </c>
      <c r="O235" s="37">
        <f t="shared" ref="O235:O238" si="284">IF(E235&gt;=30,33.45,IF(E235&lt;30,E235*1.115))</f>
        <v>33.450000000000003</v>
      </c>
      <c r="P235" s="37">
        <f t="shared" ref="P235:P238" si="285">IF(E235&gt;=30,33.33,IF(E235&lt;30,E235*1.111))</f>
        <v>33.33</v>
      </c>
      <c r="Q235" s="33">
        <f t="shared" si="188"/>
        <v>66.78</v>
      </c>
      <c r="R235" s="365"/>
      <c r="S235" s="39"/>
      <c r="T235" s="35"/>
      <c r="U235" s="40">
        <f t="shared" si="259"/>
        <v>530.96762337662324</v>
      </c>
      <c r="V235" s="39"/>
      <c r="W235" s="35"/>
      <c r="X235" s="42"/>
      <c r="Y235" s="43"/>
      <c r="Z235" s="55">
        <v>48.41</v>
      </c>
      <c r="AA235" s="40">
        <f t="shared" si="195"/>
        <v>48.41</v>
      </c>
      <c r="AB235" s="36">
        <f t="shared" si="260"/>
        <v>482.55762337662327</v>
      </c>
      <c r="AC235" s="288"/>
      <c r="AD235" s="103"/>
      <c r="AE235" s="104"/>
      <c r="AF235" s="46">
        <f t="shared" si="265"/>
        <v>482.55762337662327</v>
      </c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</row>
    <row r="236" spans="1:157" ht="18" customHeight="1" x14ac:dyDescent="0.25">
      <c r="A236" s="100">
        <f t="shared" si="283"/>
        <v>216</v>
      </c>
      <c r="B236" s="89" t="s">
        <v>334</v>
      </c>
      <c r="C236" s="101">
        <f t="shared" si="281"/>
        <v>401.41</v>
      </c>
      <c r="D236" s="30">
        <f t="shared" si="282"/>
        <v>43.417350649350567</v>
      </c>
      <c r="E236" s="31">
        <f t="shared" si="263"/>
        <v>30.000074736739837</v>
      </c>
      <c r="F236" s="102">
        <f>+ENCOLAJE!AK25</f>
        <v>293.73135064935059</v>
      </c>
      <c r="G236" s="32">
        <v>0</v>
      </c>
      <c r="H236" s="32">
        <f>+ENCOLAJE!BU25</f>
        <v>151.096</v>
      </c>
      <c r="I236" s="32">
        <v>0</v>
      </c>
      <c r="J236" s="32"/>
      <c r="K236" s="33"/>
      <c r="L236" s="34">
        <f t="shared" si="264"/>
        <v>444.82735064935059</v>
      </c>
      <c r="M236" s="35">
        <f t="shared" si="255"/>
        <v>37.933</v>
      </c>
      <c r="N236" s="36">
        <f t="shared" si="256"/>
        <v>406.8943506493506</v>
      </c>
      <c r="O236" s="37">
        <f t="shared" si="284"/>
        <v>33.450000000000003</v>
      </c>
      <c r="P236" s="37">
        <f t="shared" si="285"/>
        <v>33.33</v>
      </c>
      <c r="Q236" s="33">
        <f t="shared" si="188"/>
        <v>66.78</v>
      </c>
      <c r="R236" s="38">
        <f>33.45/30*E236</f>
        <v>33.450083331464917</v>
      </c>
      <c r="S236" s="39"/>
      <c r="T236" s="35"/>
      <c r="U236" s="40">
        <f t="shared" si="259"/>
        <v>507.12443398081547</v>
      </c>
      <c r="V236" s="39"/>
      <c r="W236" s="35"/>
      <c r="X236" s="42"/>
      <c r="Y236" s="43"/>
      <c r="Z236" s="59"/>
      <c r="AA236" s="40">
        <f t="shared" si="195"/>
        <v>0</v>
      </c>
      <c r="AB236" s="36">
        <f t="shared" si="260"/>
        <v>507.12443398081547</v>
      </c>
      <c r="AC236" s="288"/>
      <c r="AD236" s="103"/>
      <c r="AE236" s="104"/>
      <c r="AF236" s="46">
        <f t="shared" si="265"/>
        <v>507.12443398081547</v>
      </c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</row>
    <row r="237" spans="1:157" ht="18" customHeight="1" x14ac:dyDescent="0.25">
      <c r="A237" s="100">
        <f>A236+1</f>
        <v>217</v>
      </c>
      <c r="B237" s="89" t="s">
        <v>337</v>
      </c>
      <c r="C237" s="101">
        <f t="shared" si="281"/>
        <v>401.41</v>
      </c>
      <c r="D237" s="30">
        <f t="shared" si="282"/>
        <v>122.71922337662323</v>
      </c>
      <c r="E237" s="31">
        <f t="shared" si="263"/>
        <v>30.000074736739837</v>
      </c>
      <c r="F237" s="102">
        <f>+ENCOLAJE!AK27</f>
        <v>321.53325974025967</v>
      </c>
      <c r="G237" s="32">
        <v>0</v>
      </c>
      <c r="H237" s="32">
        <f>+ENCOLAJE!BU27</f>
        <v>202.59596363636362</v>
      </c>
      <c r="I237" s="32">
        <v>0</v>
      </c>
      <c r="J237" s="32"/>
      <c r="K237" s="33"/>
      <c r="L237" s="34">
        <f t="shared" si="264"/>
        <v>524.12922337662326</v>
      </c>
      <c r="M237" s="35">
        <f t="shared" si="255"/>
        <v>37.933</v>
      </c>
      <c r="N237" s="36">
        <f t="shared" si="256"/>
        <v>486.19622337662327</v>
      </c>
      <c r="O237" s="37">
        <f t="shared" si="284"/>
        <v>33.450000000000003</v>
      </c>
      <c r="P237" s="37">
        <f t="shared" si="285"/>
        <v>33.33</v>
      </c>
      <c r="Q237" s="33">
        <f t="shared" si="188"/>
        <v>66.78</v>
      </c>
      <c r="R237" s="365"/>
      <c r="S237" s="39"/>
      <c r="T237" s="35"/>
      <c r="U237" s="40">
        <f t="shared" si="259"/>
        <v>552.97622337662324</v>
      </c>
      <c r="V237" s="39"/>
      <c r="W237" s="35"/>
      <c r="X237" s="42"/>
      <c r="Y237" s="43"/>
      <c r="Z237" s="47">
        <v>80</v>
      </c>
      <c r="AA237" s="40">
        <f t="shared" si="195"/>
        <v>80</v>
      </c>
      <c r="AB237" s="36">
        <f t="shared" si="260"/>
        <v>472.97622337662324</v>
      </c>
      <c r="AC237" s="288"/>
      <c r="AD237" s="103"/>
      <c r="AE237" s="104"/>
      <c r="AF237" s="46">
        <f t="shared" si="265"/>
        <v>472.97622337662324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</row>
    <row r="238" spans="1:157" ht="18" customHeight="1" x14ac:dyDescent="0.25">
      <c r="A238" s="100">
        <f t="shared" si="283"/>
        <v>218</v>
      </c>
      <c r="B238" s="89" t="s">
        <v>338</v>
      </c>
      <c r="C238" s="101">
        <f t="shared" si="281"/>
        <v>401.41</v>
      </c>
      <c r="D238" s="30">
        <f t="shared" si="282"/>
        <v>37.824181818181842</v>
      </c>
      <c r="E238" s="31">
        <f t="shared" si="263"/>
        <v>30.000074736739837</v>
      </c>
      <c r="F238" s="102">
        <f>+ENCOLAJE!AK28</f>
        <v>294.90018181818186</v>
      </c>
      <c r="G238" s="32">
        <v>0</v>
      </c>
      <c r="H238" s="32">
        <f>+ENCOLAJE!BU28</f>
        <v>144.334</v>
      </c>
      <c r="I238" s="32">
        <v>0</v>
      </c>
      <c r="J238" s="32"/>
      <c r="K238" s="33"/>
      <c r="L238" s="34">
        <f t="shared" si="264"/>
        <v>439.23418181818187</v>
      </c>
      <c r="M238" s="35">
        <f t="shared" si="255"/>
        <v>37.933</v>
      </c>
      <c r="N238" s="36">
        <f t="shared" si="256"/>
        <v>401.30118181818187</v>
      </c>
      <c r="O238" s="37">
        <f t="shared" si="284"/>
        <v>33.450000000000003</v>
      </c>
      <c r="P238" s="37">
        <f t="shared" si="285"/>
        <v>33.33</v>
      </c>
      <c r="Q238" s="33">
        <f t="shared" si="188"/>
        <v>66.78</v>
      </c>
      <c r="R238" s="38"/>
      <c r="S238" s="39"/>
      <c r="T238" s="35"/>
      <c r="U238" s="40">
        <f t="shared" si="259"/>
        <v>468.0811818181819</v>
      </c>
      <c r="V238" s="39"/>
      <c r="W238" s="35"/>
      <c r="X238" s="42"/>
      <c r="Y238" s="43"/>
      <c r="Z238" s="47"/>
      <c r="AA238" s="40">
        <f t="shared" si="195"/>
        <v>0</v>
      </c>
      <c r="AB238" s="36">
        <f t="shared" si="260"/>
        <v>468.0811818181819</v>
      </c>
      <c r="AC238" s="288"/>
      <c r="AD238" s="103"/>
      <c r="AE238" s="104"/>
      <c r="AF238" s="46">
        <f t="shared" si="265"/>
        <v>468.0811818181819</v>
      </c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</row>
    <row r="239" spans="1:157" s="57" customFormat="1" ht="18" customHeight="1" x14ac:dyDescent="0.25">
      <c r="A239" s="1306" t="s">
        <v>477</v>
      </c>
      <c r="B239" s="1307"/>
      <c r="C239" s="101"/>
      <c r="D239" s="30"/>
      <c r="E239" s="31"/>
      <c r="F239" s="102"/>
      <c r="G239" s="32"/>
      <c r="H239" s="32"/>
      <c r="I239" s="32"/>
      <c r="J239" s="32"/>
      <c r="K239" s="33"/>
      <c r="L239" s="34"/>
      <c r="M239" s="35"/>
      <c r="N239" s="36"/>
      <c r="O239" s="37"/>
      <c r="P239" s="37"/>
      <c r="Q239" s="33"/>
      <c r="R239" s="38"/>
      <c r="S239" s="39"/>
      <c r="T239" s="35"/>
      <c r="U239" s="40"/>
      <c r="V239" s="39"/>
      <c r="W239" s="35"/>
      <c r="X239" s="42"/>
      <c r="Y239" s="43"/>
      <c r="Z239" s="47"/>
      <c r="AA239" s="40"/>
      <c r="AB239" s="36"/>
      <c r="AC239" s="288"/>
      <c r="AD239" s="103"/>
      <c r="AE239" s="104"/>
      <c r="AF239" s="46"/>
    </row>
    <row r="240" spans="1:157" ht="18" customHeight="1" x14ac:dyDescent="0.25">
      <c r="A240" s="100">
        <f>A238+1</f>
        <v>219</v>
      </c>
      <c r="B240" s="89" t="s">
        <v>476</v>
      </c>
      <c r="C240" s="101">
        <f t="shared" si="281"/>
        <v>20</v>
      </c>
      <c r="D240" s="30">
        <f t="shared" si="282"/>
        <v>0</v>
      </c>
      <c r="E240" s="31">
        <f t="shared" si="263"/>
        <v>1.4947347966786992</v>
      </c>
      <c r="F240" s="102">
        <f>+ENCOLAJE!AK32</f>
        <v>20</v>
      </c>
      <c r="G240" s="32">
        <v>0</v>
      </c>
      <c r="H240" s="32">
        <f>+ENCOLAJE!BU32</f>
        <v>0</v>
      </c>
      <c r="I240" s="32">
        <v>0</v>
      </c>
      <c r="J240" s="32"/>
      <c r="K240" s="33"/>
      <c r="L240" s="34">
        <f t="shared" si="264"/>
        <v>20</v>
      </c>
      <c r="M240" s="35">
        <f t="shared" si="255"/>
        <v>1.8899999999999997</v>
      </c>
      <c r="N240" s="36">
        <f t="shared" si="256"/>
        <v>18.11</v>
      </c>
      <c r="O240" s="37">
        <f t="shared" si="257"/>
        <v>1.6666292982967497</v>
      </c>
      <c r="P240" s="37">
        <f t="shared" si="258"/>
        <v>1.6606503591100348</v>
      </c>
      <c r="Q240" s="33">
        <f t="shared" si="188"/>
        <v>3.3272796574067844</v>
      </c>
      <c r="R240" s="38"/>
      <c r="S240" s="39"/>
      <c r="T240" s="35"/>
      <c r="U240" s="40">
        <f t="shared" si="259"/>
        <v>21.437279657406783</v>
      </c>
      <c r="V240" s="39">
        <v>21.437279657406783</v>
      </c>
      <c r="W240" s="35"/>
      <c r="X240" s="42"/>
      <c r="Y240" s="43"/>
      <c r="Z240" s="47"/>
      <c r="AA240" s="40">
        <f t="shared" si="195"/>
        <v>21.437279657406783</v>
      </c>
      <c r="AB240" s="36">
        <f t="shared" si="260"/>
        <v>0</v>
      </c>
      <c r="AC240" s="288"/>
      <c r="AD240" s="103"/>
      <c r="AE240" s="104"/>
      <c r="AF240" s="46">
        <f t="shared" si="265"/>
        <v>0</v>
      </c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</row>
    <row r="241" spans="1:157" ht="18" customHeight="1" x14ac:dyDescent="0.25">
      <c r="A241" s="100">
        <f t="shared" ref="A241:A246" si="286">A240+1</f>
        <v>220</v>
      </c>
      <c r="B241" s="89" t="s">
        <v>306</v>
      </c>
      <c r="C241" s="101">
        <f t="shared" si="281"/>
        <v>42.726999999999997</v>
      </c>
      <c r="D241" s="30">
        <f t="shared" si="282"/>
        <v>0</v>
      </c>
      <c r="E241" s="31">
        <f t="shared" si="263"/>
        <v>3.1932766828845391</v>
      </c>
      <c r="F241" s="102">
        <f>+ENCOLAJE!AK34</f>
        <v>42.726999999999997</v>
      </c>
      <c r="G241" s="32">
        <v>0</v>
      </c>
      <c r="H241" s="32">
        <f>+ENCOLAJE!BU34</f>
        <v>0</v>
      </c>
      <c r="I241" s="32">
        <v>0</v>
      </c>
      <c r="J241" s="32"/>
      <c r="K241" s="33"/>
      <c r="L241" s="34">
        <f>+F241+G241+H241+I241+K241+J241</f>
        <v>42.726999999999997</v>
      </c>
      <c r="M241" s="35">
        <f t="shared" si="255"/>
        <v>4.0377014999999989</v>
      </c>
      <c r="N241" s="36">
        <f t="shared" si="256"/>
        <v>38.6892985</v>
      </c>
      <c r="O241" s="37">
        <f t="shared" si="257"/>
        <v>3.5605035014162612</v>
      </c>
      <c r="P241" s="37">
        <f t="shared" si="258"/>
        <v>3.5477303946847227</v>
      </c>
      <c r="Q241" s="33">
        <f t="shared" si="188"/>
        <v>7.1082338961009839</v>
      </c>
      <c r="R241" s="38">
        <f>33.45/30*E241</f>
        <v>3.5605035014162612</v>
      </c>
      <c r="S241" s="39"/>
      <c r="T241" s="35"/>
      <c r="U241" s="40">
        <f t="shared" si="259"/>
        <v>49.358035897517247</v>
      </c>
      <c r="V241" s="39">
        <v>49.358035897517247</v>
      </c>
      <c r="W241" s="35"/>
      <c r="X241" s="42"/>
      <c r="Y241" s="43"/>
      <c r="Z241" s="58"/>
      <c r="AA241" s="40">
        <f t="shared" si="195"/>
        <v>49.358035897517247</v>
      </c>
      <c r="AB241" s="36">
        <f t="shared" si="260"/>
        <v>0</v>
      </c>
      <c r="AC241" s="288"/>
      <c r="AD241" s="103"/>
      <c r="AE241" s="67"/>
      <c r="AF241" s="46">
        <f t="shared" si="265"/>
        <v>0</v>
      </c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</row>
    <row r="242" spans="1:157" ht="18" customHeight="1" x14ac:dyDescent="0.25">
      <c r="A242" s="100">
        <f t="shared" si="286"/>
        <v>221</v>
      </c>
      <c r="B242" s="89" t="s">
        <v>310</v>
      </c>
      <c r="C242" s="101">
        <f t="shared" si="281"/>
        <v>295.36944155844151</v>
      </c>
      <c r="D242" s="30">
        <f t="shared" si="282"/>
        <v>0</v>
      </c>
      <c r="E242" s="31">
        <f t="shared" si="263"/>
        <v>22.0749491086479</v>
      </c>
      <c r="F242" s="102">
        <f>+ENCOLAJE!AK35</f>
        <v>245.51344155844154</v>
      </c>
      <c r="G242" s="32">
        <v>0</v>
      </c>
      <c r="H242" s="32">
        <f>+ENCOLAJE!BU35</f>
        <v>49.855999999999995</v>
      </c>
      <c r="I242" s="32">
        <v>0</v>
      </c>
      <c r="J242" s="32"/>
      <c r="K242" s="33"/>
      <c r="L242" s="34">
        <f t="shared" si="264"/>
        <v>295.36944155844151</v>
      </c>
      <c r="M242" s="35">
        <f t="shared" si="255"/>
        <v>27.912412227272718</v>
      </c>
      <c r="N242" s="36">
        <f t="shared" si="256"/>
        <v>267.45702933116877</v>
      </c>
      <c r="O242" s="37">
        <f t="shared" si="257"/>
        <v>24.613568256142408</v>
      </c>
      <c r="P242" s="37">
        <f t="shared" si="258"/>
        <v>24.525268459707817</v>
      </c>
      <c r="Q242" s="33">
        <f t="shared" si="188"/>
        <v>49.138836715850225</v>
      </c>
      <c r="R242" s="38">
        <f>33.45/30*E242</f>
        <v>24.613568256142408</v>
      </c>
      <c r="S242" s="39"/>
      <c r="T242" s="35"/>
      <c r="U242" s="40">
        <f t="shared" si="259"/>
        <v>341.2094343031614</v>
      </c>
      <c r="V242" s="39">
        <v>341.2094343031614</v>
      </c>
      <c r="W242" s="35"/>
      <c r="X242" s="42"/>
      <c r="Y242" s="43"/>
      <c r="Z242" s="47"/>
      <c r="AA242" s="40">
        <f t="shared" si="195"/>
        <v>341.2094343031614</v>
      </c>
      <c r="AB242" s="36">
        <f t="shared" si="260"/>
        <v>0</v>
      </c>
      <c r="AC242" s="288"/>
      <c r="AD242" s="103"/>
      <c r="AE242" s="104"/>
      <c r="AF242" s="46">
        <f t="shared" si="265"/>
        <v>0</v>
      </c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</row>
    <row r="243" spans="1:157" ht="18" customHeight="1" x14ac:dyDescent="0.25">
      <c r="A243" s="100">
        <f t="shared" si="286"/>
        <v>222</v>
      </c>
      <c r="B243" s="89" t="s">
        <v>313</v>
      </c>
      <c r="C243" s="101">
        <f t="shared" si="281"/>
        <v>401.41</v>
      </c>
      <c r="D243" s="30">
        <f t="shared" si="282"/>
        <v>41.317314285714247</v>
      </c>
      <c r="E243" s="31">
        <f t="shared" si="263"/>
        <v>30.000074736739837</v>
      </c>
      <c r="F243" s="102">
        <f>+ENCOLAJE!AK36</f>
        <v>291.13135064935062</v>
      </c>
      <c r="G243" s="32">
        <v>0</v>
      </c>
      <c r="H243" s="32">
        <f>+ENCOLAJE!BU36</f>
        <v>151.59596363636365</v>
      </c>
      <c r="I243" s="32">
        <v>0</v>
      </c>
      <c r="J243" s="32"/>
      <c r="K243" s="33"/>
      <c r="L243" s="34">
        <f t="shared" si="264"/>
        <v>442.72731428571427</v>
      </c>
      <c r="M243" s="35">
        <f t="shared" si="255"/>
        <v>37.933</v>
      </c>
      <c r="N243" s="36">
        <f t="shared" si="256"/>
        <v>404.79431428571428</v>
      </c>
      <c r="O243" s="37">
        <f t="shared" si="257"/>
        <v>33.450000000000003</v>
      </c>
      <c r="P243" s="37">
        <f t="shared" si="258"/>
        <v>33.33</v>
      </c>
      <c r="Q243" s="33">
        <f t="shared" si="188"/>
        <v>66.78</v>
      </c>
      <c r="R243" s="38"/>
      <c r="S243" s="39"/>
      <c r="T243" s="35"/>
      <c r="U243" s="40">
        <f t="shared" si="259"/>
        <v>471.57431428571431</v>
      </c>
      <c r="V243" s="39">
        <v>471.57431428571431</v>
      </c>
      <c r="W243" s="35"/>
      <c r="X243" s="42"/>
      <c r="Y243" s="43"/>
      <c r="Z243" s="55"/>
      <c r="AA243" s="40">
        <f t="shared" si="195"/>
        <v>471.57431428571431</v>
      </c>
      <c r="AB243" s="36">
        <f t="shared" si="260"/>
        <v>0</v>
      </c>
      <c r="AC243" s="288"/>
      <c r="AD243" s="103"/>
      <c r="AE243" s="67"/>
      <c r="AF243" s="46">
        <f t="shared" si="265"/>
        <v>0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</row>
    <row r="244" spans="1:157" ht="18" customHeight="1" x14ac:dyDescent="0.25">
      <c r="A244" s="100">
        <f t="shared" si="286"/>
        <v>223</v>
      </c>
      <c r="B244" s="89" t="s">
        <v>314</v>
      </c>
      <c r="C244" s="101">
        <f t="shared" si="281"/>
        <v>311.95471428571426</v>
      </c>
      <c r="D244" s="30">
        <f t="shared" si="282"/>
        <v>0</v>
      </c>
      <c r="E244" s="31">
        <f t="shared" si="263"/>
        <v>23.314478321540943</v>
      </c>
      <c r="F244" s="102">
        <f>+ENCOLAJE!AK37</f>
        <v>262.09871428571427</v>
      </c>
      <c r="G244" s="32">
        <v>0</v>
      </c>
      <c r="H244" s="32">
        <f>+ENCOLAJE!BU37</f>
        <v>49.855999999999995</v>
      </c>
      <c r="I244" s="32">
        <v>0</v>
      </c>
      <c r="J244" s="32"/>
      <c r="K244" s="33"/>
      <c r="L244" s="34">
        <f>+F244+G244+H244+I244+K244+J244</f>
        <v>311.95471428571426</v>
      </c>
      <c r="M244" s="35">
        <f t="shared" si="255"/>
        <v>29.479720499999992</v>
      </c>
      <c r="N244" s="36">
        <f>+L244-M244</f>
        <v>282.47499378571428</v>
      </c>
      <c r="O244" s="37">
        <f t="shared" si="257"/>
        <v>25.995643328518153</v>
      </c>
      <c r="P244" s="37">
        <f t="shared" si="258"/>
        <v>25.902385415231986</v>
      </c>
      <c r="Q244" s="33">
        <f t="shared" si="188"/>
        <v>51.898028743750139</v>
      </c>
      <c r="R244" s="38">
        <f>33.45/30*E244</f>
        <v>25.995643328518153</v>
      </c>
      <c r="S244" s="39"/>
      <c r="T244" s="35"/>
      <c r="U244" s="40">
        <f>N244+Q244+R244+S244+T244</f>
        <v>360.36866585798259</v>
      </c>
      <c r="V244" s="39">
        <v>360.36866585798259</v>
      </c>
      <c r="W244" s="35"/>
      <c r="X244" s="42"/>
      <c r="Y244" s="43"/>
      <c r="Z244" s="47"/>
      <c r="AA244" s="40">
        <f t="shared" si="195"/>
        <v>360.36866585798259</v>
      </c>
      <c r="AB244" s="36">
        <f t="shared" si="260"/>
        <v>0</v>
      </c>
      <c r="AC244" s="288"/>
      <c r="AD244" s="103"/>
      <c r="AE244" s="104"/>
      <c r="AF244" s="46">
        <f t="shared" si="265"/>
        <v>0</v>
      </c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</row>
    <row r="245" spans="1:157" ht="18" customHeight="1" x14ac:dyDescent="0.25">
      <c r="A245" s="100">
        <f t="shared" si="286"/>
        <v>224</v>
      </c>
      <c r="B245" s="89" t="s">
        <v>317</v>
      </c>
      <c r="C245" s="101">
        <f t="shared" si="281"/>
        <v>401.41</v>
      </c>
      <c r="D245" s="30">
        <f t="shared" si="282"/>
        <v>61.731181818181767</v>
      </c>
      <c r="E245" s="31">
        <f t="shared" si="263"/>
        <v>30.000074736739837</v>
      </c>
      <c r="F245" s="102">
        <f>+ENCOLAJE!AK38</f>
        <v>306.13218181818178</v>
      </c>
      <c r="G245" s="32">
        <v>0</v>
      </c>
      <c r="H245" s="32">
        <f>+ENCOLAJE!BU38</f>
        <v>157.00900000000001</v>
      </c>
      <c r="I245" s="32">
        <v>0</v>
      </c>
      <c r="J245" s="32"/>
      <c r="K245" s="33"/>
      <c r="L245" s="34">
        <f t="shared" si="264"/>
        <v>463.14118181818179</v>
      </c>
      <c r="M245" s="35">
        <f t="shared" si="255"/>
        <v>37.933</v>
      </c>
      <c r="N245" s="36">
        <f t="shared" si="256"/>
        <v>425.2081818181818</v>
      </c>
      <c r="O245" s="37">
        <f t="shared" si="257"/>
        <v>33.450000000000003</v>
      </c>
      <c r="P245" s="37">
        <f t="shared" si="258"/>
        <v>33.33</v>
      </c>
      <c r="Q245" s="33">
        <f t="shared" si="188"/>
        <v>66.78</v>
      </c>
      <c r="R245" s="38">
        <f>33.45/30*E245</f>
        <v>33.450083331464917</v>
      </c>
      <c r="S245" s="39"/>
      <c r="T245" s="35"/>
      <c r="U245" s="40">
        <f t="shared" si="259"/>
        <v>525.43826514964678</v>
      </c>
      <c r="V245" s="39">
        <v>525.43826514964678</v>
      </c>
      <c r="W245" s="35"/>
      <c r="X245" s="42"/>
      <c r="Y245" s="43"/>
      <c r="Z245" s="47"/>
      <c r="AA245" s="40">
        <f t="shared" si="195"/>
        <v>525.43826514964678</v>
      </c>
      <c r="AB245" s="36">
        <f t="shared" si="260"/>
        <v>0</v>
      </c>
      <c r="AC245" s="288"/>
      <c r="AD245" s="103"/>
      <c r="AE245" s="104"/>
      <c r="AF245" s="46">
        <f t="shared" si="265"/>
        <v>0</v>
      </c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</row>
    <row r="246" spans="1:157" s="57" customFormat="1" ht="18" customHeight="1" x14ac:dyDescent="0.25">
      <c r="A246" s="100">
        <f t="shared" si="286"/>
        <v>225</v>
      </c>
      <c r="B246" s="89" t="s">
        <v>319</v>
      </c>
      <c r="C246" s="101">
        <f t="shared" si="281"/>
        <v>401.41</v>
      </c>
      <c r="D246" s="30">
        <f t="shared" si="282"/>
        <v>15.966496103896077</v>
      </c>
      <c r="E246" s="31">
        <f t="shared" si="263"/>
        <v>30.000074736739837</v>
      </c>
      <c r="F246" s="102">
        <f>+ENCOLAJE!AK39</f>
        <v>284.78053246753245</v>
      </c>
      <c r="G246" s="32">
        <v>0</v>
      </c>
      <c r="H246" s="32">
        <f>+ENCOLAJE!BU39</f>
        <v>132.59596363636362</v>
      </c>
      <c r="I246" s="32">
        <v>0</v>
      </c>
      <c r="J246" s="32"/>
      <c r="K246" s="33"/>
      <c r="L246" s="34">
        <f t="shared" si="264"/>
        <v>417.3764961038961</v>
      </c>
      <c r="M246" s="35">
        <f t="shared" si="255"/>
        <v>37.933</v>
      </c>
      <c r="N246" s="36">
        <f t="shared" si="256"/>
        <v>379.44349610389611</v>
      </c>
      <c r="O246" s="37">
        <f t="shared" si="257"/>
        <v>33.450000000000003</v>
      </c>
      <c r="P246" s="37">
        <f t="shared" si="258"/>
        <v>33.33</v>
      </c>
      <c r="Q246" s="33">
        <f t="shared" si="188"/>
        <v>66.78</v>
      </c>
      <c r="R246" s="38"/>
      <c r="S246" s="39"/>
      <c r="T246" s="35"/>
      <c r="U246" s="40">
        <f t="shared" si="259"/>
        <v>446.22349610389608</v>
      </c>
      <c r="V246" s="39">
        <v>446.22349610389608</v>
      </c>
      <c r="W246" s="35"/>
      <c r="X246" s="42"/>
      <c r="Y246" s="43"/>
      <c r="Z246" s="55"/>
      <c r="AA246" s="40">
        <f t="shared" si="195"/>
        <v>446.22349610389608</v>
      </c>
      <c r="AB246" s="36">
        <f t="shared" si="260"/>
        <v>0</v>
      </c>
      <c r="AC246" s="288"/>
      <c r="AD246" s="103"/>
      <c r="AE246" s="67"/>
      <c r="AF246" s="46">
        <f t="shared" si="265"/>
        <v>0</v>
      </c>
    </row>
    <row r="247" spans="1:157" ht="18" customHeight="1" x14ac:dyDescent="0.25">
      <c r="A247" s="100">
        <f t="shared" ref="A247:A249" si="287">A246+1</f>
        <v>226</v>
      </c>
      <c r="B247" s="89" t="s">
        <v>323</v>
      </c>
      <c r="C247" s="101">
        <f t="shared" si="281"/>
        <v>175.0749090909091</v>
      </c>
      <c r="D247" s="30">
        <f t="shared" si="282"/>
        <v>0</v>
      </c>
      <c r="E247" s="31">
        <f t="shared" si="263"/>
        <v>13.084527932177089</v>
      </c>
      <c r="F247" s="102">
        <f>+ENCOLAJE!AK40</f>
        <v>175.0749090909091</v>
      </c>
      <c r="G247" s="32">
        <v>0</v>
      </c>
      <c r="H247" s="32">
        <f>+ENCOLAJE!BU40</f>
        <v>0</v>
      </c>
      <c r="I247" s="32">
        <v>0</v>
      </c>
      <c r="J247" s="32"/>
      <c r="K247" s="33"/>
      <c r="L247" s="34">
        <f t="shared" si="264"/>
        <v>175.0749090909091</v>
      </c>
      <c r="M247" s="35">
        <f t="shared" si="255"/>
        <v>16.544578909090909</v>
      </c>
      <c r="N247" s="36">
        <f t="shared" si="256"/>
        <v>158.53033018181819</v>
      </c>
      <c r="O247" s="37">
        <f t="shared" si="257"/>
        <v>14.589248644377454</v>
      </c>
      <c r="P247" s="37">
        <f t="shared" si="258"/>
        <v>14.536910532648745</v>
      </c>
      <c r="Q247" s="33">
        <f t="shared" si="188"/>
        <v>29.126159177026199</v>
      </c>
      <c r="R247" s="38">
        <f>33.45/30*E247</f>
        <v>14.589248644377454</v>
      </c>
      <c r="S247" s="39"/>
      <c r="T247" s="35"/>
      <c r="U247" s="40">
        <f t="shared" si="259"/>
        <v>202.24573800322185</v>
      </c>
      <c r="V247" s="39">
        <v>202.24573800322185</v>
      </c>
      <c r="W247" s="35"/>
      <c r="X247" s="42"/>
      <c r="Y247" s="43"/>
      <c r="Z247" s="47"/>
      <c r="AA247" s="40">
        <f t="shared" si="195"/>
        <v>202.24573800322185</v>
      </c>
      <c r="AB247" s="36">
        <f t="shared" si="260"/>
        <v>0</v>
      </c>
      <c r="AC247" s="288"/>
      <c r="AD247" s="103"/>
      <c r="AE247" s="104"/>
      <c r="AF247" s="46">
        <f t="shared" si="265"/>
        <v>0</v>
      </c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</row>
    <row r="248" spans="1:157" s="57" customFormat="1" ht="18" customHeight="1" x14ac:dyDescent="0.25">
      <c r="A248" s="100">
        <f t="shared" si="287"/>
        <v>227</v>
      </c>
      <c r="B248" s="89" t="s">
        <v>331</v>
      </c>
      <c r="C248" s="101">
        <f t="shared" si="281"/>
        <v>401.41</v>
      </c>
      <c r="D248" s="30">
        <f t="shared" si="282"/>
        <v>62.739805194805172</v>
      </c>
      <c r="E248" s="31">
        <f t="shared" si="263"/>
        <v>30.000074736739837</v>
      </c>
      <c r="F248" s="102">
        <f>+ENCOLAJE!AK41</f>
        <v>303.1498051948052</v>
      </c>
      <c r="G248" s="32">
        <v>0</v>
      </c>
      <c r="H248" s="32">
        <f>+ENCOLAJE!BU41</f>
        <v>161</v>
      </c>
      <c r="I248" s="32">
        <v>0</v>
      </c>
      <c r="J248" s="32"/>
      <c r="K248" s="33"/>
      <c r="L248" s="34">
        <f t="shared" si="264"/>
        <v>464.1498051948052</v>
      </c>
      <c r="M248" s="35">
        <f t="shared" si="255"/>
        <v>37.933</v>
      </c>
      <c r="N248" s="36">
        <f t="shared" si="256"/>
        <v>426.2168051948052</v>
      </c>
      <c r="O248" s="37">
        <f t="shared" si="257"/>
        <v>33.450000000000003</v>
      </c>
      <c r="P248" s="37">
        <f t="shared" si="258"/>
        <v>33.33</v>
      </c>
      <c r="Q248" s="33">
        <f t="shared" si="188"/>
        <v>66.78</v>
      </c>
      <c r="R248" s="38"/>
      <c r="S248" s="39"/>
      <c r="T248" s="35"/>
      <c r="U248" s="40">
        <f t="shared" si="259"/>
        <v>492.99680519480523</v>
      </c>
      <c r="V248" s="39">
        <v>349.75680519480522</v>
      </c>
      <c r="W248" s="35"/>
      <c r="X248" s="42"/>
      <c r="Y248" s="43"/>
      <c r="Z248" s="47">
        <v>143.24</v>
      </c>
      <c r="AA248" s="40">
        <f t="shared" si="195"/>
        <v>492.99680519480523</v>
      </c>
      <c r="AB248" s="36">
        <f t="shared" si="260"/>
        <v>0</v>
      </c>
      <c r="AC248" s="288"/>
      <c r="AD248" s="103"/>
      <c r="AE248" s="104"/>
      <c r="AF248" s="46">
        <f t="shared" si="265"/>
        <v>0</v>
      </c>
    </row>
    <row r="249" spans="1:157" ht="18" customHeight="1" x14ac:dyDescent="0.25">
      <c r="A249" s="100">
        <f t="shared" si="287"/>
        <v>228</v>
      </c>
      <c r="B249" s="89" t="s">
        <v>336</v>
      </c>
      <c r="C249" s="101">
        <f t="shared" si="281"/>
        <v>305.84345454545451</v>
      </c>
      <c r="D249" s="30">
        <f t="shared" si="282"/>
        <v>0</v>
      </c>
      <c r="E249" s="31">
        <f t="shared" si="263"/>
        <v>22.857742692275547</v>
      </c>
      <c r="F249" s="102">
        <f>+ENCOLAJE!AK42</f>
        <v>255.98745454545454</v>
      </c>
      <c r="G249" s="32">
        <v>0</v>
      </c>
      <c r="H249" s="32">
        <f>+ENCOLAJE!BU42</f>
        <v>49.855999999999995</v>
      </c>
      <c r="I249" s="32">
        <v>0</v>
      </c>
      <c r="J249" s="32"/>
      <c r="K249" s="33"/>
      <c r="L249" s="34">
        <f t="shared" si="264"/>
        <v>305.84345454545451</v>
      </c>
      <c r="M249" s="35">
        <f t="shared" si="255"/>
        <v>28.902206454545446</v>
      </c>
      <c r="N249" s="36">
        <f t="shared" si="256"/>
        <v>276.94124809090908</v>
      </c>
      <c r="O249" s="37">
        <f t="shared" si="257"/>
        <v>25.486383101887235</v>
      </c>
      <c r="P249" s="37">
        <f t="shared" si="258"/>
        <v>25.394952131118131</v>
      </c>
      <c r="Q249" s="33">
        <f t="shared" si="188"/>
        <v>50.881335233005366</v>
      </c>
      <c r="R249" s="38">
        <f>33.45/30*E249</f>
        <v>25.486383101887235</v>
      </c>
      <c r="S249" s="39"/>
      <c r="T249" s="35"/>
      <c r="U249" s="40">
        <f t="shared" si="259"/>
        <v>353.30896642580166</v>
      </c>
      <c r="V249" s="39">
        <v>353.30896642580166</v>
      </c>
      <c r="W249" s="35"/>
      <c r="X249" s="42"/>
      <c r="Y249" s="43"/>
      <c r="Z249" s="55"/>
      <c r="AA249" s="40">
        <f t="shared" si="195"/>
        <v>353.30896642580166</v>
      </c>
      <c r="AB249" s="36">
        <f t="shared" si="260"/>
        <v>0</v>
      </c>
      <c r="AC249" s="288"/>
      <c r="AD249" s="103"/>
      <c r="AE249" s="67"/>
      <c r="AF249" s="46">
        <f t="shared" si="265"/>
        <v>0</v>
      </c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</row>
    <row r="250" spans="1:157" ht="18" customHeight="1" x14ac:dyDescent="0.25">
      <c r="A250" s="100">
        <f>A249+1</f>
        <v>229</v>
      </c>
      <c r="B250" s="89" t="s">
        <v>475</v>
      </c>
      <c r="C250" s="101">
        <f t="shared" si="281"/>
        <v>401.41</v>
      </c>
      <c r="D250" s="30">
        <f t="shared" si="282"/>
        <v>71.144272727272721</v>
      </c>
      <c r="E250" s="31">
        <f t="shared" si="263"/>
        <v>30.000074736739837</v>
      </c>
      <c r="F250" s="102">
        <f>+ENCOLAJE!AK43</f>
        <v>299.64890909090911</v>
      </c>
      <c r="G250" s="32">
        <v>0</v>
      </c>
      <c r="H250" s="32">
        <f>+ENCOLAJE!BU43</f>
        <v>172.90536363636363</v>
      </c>
      <c r="I250" s="32">
        <v>0</v>
      </c>
      <c r="J250" s="32"/>
      <c r="K250" s="33"/>
      <c r="L250" s="34">
        <f t="shared" si="264"/>
        <v>472.55427272727275</v>
      </c>
      <c r="M250" s="35">
        <f t="shared" si="255"/>
        <v>37.933</v>
      </c>
      <c r="N250" s="36">
        <f t="shared" si="256"/>
        <v>434.62127272727275</v>
      </c>
      <c r="O250" s="37">
        <f t="shared" si="257"/>
        <v>33.450000000000003</v>
      </c>
      <c r="P250" s="37">
        <f t="shared" si="258"/>
        <v>33.33</v>
      </c>
      <c r="Q250" s="33">
        <f t="shared" si="188"/>
        <v>66.78</v>
      </c>
      <c r="R250" s="38">
        <f>33.45/30*E250</f>
        <v>33.450083331464917</v>
      </c>
      <c r="S250" s="39"/>
      <c r="T250" s="35"/>
      <c r="U250" s="40">
        <f t="shared" si="259"/>
        <v>534.85135605873768</v>
      </c>
      <c r="V250" s="39">
        <v>534.85135605873768</v>
      </c>
      <c r="W250" s="35"/>
      <c r="X250" s="42"/>
      <c r="Y250" s="43"/>
      <c r="Z250" s="47"/>
      <c r="AA250" s="40">
        <f t="shared" si="195"/>
        <v>534.85135605873768</v>
      </c>
      <c r="AB250" s="36">
        <f t="shared" si="260"/>
        <v>0</v>
      </c>
      <c r="AC250" s="288"/>
      <c r="AD250" s="103"/>
      <c r="AE250" s="104"/>
      <c r="AF250" s="46">
        <f t="shared" si="265"/>
        <v>0</v>
      </c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</row>
    <row r="251" spans="1:157" s="57" customFormat="1" ht="18" customHeight="1" x14ac:dyDescent="0.25">
      <c r="A251" s="100">
        <f>A250+1</f>
        <v>230</v>
      </c>
      <c r="B251" s="89" t="s">
        <v>324</v>
      </c>
      <c r="C251" s="101">
        <f>IF(L251&gt;=401.41,401.41,IF(L251&lt;401.41,L251))</f>
        <v>401.41</v>
      </c>
      <c r="D251" s="30">
        <f>+L251-C251</f>
        <v>138.46199999999993</v>
      </c>
      <c r="E251" s="31">
        <f>+C251/13.3803</f>
        <v>30.000074736739837</v>
      </c>
      <c r="F251" s="102">
        <f>+ENCOLAJE!AK16</f>
        <v>282.93599999999998</v>
      </c>
      <c r="G251" s="32">
        <v>0</v>
      </c>
      <c r="H251" s="32">
        <f>+ENCOLAJE!BU16</f>
        <v>256.93599999999998</v>
      </c>
      <c r="I251" s="32">
        <v>0</v>
      </c>
      <c r="J251" s="32"/>
      <c r="K251" s="33"/>
      <c r="L251" s="34">
        <f>+F251+G251+H251+I251+K251+J251</f>
        <v>539.87199999999996</v>
      </c>
      <c r="M251" s="35">
        <f>IF(L251&gt;=401.41,37.933,IF(L251&lt;401.41,L251*9.45%))</f>
        <v>37.933</v>
      </c>
      <c r="N251" s="36">
        <f>+L251-M251</f>
        <v>501.93899999999996</v>
      </c>
      <c r="O251" s="37">
        <f>IF(E251&gt;=30,33.45,IF(E251&lt;30,E251*1.115))</f>
        <v>33.450000000000003</v>
      </c>
      <c r="P251" s="37">
        <f>IF(E251&gt;=30,33.33,IF(E251&lt;30,E251*1.111))</f>
        <v>33.33</v>
      </c>
      <c r="Q251" s="33">
        <f>+O251+P251</f>
        <v>66.78</v>
      </c>
      <c r="R251" s="38">
        <f>33.45/30*E251</f>
        <v>33.450083331464917</v>
      </c>
      <c r="S251" s="39"/>
      <c r="T251" s="35"/>
      <c r="U251" s="40">
        <f>N251+Q251+R251+S251+T251</f>
        <v>602.16908333146489</v>
      </c>
      <c r="V251" s="39">
        <v>602.16908333146489</v>
      </c>
      <c r="W251" s="35"/>
      <c r="X251" s="42"/>
      <c r="Y251" s="43"/>
      <c r="Z251" s="58"/>
      <c r="AA251" s="40">
        <f>+W251+V251+X251+Y251+Z251</f>
        <v>602.16908333146489</v>
      </c>
      <c r="AB251" s="36">
        <f>+U251-AA251</f>
        <v>0</v>
      </c>
      <c r="AC251" s="288"/>
      <c r="AD251" s="103"/>
      <c r="AE251" s="104"/>
      <c r="AF251" s="46">
        <f>+AB251-AC251-AD251-AE251</f>
        <v>0</v>
      </c>
    </row>
    <row r="252" spans="1:157" ht="18" customHeight="1" x14ac:dyDescent="0.25">
      <c r="A252" s="100">
        <f>A251+1</f>
        <v>231</v>
      </c>
      <c r="B252" s="89" t="s">
        <v>330</v>
      </c>
      <c r="C252" s="101">
        <f>IF(L252&gt;=401.41,401.41,IF(L252&lt;401.41,L252))</f>
        <v>401.41</v>
      </c>
      <c r="D252" s="30">
        <f>+L252-C252</f>
        <v>80.04614545454541</v>
      </c>
      <c r="E252" s="31">
        <f>+C252/13.3803</f>
        <v>30.000074736739837</v>
      </c>
      <c r="F252" s="102">
        <f>+ENCOLAJE!AK22</f>
        <v>306.07718181818183</v>
      </c>
      <c r="G252" s="32">
        <v>0</v>
      </c>
      <c r="H252" s="32">
        <f>+ENCOLAJE!BU22</f>
        <v>175.37896363636364</v>
      </c>
      <c r="I252" s="32">
        <v>0</v>
      </c>
      <c r="J252" s="32"/>
      <c r="K252" s="33"/>
      <c r="L252" s="34">
        <f>+F252+G252+H252+I252+K252+J252</f>
        <v>481.45614545454544</v>
      </c>
      <c r="M252" s="35">
        <f>IF(L252&gt;=401.41,37.933,IF(L252&lt;401.41,L252*9.45%))</f>
        <v>37.933</v>
      </c>
      <c r="N252" s="36">
        <f>+L252-M252</f>
        <v>443.52314545454544</v>
      </c>
      <c r="O252" s="37">
        <f>IF(E252&gt;=30,33.45,IF(E252&lt;30,E252*1.115))</f>
        <v>33.450000000000003</v>
      </c>
      <c r="P252" s="37">
        <f>IF(E252&gt;=30,33.33,IF(E252&lt;30,E252*1.111))</f>
        <v>33.33</v>
      </c>
      <c r="Q252" s="33">
        <f>+O252+P252</f>
        <v>66.78</v>
      </c>
      <c r="R252" s="38">
        <f>33.45/30*E252</f>
        <v>33.450083331464917</v>
      </c>
      <c r="S252" s="39"/>
      <c r="T252" s="35"/>
      <c r="U252" s="40">
        <f>N252+Q252+R252+S252+T252</f>
        <v>543.75322878601037</v>
      </c>
      <c r="V252" s="39">
        <v>543.75322878601037</v>
      </c>
      <c r="W252" s="35"/>
      <c r="X252" s="42"/>
      <c r="Y252" s="43"/>
      <c r="Z252" s="277"/>
      <c r="AA252" s="40">
        <f>+W252+V252+X252+Y252+Z252</f>
        <v>543.75322878601037</v>
      </c>
      <c r="AB252" s="36">
        <f>+U252-AA252</f>
        <v>0</v>
      </c>
      <c r="AC252" s="288"/>
      <c r="AD252" s="103"/>
      <c r="AE252" s="104"/>
      <c r="AF252" s="46">
        <f>+AB252-AC252-AD252-AE252</f>
        <v>0</v>
      </c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</row>
    <row r="253" spans="1:157" ht="18" customHeight="1" thickBot="1" x14ac:dyDescent="0.3">
      <c r="A253" s="100">
        <f>A252+1</f>
        <v>232</v>
      </c>
      <c r="B253" s="89" t="s">
        <v>335</v>
      </c>
      <c r="C253" s="101">
        <f>IF(L253&gt;=401.41,401.41,IF(L253&lt;401.41,L253))</f>
        <v>401.41</v>
      </c>
      <c r="D253" s="30">
        <f>+L253-C253</f>
        <v>12.944896103896099</v>
      </c>
      <c r="E253" s="31">
        <f>+C253/13.3803</f>
        <v>30.000074736739837</v>
      </c>
      <c r="F253" s="102">
        <f>+ENCOLAJE!AK26</f>
        <v>265.02089610389612</v>
      </c>
      <c r="G253" s="32">
        <v>0</v>
      </c>
      <c r="H253" s="32">
        <f>+ENCOLAJE!BU26</f>
        <v>149.334</v>
      </c>
      <c r="I253" s="32">
        <v>0</v>
      </c>
      <c r="J253" s="32"/>
      <c r="K253" s="33"/>
      <c r="L253" s="34">
        <f>+F253+G253+H253+I253+K253+J253</f>
        <v>414.35489610389612</v>
      </c>
      <c r="M253" s="35">
        <f>IF(L253&gt;=401.41,37.933,IF(L253&lt;401.41,L253*9.45%))</f>
        <v>37.933</v>
      </c>
      <c r="N253" s="36">
        <f>+L253-M253</f>
        <v>376.42189610389613</v>
      </c>
      <c r="O253" s="37">
        <f>IF(E253&gt;=30,33.45,IF(E253&lt;30,E253*1.115))</f>
        <v>33.450000000000003</v>
      </c>
      <c r="P253" s="37">
        <f>IF(E253&gt;=30,33.33,IF(E253&lt;30,E253*1.111))</f>
        <v>33.33</v>
      </c>
      <c r="Q253" s="33">
        <f>+O253+P253</f>
        <v>66.78</v>
      </c>
      <c r="R253" s="38"/>
      <c r="S253" s="39"/>
      <c r="T253" s="35"/>
      <c r="U253" s="40">
        <f>N253+Q253+R253+S253+T253</f>
        <v>443.20189610389616</v>
      </c>
      <c r="V253" s="39">
        <v>443.20189610389616</v>
      </c>
      <c r="W253" s="35"/>
      <c r="X253" s="42"/>
      <c r="Y253" s="43"/>
      <c r="Z253" s="47"/>
      <c r="AA253" s="40">
        <f>+W253+V253+X253+Y253+Z253</f>
        <v>443.20189610389616</v>
      </c>
      <c r="AB253" s="36">
        <f>+U253-AA253</f>
        <v>0</v>
      </c>
      <c r="AC253" s="288"/>
      <c r="AD253" s="103"/>
      <c r="AE253" s="104"/>
      <c r="AF253" s="46">
        <f>+AB253-AC253-AD253-AE253</f>
        <v>0</v>
      </c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</row>
    <row r="254" spans="1:157" s="57" customFormat="1" ht="18" customHeight="1" thickBot="1" x14ac:dyDescent="0.3">
      <c r="A254" s="1300" t="s">
        <v>218</v>
      </c>
      <c r="B254" s="1301"/>
      <c r="C254" s="110">
        <f>SUM(C6:C253)</f>
        <v>86554.179234074647</v>
      </c>
      <c r="D254" s="110">
        <f>SUM(D6:D253)</f>
        <v>24629.125609522845</v>
      </c>
      <c r="E254" s="110"/>
      <c r="F254" s="110">
        <f t="shared" ref="F254:AF254" si="288">SUM(F6:F253)</f>
        <v>69909.676387628773</v>
      </c>
      <c r="G254" s="110">
        <f t="shared" si="288"/>
        <v>0</v>
      </c>
      <c r="H254" s="110">
        <f t="shared" si="288"/>
        <v>39693.408455968354</v>
      </c>
      <c r="I254" s="110">
        <f t="shared" si="288"/>
        <v>0</v>
      </c>
      <c r="J254" s="110">
        <f t="shared" si="288"/>
        <v>1257.72</v>
      </c>
      <c r="K254" s="110">
        <f t="shared" si="288"/>
        <v>322.5</v>
      </c>
      <c r="L254" s="110">
        <f t="shared" si="288"/>
        <v>111183.3048435972</v>
      </c>
      <c r="M254" s="111">
        <f t="shared" si="288"/>
        <v>8179.3251026200187</v>
      </c>
      <c r="N254" s="110">
        <f t="shared" si="288"/>
        <v>103003.97974097711</v>
      </c>
      <c r="O254" s="110">
        <f t="shared" si="288"/>
        <v>7145.7713004187153</v>
      </c>
      <c r="P254" s="110">
        <f t="shared" si="288"/>
        <v>7120.136246426192</v>
      </c>
      <c r="Q254" s="110">
        <f t="shared" si="288"/>
        <v>14265.907546844979</v>
      </c>
      <c r="R254" s="110">
        <f t="shared" si="288"/>
        <v>4958.1965525241094</v>
      </c>
      <c r="S254" s="110">
        <f t="shared" si="288"/>
        <v>300</v>
      </c>
      <c r="T254" s="110">
        <f t="shared" si="288"/>
        <v>0</v>
      </c>
      <c r="U254" s="110">
        <f t="shared" si="288"/>
        <v>122528.08384034611</v>
      </c>
      <c r="V254" s="112">
        <f t="shared" si="288"/>
        <v>56390.416845692998</v>
      </c>
      <c r="W254" s="112">
        <f t="shared" si="288"/>
        <v>0</v>
      </c>
      <c r="X254" s="112">
        <f t="shared" si="288"/>
        <v>30</v>
      </c>
      <c r="Y254" s="112">
        <f t="shared" si="288"/>
        <v>0</v>
      </c>
      <c r="Z254" s="112">
        <f t="shared" si="288"/>
        <v>2512.21</v>
      </c>
      <c r="AA254" s="110">
        <f t="shared" si="288"/>
        <v>58932.626845693019</v>
      </c>
      <c r="AB254" s="110">
        <f t="shared" si="288"/>
        <v>63595.456994653206</v>
      </c>
      <c r="AC254" s="110">
        <f t="shared" si="288"/>
        <v>0</v>
      </c>
      <c r="AD254" s="110">
        <f t="shared" si="288"/>
        <v>0</v>
      </c>
      <c r="AE254" s="110">
        <f t="shared" si="288"/>
        <v>0</v>
      </c>
      <c r="AF254" s="111">
        <f t="shared" si="288"/>
        <v>63595.456994653206</v>
      </c>
    </row>
    <row r="255" spans="1:157" ht="18" customHeight="1" x14ac:dyDescent="0.25">
      <c r="A255" s="105"/>
      <c r="B255" s="113"/>
      <c r="F255" s="114"/>
      <c r="G255" s="115"/>
      <c r="H255" s="115"/>
      <c r="I255" s="115"/>
      <c r="J255" s="115"/>
      <c r="K255" s="115"/>
      <c r="L255" s="113"/>
      <c r="M255" s="113"/>
      <c r="N255" s="115"/>
      <c r="O255" s="115"/>
      <c r="P255" s="115"/>
      <c r="Q255" s="115"/>
      <c r="R255" s="115"/>
      <c r="T255" s="113"/>
      <c r="U255" s="116"/>
      <c r="W255" s="113"/>
      <c r="AA255" s="116"/>
      <c r="AB255" s="57"/>
      <c r="AC255" s="117"/>
      <c r="AD255" s="118"/>
      <c r="AE255" s="118"/>
      <c r="AF255" s="57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</row>
    <row r="256" spans="1:157" ht="18" customHeight="1" thickBot="1" x14ac:dyDescent="0.3">
      <c r="A256" s="105"/>
      <c r="B256" s="113"/>
      <c r="C256" s="2"/>
      <c r="D256" s="2"/>
      <c r="E256" s="2"/>
      <c r="F256" s="1316" t="s">
        <v>1</v>
      </c>
      <c r="G256" s="1316"/>
      <c r="H256" s="1317" t="s">
        <v>2</v>
      </c>
      <c r="I256" s="1317"/>
      <c r="J256" s="119"/>
      <c r="K256" s="120"/>
      <c r="Q256" s="2"/>
      <c r="R256" s="3"/>
      <c r="U256" s="116"/>
      <c r="AA256" s="116"/>
      <c r="AB256" s="57"/>
      <c r="AC256" s="117"/>
      <c r="AD256" s="118"/>
      <c r="AE256" s="118"/>
      <c r="AF256" s="57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</row>
    <row r="257" spans="1:157" ht="18" customHeight="1" thickBot="1" x14ac:dyDescent="0.3">
      <c r="A257" s="7" t="s">
        <v>219</v>
      </c>
      <c r="B257" s="121"/>
      <c r="C257" s="9" t="s">
        <v>4</v>
      </c>
      <c r="D257" s="9" t="s">
        <v>5</v>
      </c>
      <c r="E257" s="10" t="s">
        <v>6</v>
      </c>
      <c r="F257" s="122" t="s">
        <v>7</v>
      </c>
      <c r="G257" s="122" t="s">
        <v>8</v>
      </c>
      <c r="H257" s="122" t="s">
        <v>7</v>
      </c>
      <c r="I257" s="123" t="s">
        <v>8</v>
      </c>
      <c r="J257" s="12" t="s">
        <v>9</v>
      </c>
      <c r="K257" s="12" t="s">
        <v>10</v>
      </c>
      <c r="L257" s="124" t="s">
        <v>11</v>
      </c>
      <c r="M257" s="15" t="s">
        <v>12</v>
      </c>
      <c r="N257" s="16" t="s">
        <v>13</v>
      </c>
      <c r="O257" s="17" t="s">
        <v>14</v>
      </c>
      <c r="P257" s="17" t="s">
        <v>15</v>
      </c>
      <c r="Q257" s="125" t="s">
        <v>16</v>
      </c>
      <c r="R257" s="18" t="s">
        <v>17</v>
      </c>
      <c r="S257" s="19" t="str">
        <f>+S4</f>
        <v>OTROS VALORES</v>
      </c>
      <c r="T257" s="11" t="s">
        <v>19</v>
      </c>
      <c r="U257" s="20" t="s">
        <v>20</v>
      </c>
      <c r="V257" s="19" t="s">
        <v>21</v>
      </c>
      <c r="W257" s="11" t="s">
        <v>22</v>
      </c>
      <c r="X257" s="21" t="s">
        <v>23</v>
      </c>
      <c r="Y257" s="22" t="s">
        <v>24</v>
      </c>
      <c r="Z257" s="126" t="s">
        <v>25</v>
      </c>
      <c r="AA257" s="20" t="s">
        <v>26</v>
      </c>
      <c r="AB257" s="16" t="s">
        <v>27</v>
      </c>
      <c r="AC257" s="24" t="s">
        <v>28</v>
      </c>
      <c r="AD257" s="25" t="s">
        <v>29</v>
      </c>
      <c r="AE257" s="25" t="s">
        <v>854</v>
      </c>
      <c r="AF257" s="1044" t="s">
        <v>30</v>
      </c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</row>
    <row r="258" spans="1:157" ht="18" customHeight="1" x14ac:dyDescent="0.25">
      <c r="A258" s="7" t="s">
        <v>220</v>
      </c>
      <c r="B258" s="127"/>
      <c r="C258" s="29"/>
      <c r="D258" s="30"/>
      <c r="E258" s="31"/>
      <c r="F258" s="32"/>
      <c r="G258" s="32"/>
      <c r="H258" s="32"/>
      <c r="I258" s="66"/>
      <c r="J258" s="66"/>
      <c r="K258" s="53"/>
      <c r="L258" s="34"/>
      <c r="M258" s="35"/>
      <c r="N258" s="36"/>
      <c r="O258" s="37"/>
      <c r="P258" s="37"/>
      <c r="Q258" s="33"/>
      <c r="R258" s="33"/>
      <c r="S258" s="35"/>
      <c r="T258" s="128"/>
      <c r="U258" s="40"/>
      <c r="V258" s="39"/>
      <c r="W258" s="35"/>
      <c r="X258" s="42"/>
      <c r="Y258" s="43"/>
      <c r="Z258" s="129"/>
      <c r="AA258" s="40"/>
      <c r="AB258" s="36"/>
      <c r="AC258" s="130"/>
      <c r="AD258" s="99"/>
      <c r="AE258" s="135"/>
      <c r="AF258" s="46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</row>
    <row r="259" spans="1:157" ht="18" customHeight="1" x14ac:dyDescent="0.25">
      <c r="A259" s="100">
        <f>A253+1</f>
        <v>233</v>
      </c>
      <c r="B259" s="366" t="s">
        <v>221</v>
      </c>
      <c r="C259" s="101">
        <f>IF(L259&gt;=401.41,401.41,IF(L259&lt;401.41,L259))</f>
        <v>401.41</v>
      </c>
      <c r="D259" s="30">
        <f>+L259-C259</f>
        <v>3.589999999999975</v>
      </c>
      <c r="E259" s="31">
        <f t="shared" ref="E259:E288" si="289">+C259/13.3803</f>
        <v>30.000074736739837</v>
      </c>
      <c r="F259" s="32">
        <f>+'MADERA VERDE'!K2</f>
        <v>225</v>
      </c>
      <c r="G259" s="32">
        <v>0</v>
      </c>
      <c r="H259" s="131">
        <f>+'MADERA VERDE'!T2</f>
        <v>180</v>
      </c>
      <c r="I259" s="32">
        <v>0</v>
      </c>
      <c r="J259" s="32"/>
      <c r="K259" s="33"/>
      <c r="L259" s="34">
        <f>+F259+G259+H259+I259+K259+J259</f>
        <v>405</v>
      </c>
      <c r="M259" s="35">
        <f t="shared" ref="M259:M288" si="290">IF(L259&gt;=401.41,37.933,IF(L259&lt;401.41,L259*9.45%))</f>
        <v>37.933</v>
      </c>
      <c r="N259" s="36">
        <f t="shared" ref="N259:N288" si="291">+L259-M259</f>
        <v>367.06700000000001</v>
      </c>
      <c r="O259" s="37">
        <f t="shared" ref="O259:O288" si="292">IF(E259&gt;=30,33.45,IF(E259&lt;30,E259*1.115))</f>
        <v>33.450000000000003</v>
      </c>
      <c r="P259" s="37">
        <f t="shared" ref="P259:P288" si="293">IF(E259&gt;=30,33.33,IF(E259&lt;30,E259*1.111))</f>
        <v>33.33</v>
      </c>
      <c r="Q259" s="33">
        <f t="shared" ref="Q259:Q288" si="294">+O259+P259</f>
        <v>66.78</v>
      </c>
      <c r="R259" s="38">
        <f t="shared" ref="R259:R262" si="295">33.45/30*E259</f>
        <v>33.450083331464917</v>
      </c>
      <c r="S259" s="132"/>
      <c r="T259" s="35"/>
      <c r="U259" s="40">
        <f>N259+Q259+R259+S259+T259</f>
        <v>467.29708333146488</v>
      </c>
      <c r="V259" s="39"/>
      <c r="W259" s="35"/>
      <c r="X259" s="42"/>
      <c r="Y259" s="43"/>
      <c r="Z259" s="133"/>
      <c r="AA259" s="40">
        <f>+W259+V259+X259+Y259+Z259</f>
        <v>0</v>
      </c>
      <c r="AB259" s="36">
        <f>+U259-AA259</f>
        <v>467.29708333146488</v>
      </c>
      <c r="AC259" s="130"/>
      <c r="AD259" s="99"/>
      <c r="AE259" s="135"/>
      <c r="AF259" s="46">
        <f>+AB259-AC259-AD259-AE259</f>
        <v>467.29708333146488</v>
      </c>
    </row>
    <row r="260" spans="1:157" ht="18" customHeight="1" x14ac:dyDescent="0.25">
      <c r="A260" s="100">
        <f>A259+1</f>
        <v>234</v>
      </c>
      <c r="B260" s="366" t="s">
        <v>352</v>
      </c>
      <c r="C260" s="101">
        <f>IF(L260&gt;=401.41,401.41,IF(L260&lt;401.41,L260))</f>
        <v>330</v>
      </c>
      <c r="D260" s="30">
        <f>+L260-C260</f>
        <v>0</v>
      </c>
      <c r="E260" s="31">
        <f t="shared" si="289"/>
        <v>24.663124145198537</v>
      </c>
      <c r="F260" s="32">
        <f>+'MADERA VERDE'!K3</f>
        <v>165</v>
      </c>
      <c r="G260" s="32">
        <v>0</v>
      </c>
      <c r="H260" s="131">
        <f>+'MADERA VERDE'!T3</f>
        <v>165</v>
      </c>
      <c r="I260" s="32">
        <v>0</v>
      </c>
      <c r="J260" s="32"/>
      <c r="K260" s="33"/>
      <c r="L260" s="34">
        <f>+F260+G260+H260+I260+K260+J260</f>
        <v>330</v>
      </c>
      <c r="M260" s="35">
        <f t="shared" si="290"/>
        <v>31.184999999999995</v>
      </c>
      <c r="N260" s="36">
        <f t="shared" si="291"/>
        <v>298.815</v>
      </c>
      <c r="O260" s="37">
        <f t="shared" si="292"/>
        <v>27.499383421896368</v>
      </c>
      <c r="P260" s="37">
        <f t="shared" si="293"/>
        <v>27.400730925315575</v>
      </c>
      <c r="Q260" s="33">
        <f t="shared" si="294"/>
        <v>54.90011434721194</v>
      </c>
      <c r="R260" s="38">
        <f t="shared" si="295"/>
        <v>27.499383421896368</v>
      </c>
      <c r="S260" s="132"/>
      <c r="T260" s="128"/>
      <c r="U260" s="40">
        <f>N260+Q260+R260+S260+T260</f>
        <v>381.21449776910833</v>
      </c>
      <c r="V260" s="39"/>
      <c r="W260" s="35"/>
      <c r="X260" s="42"/>
      <c r="Y260" s="43"/>
      <c r="Z260" s="136"/>
      <c r="AA260" s="40">
        <f t="shared" ref="AA260:AA288" si="296">+W260+V260+X260+Y260+Z260</f>
        <v>0</v>
      </c>
      <c r="AB260" s="36">
        <f>+U260-AA260</f>
        <v>381.21449776910833</v>
      </c>
      <c r="AC260" s="130"/>
      <c r="AD260" s="64"/>
      <c r="AE260" s="135"/>
      <c r="AF260" s="46">
        <f t="shared" ref="AF260:AF288" si="297">+AB260-AC260-AD260-AE260</f>
        <v>381.21449776910833</v>
      </c>
    </row>
    <row r="261" spans="1:157" ht="18" customHeight="1" x14ac:dyDescent="0.25">
      <c r="A261" s="100">
        <f t="shared" ref="A261:A269" si="298">A260+1</f>
        <v>235</v>
      </c>
      <c r="B261" s="366" t="s">
        <v>353</v>
      </c>
      <c r="C261" s="101">
        <f t="shared" ref="C261:C288" si="299">IF(L261&gt;=401.41,401.41,IF(L261&lt;401.41,L261))</f>
        <v>270</v>
      </c>
      <c r="D261" s="30">
        <f t="shared" ref="D261:D288" si="300">+L261-C261</f>
        <v>0</v>
      </c>
      <c r="E261" s="31">
        <f t="shared" si="289"/>
        <v>20.17891975516244</v>
      </c>
      <c r="F261" s="32">
        <f>+'MADERA VERDE'!K4</f>
        <v>150</v>
      </c>
      <c r="G261" s="32">
        <v>0</v>
      </c>
      <c r="H261" s="131">
        <f>+'MADERA VERDE'!T4</f>
        <v>120</v>
      </c>
      <c r="I261" s="32">
        <v>0</v>
      </c>
      <c r="J261" s="32"/>
      <c r="K261" s="33"/>
      <c r="L261" s="34">
        <f t="shared" ref="L261:L281" si="301">+F261+G261+H261+I261+K261+J261</f>
        <v>270</v>
      </c>
      <c r="M261" s="35">
        <f t="shared" si="290"/>
        <v>25.514999999999997</v>
      </c>
      <c r="N261" s="36">
        <f t="shared" si="291"/>
        <v>244.48500000000001</v>
      </c>
      <c r="O261" s="37">
        <f t="shared" ref="O261" si="302">IF(E261&gt;=30,33.45,IF(E261&lt;30,E261*1.115))</f>
        <v>22.499495527006122</v>
      </c>
      <c r="P261" s="37">
        <f t="shared" ref="P261" si="303">IF(E261&gt;=30,33.33,IF(E261&lt;30,E261*1.111))</f>
        <v>22.418779847985469</v>
      </c>
      <c r="Q261" s="33">
        <f>+O261+P261</f>
        <v>44.918275374991595</v>
      </c>
      <c r="R261" s="38">
        <f t="shared" si="295"/>
        <v>22.499495527006122</v>
      </c>
      <c r="S261" s="132"/>
      <c r="T261" s="128"/>
      <c r="U261" s="40">
        <f t="shared" ref="U261:U288" si="304">N261+Q261+R261+S261+T261</f>
        <v>311.90277090199771</v>
      </c>
      <c r="V261" s="39"/>
      <c r="W261" s="35"/>
      <c r="X261" s="42"/>
      <c r="Y261" s="43"/>
      <c r="Z261" s="133"/>
      <c r="AA261" s="40">
        <f t="shared" si="296"/>
        <v>0</v>
      </c>
      <c r="AB261" s="36">
        <f t="shared" ref="AB261:AB288" si="305">+U261-AA261</f>
        <v>311.90277090199771</v>
      </c>
      <c r="AC261" s="130"/>
      <c r="AD261" s="64"/>
      <c r="AE261" s="135"/>
      <c r="AF261" s="46">
        <f t="shared" si="297"/>
        <v>311.90277090199771</v>
      </c>
    </row>
    <row r="262" spans="1:157" ht="18" customHeight="1" x14ac:dyDescent="0.25">
      <c r="A262" s="100">
        <f t="shared" si="298"/>
        <v>236</v>
      </c>
      <c r="B262" s="366" t="s">
        <v>354</v>
      </c>
      <c r="C262" s="101">
        <f t="shared" si="299"/>
        <v>360</v>
      </c>
      <c r="D262" s="30">
        <f t="shared" si="300"/>
        <v>0</v>
      </c>
      <c r="E262" s="31">
        <f t="shared" si="289"/>
        <v>26.905226340216586</v>
      </c>
      <c r="F262" s="32">
        <f>+'MADERA VERDE'!K5</f>
        <v>210</v>
      </c>
      <c r="G262" s="32">
        <v>0</v>
      </c>
      <c r="H262" s="131">
        <f>+'MADERA VERDE'!T5</f>
        <v>150</v>
      </c>
      <c r="I262" s="32">
        <v>0</v>
      </c>
      <c r="J262" s="32"/>
      <c r="K262" s="33"/>
      <c r="L262" s="34">
        <f t="shared" si="301"/>
        <v>360</v>
      </c>
      <c r="M262" s="35">
        <f t="shared" si="290"/>
        <v>34.019999999999996</v>
      </c>
      <c r="N262" s="36">
        <f t="shared" si="291"/>
        <v>325.98</v>
      </c>
      <c r="O262" s="37">
        <f>IF(E262&gt;=30,33.45,IF(E262&lt;30,E262*1.115))</f>
        <v>29.999327369341493</v>
      </c>
      <c r="P262" s="37">
        <f>IF(E262&gt;=30,33.33,IF(E262&lt;30,E262*1.111))</f>
        <v>29.891706463980626</v>
      </c>
      <c r="Q262" s="33">
        <f>+O262+P262</f>
        <v>59.891033833322119</v>
      </c>
      <c r="R262" s="38">
        <f t="shared" si="295"/>
        <v>29.999327369341493</v>
      </c>
      <c r="S262" s="132"/>
      <c r="T262" s="128"/>
      <c r="U262" s="40">
        <f t="shared" si="304"/>
        <v>415.87036120266362</v>
      </c>
      <c r="V262" s="39"/>
      <c r="W262" s="35"/>
      <c r="X262" s="42"/>
      <c r="Y262" s="43"/>
      <c r="Z262" s="137"/>
      <c r="AA262" s="40">
        <f t="shared" si="296"/>
        <v>0</v>
      </c>
      <c r="AB262" s="36">
        <f t="shared" si="305"/>
        <v>415.87036120266362</v>
      </c>
      <c r="AC262" s="130"/>
      <c r="AD262" s="64"/>
      <c r="AE262" s="135"/>
      <c r="AF262" s="46">
        <f t="shared" si="297"/>
        <v>415.87036120266362</v>
      </c>
    </row>
    <row r="263" spans="1:157" ht="18" customHeight="1" x14ac:dyDescent="0.25">
      <c r="A263" s="100">
        <f>A262+1</f>
        <v>237</v>
      </c>
      <c r="B263" s="366" t="s">
        <v>229</v>
      </c>
      <c r="C263" s="101">
        <f t="shared" si="299"/>
        <v>401.41</v>
      </c>
      <c r="D263" s="30">
        <f t="shared" si="300"/>
        <v>3.589999999999975</v>
      </c>
      <c r="E263" s="31">
        <f t="shared" si="289"/>
        <v>30.000074736739837</v>
      </c>
      <c r="F263" s="32">
        <f>+'MADERA VERDE'!K6</f>
        <v>225</v>
      </c>
      <c r="G263" s="32">
        <v>0</v>
      </c>
      <c r="H263" s="131">
        <f>+'MADERA VERDE'!T6</f>
        <v>180</v>
      </c>
      <c r="I263" s="32">
        <v>0</v>
      </c>
      <c r="J263" s="32"/>
      <c r="K263" s="33"/>
      <c r="L263" s="34">
        <f t="shared" si="301"/>
        <v>405</v>
      </c>
      <c r="M263" s="35">
        <f t="shared" si="290"/>
        <v>37.933</v>
      </c>
      <c r="N263" s="36">
        <f t="shared" si="291"/>
        <v>367.06700000000001</v>
      </c>
      <c r="O263" s="37">
        <f t="shared" si="292"/>
        <v>33.450000000000003</v>
      </c>
      <c r="P263" s="37">
        <f t="shared" si="293"/>
        <v>33.33</v>
      </c>
      <c r="Q263" s="33">
        <f t="shared" si="294"/>
        <v>66.78</v>
      </c>
      <c r="R263" s="38">
        <f>33.45/30*E263</f>
        <v>33.450083331464917</v>
      </c>
      <c r="S263" s="132"/>
      <c r="T263" s="128"/>
      <c r="U263" s="40">
        <f t="shared" si="304"/>
        <v>467.29708333146488</v>
      </c>
      <c r="V263" s="39"/>
      <c r="W263" s="35"/>
      <c r="X263" s="42"/>
      <c r="Y263" s="43"/>
      <c r="Z263" s="129"/>
      <c r="AA263" s="40">
        <f t="shared" si="296"/>
        <v>0</v>
      </c>
      <c r="AB263" s="36">
        <f t="shared" si="305"/>
        <v>467.29708333146488</v>
      </c>
      <c r="AC263" s="130"/>
      <c r="AD263" s="64"/>
      <c r="AE263" s="135"/>
      <c r="AF263" s="46">
        <f t="shared" si="297"/>
        <v>467.29708333146488</v>
      </c>
    </row>
    <row r="264" spans="1:157" ht="18" customHeight="1" x14ac:dyDescent="0.25">
      <c r="A264" s="100">
        <f t="shared" si="298"/>
        <v>238</v>
      </c>
      <c r="B264" s="366" t="s">
        <v>232</v>
      </c>
      <c r="C264" s="101">
        <f t="shared" si="299"/>
        <v>300</v>
      </c>
      <c r="D264" s="30">
        <f t="shared" si="300"/>
        <v>0</v>
      </c>
      <c r="E264" s="31">
        <f t="shared" si="289"/>
        <v>22.421021950180489</v>
      </c>
      <c r="F264" s="32">
        <f>+'MADERA VERDE'!K7</f>
        <v>195</v>
      </c>
      <c r="G264" s="32">
        <v>0</v>
      </c>
      <c r="H264" s="131">
        <f>+'MADERA VERDE'!T7</f>
        <v>105</v>
      </c>
      <c r="I264" s="32">
        <v>0</v>
      </c>
      <c r="J264" s="32"/>
      <c r="K264" s="33"/>
      <c r="L264" s="34">
        <f t="shared" si="301"/>
        <v>300</v>
      </c>
      <c r="M264" s="35">
        <f t="shared" si="290"/>
        <v>28.349999999999994</v>
      </c>
      <c r="N264" s="36">
        <f t="shared" si="291"/>
        <v>271.64999999999998</v>
      </c>
      <c r="O264" s="37">
        <f t="shared" si="292"/>
        <v>24.999439474451243</v>
      </c>
      <c r="P264" s="37">
        <f t="shared" si="293"/>
        <v>24.909755386650524</v>
      </c>
      <c r="Q264" s="33">
        <f t="shared" si="294"/>
        <v>49.909194861101767</v>
      </c>
      <c r="R264" s="38"/>
      <c r="S264" s="132"/>
      <c r="T264" s="128"/>
      <c r="U264" s="40">
        <f t="shared" si="304"/>
        <v>321.55919486110173</v>
      </c>
      <c r="V264" s="39"/>
      <c r="W264" s="35"/>
      <c r="X264" s="42"/>
      <c r="Y264" s="43"/>
      <c r="Z264" s="139"/>
      <c r="AA264" s="40">
        <f t="shared" si="296"/>
        <v>0</v>
      </c>
      <c r="AB264" s="36">
        <f t="shared" si="305"/>
        <v>321.55919486110173</v>
      </c>
      <c r="AC264" s="130"/>
      <c r="AD264" s="64"/>
      <c r="AE264" s="135"/>
      <c r="AF264" s="46">
        <f t="shared" si="297"/>
        <v>321.55919486110173</v>
      </c>
    </row>
    <row r="265" spans="1:157" ht="18" customHeight="1" x14ac:dyDescent="0.25">
      <c r="A265" s="100">
        <f t="shared" si="298"/>
        <v>239</v>
      </c>
      <c r="B265" s="366" t="s">
        <v>234</v>
      </c>
      <c r="C265" s="101">
        <f t="shared" si="299"/>
        <v>328.38</v>
      </c>
      <c r="D265" s="30">
        <f t="shared" si="300"/>
        <v>0</v>
      </c>
      <c r="E265" s="31">
        <f t="shared" si="289"/>
        <v>24.542050626667564</v>
      </c>
      <c r="F265" s="32">
        <f>+'MADERA VERDE'!K8</f>
        <v>195</v>
      </c>
      <c r="G265" s="32">
        <v>0</v>
      </c>
      <c r="H265" s="131">
        <f>+'MADERA VERDE'!T8</f>
        <v>120</v>
      </c>
      <c r="I265" s="32">
        <v>0</v>
      </c>
      <c r="J265" s="32">
        <f>13.38*2*50%</f>
        <v>13.38</v>
      </c>
      <c r="K265" s="33"/>
      <c r="L265" s="34">
        <f t="shared" si="301"/>
        <v>328.38</v>
      </c>
      <c r="M265" s="35">
        <f t="shared" si="290"/>
        <v>31.031909999999996</v>
      </c>
      <c r="N265" s="36">
        <f t="shared" si="291"/>
        <v>297.34809000000001</v>
      </c>
      <c r="O265" s="37">
        <f t="shared" si="292"/>
        <v>27.364386448734333</v>
      </c>
      <c r="P265" s="37">
        <f t="shared" si="293"/>
        <v>27.266218246227663</v>
      </c>
      <c r="Q265" s="33">
        <f t="shared" si="294"/>
        <v>54.630604694961995</v>
      </c>
      <c r="R265" s="33"/>
      <c r="S265" s="132"/>
      <c r="T265" s="128"/>
      <c r="U265" s="40">
        <f t="shared" si="304"/>
        <v>351.97869469496203</v>
      </c>
      <c r="V265" s="39"/>
      <c r="W265" s="35"/>
      <c r="X265" s="42"/>
      <c r="Y265" s="43"/>
      <c r="Z265" s="129"/>
      <c r="AA265" s="40">
        <f t="shared" si="296"/>
        <v>0</v>
      </c>
      <c r="AB265" s="36">
        <f t="shared" si="305"/>
        <v>351.97869469496203</v>
      </c>
      <c r="AC265" s="130"/>
      <c r="AD265" s="64"/>
      <c r="AE265" s="135"/>
      <c r="AF265" s="46">
        <f t="shared" si="297"/>
        <v>351.97869469496203</v>
      </c>
    </row>
    <row r="266" spans="1:157" ht="18" customHeight="1" x14ac:dyDescent="0.25">
      <c r="A266" s="100">
        <f t="shared" si="298"/>
        <v>240</v>
      </c>
      <c r="B266" s="366" t="s">
        <v>235</v>
      </c>
      <c r="C266" s="101">
        <f t="shared" si="299"/>
        <v>375</v>
      </c>
      <c r="D266" s="30">
        <f t="shared" si="300"/>
        <v>0</v>
      </c>
      <c r="E266" s="31">
        <f t="shared" si="289"/>
        <v>28.026277437725611</v>
      </c>
      <c r="F266" s="32">
        <f>+'MADERA VERDE'!K9</f>
        <v>225</v>
      </c>
      <c r="G266" s="32">
        <v>0</v>
      </c>
      <c r="H266" s="131">
        <f>+'MADERA VERDE'!T9</f>
        <v>150</v>
      </c>
      <c r="I266" s="32">
        <v>0</v>
      </c>
      <c r="J266" s="32"/>
      <c r="K266" s="33"/>
      <c r="L266" s="34">
        <f t="shared" si="301"/>
        <v>375</v>
      </c>
      <c r="M266" s="35">
        <f t="shared" si="290"/>
        <v>35.437499999999993</v>
      </c>
      <c r="N266" s="36">
        <f t="shared" si="291"/>
        <v>339.5625</v>
      </c>
      <c r="O266" s="37">
        <f t="shared" si="292"/>
        <v>31.249299343064056</v>
      </c>
      <c r="P266" s="37">
        <f t="shared" si="293"/>
        <v>31.137194233313153</v>
      </c>
      <c r="Q266" s="33">
        <f t="shared" si="294"/>
        <v>62.386493576377205</v>
      </c>
      <c r="R266" s="38"/>
      <c r="S266" s="132"/>
      <c r="T266" s="128"/>
      <c r="U266" s="40">
        <f t="shared" si="304"/>
        <v>401.94899357637723</v>
      </c>
      <c r="V266" s="39"/>
      <c r="W266" s="35"/>
      <c r="X266" s="42"/>
      <c r="Y266" s="43"/>
      <c r="Z266" s="129"/>
      <c r="AA266" s="40">
        <f t="shared" si="296"/>
        <v>0</v>
      </c>
      <c r="AB266" s="36">
        <f t="shared" si="305"/>
        <v>401.94899357637723</v>
      </c>
      <c r="AC266" s="130"/>
      <c r="AD266" s="64"/>
      <c r="AE266" s="135"/>
      <c r="AF266" s="46">
        <f t="shared" si="297"/>
        <v>401.94899357637723</v>
      </c>
    </row>
    <row r="267" spans="1:157" ht="18" customHeight="1" x14ac:dyDescent="0.25">
      <c r="A267" s="100">
        <f t="shared" si="298"/>
        <v>241</v>
      </c>
      <c r="B267" s="366" t="s">
        <v>361</v>
      </c>
      <c r="C267" s="101">
        <f t="shared" si="299"/>
        <v>366.69</v>
      </c>
      <c r="D267" s="30">
        <f t="shared" si="300"/>
        <v>0</v>
      </c>
      <c r="E267" s="31">
        <f t="shared" si="289"/>
        <v>27.40521512970561</v>
      </c>
      <c r="F267" s="32">
        <f>+'MADERA VERDE'!K10</f>
        <v>210</v>
      </c>
      <c r="G267" s="32">
        <v>0</v>
      </c>
      <c r="H267" s="131">
        <f>+'MADERA VERDE'!T10</f>
        <v>150</v>
      </c>
      <c r="I267" s="32">
        <v>0</v>
      </c>
      <c r="J267" s="32">
        <f>13.38*1*50%</f>
        <v>6.69</v>
      </c>
      <c r="K267" s="33"/>
      <c r="L267" s="34">
        <f t="shared" si="301"/>
        <v>366.69</v>
      </c>
      <c r="M267" s="35">
        <f t="shared" si="290"/>
        <v>34.652204999999995</v>
      </c>
      <c r="N267" s="36">
        <f t="shared" si="291"/>
        <v>332.03779500000002</v>
      </c>
      <c r="O267" s="37">
        <f t="shared" si="292"/>
        <v>30.556814869621753</v>
      </c>
      <c r="P267" s="37">
        <f t="shared" si="293"/>
        <v>30.447194009102933</v>
      </c>
      <c r="Q267" s="33">
        <f t="shared" si="294"/>
        <v>61.00400887872469</v>
      </c>
      <c r="R267" s="38">
        <f>33.45/30*E267</f>
        <v>30.556814869621753</v>
      </c>
      <c r="S267" s="132"/>
      <c r="T267" s="128"/>
      <c r="U267" s="40">
        <f t="shared" si="304"/>
        <v>423.59861874834644</v>
      </c>
      <c r="V267" s="39"/>
      <c r="W267" s="35"/>
      <c r="X267" s="42"/>
      <c r="Y267" s="43"/>
      <c r="Z267" s="134"/>
      <c r="AA267" s="40">
        <f t="shared" si="296"/>
        <v>0</v>
      </c>
      <c r="AB267" s="36">
        <f t="shared" si="305"/>
        <v>423.59861874834644</v>
      </c>
      <c r="AC267" s="130"/>
      <c r="AD267" s="64"/>
      <c r="AE267" s="135"/>
      <c r="AF267" s="46">
        <f t="shared" si="297"/>
        <v>423.59861874834644</v>
      </c>
    </row>
    <row r="268" spans="1:157" ht="18" customHeight="1" x14ac:dyDescent="0.25">
      <c r="A268" s="100">
        <f t="shared" si="298"/>
        <v>242</v>
      </c>
      <c r="B268" s="366" t="s">
        <v>362</v>
      </c>
      <c r="C268" s="101">
        <f t="shared" si="299"/>
        <v>360</v>
      </c>
      <c r="D268" s="30">
        <f t="shared" si="300"/>
        <v>0</v>
      </c>
      <c r="E268" s="31">
        <f t="shared" si="289"/>
        <v>26.905226340216586</v>
      </c>
      <c r="F268" s="32">
        <f>+'MADERA VERDE'!K11</f>
        <v>210</v>
      </c>
      <c r="G268" s="32">
        <v>0</v>
      </c>
      <c r="H268" s="131">
        <f>+'MADERA VERDE'!T11</f>
        <v>150</v>
      </c>
      <c r="I268" s="32">
        <v>0</v>
      </c>
      <c r="J268" s="32"/>
      <c r="K268" s="33"/>
      <c r="L268" s="34">
        <f t="shared" si="301"/>
        <v>360</v>
      </c>
      <c r="M268" s="35">
        <f t="shared" si="290"/>
        <v>34.019999999999996</v>
      </c>
      <c r="N268" s="36">
        <f t="shared" si="291"/>
        <v>325.98</v>
      </c>
      <c r="O268" s="37">
        <f t="shared" si="292"/>
        <v>29.999327369341493</v>
      </c>
      <c r="P268" s="37">
        <f t="shared" si="293"/>
        <v>29.891706463980626</v>
      </c>
      <c r="Q268" s="33">
        <f t="shared" si="294"/>
        <v>59.891033833322119</v>
      </c>
      <c r="R268" s="38"/>
      <c r="S268" s="132"/>
      <c r="T268" s="128"/>
      <c r="U268" s="40">
        <f t="shared" si="304"/>
        <v>385.87103383332214</v>
      </c>
      <c r="V268" s="39"/>
      <c r="W268" s="35"/>
      <c r="X268" s="42"/>
      <c r="Y268" s="43"/>
      <c r="Z268" s="138"/>
      <c r="AA268" s="40">
        <f t="shared" si="296"/>
        <v>0</v>
      </c>
      <c r="AB268" s="36">
        <f t="shared" si="305"/>
        <v>385.87103383332214</v>
      </c>
      <c r="AC268" s="130"/>
      <c r="AD268" s="64"/>
      <c r="AE268" s="135"/>
      <c r="AF268" s="46">
        <f t="shared" si="297"/>
        <v>385.87103383332214</v>
      </c>
    </row>
    <row r="269" spans="1:157" ht="18" customHeight="1" x14ac:dyDescent="0.25">
      <c r="A269" s="100">
        <f t="shared" si="298"/>
        <v>243</v>
      </c>
      <c r="B269" s="366" t="s">
        <v>238</v>
      </c>
      <c r="C269" s="101">
        <f t="shared" si="299"/>
        <v>401.41</v>
      </c>
      <c r="D269" s="30">
        <f t="shared" si="300"/>
        <v>18.589999999999975</v>
      </c>
      <c r="E269" s="31">
        <f t="shared" si="289"/>
        <v>30.000074736739837</v>
      </c>
      <c r="F269" s="32">
        <f>+'MADERA VERDE'!K12</f>
        <v>210</v>
      </c>
      <c r="G269" s="32">
        <v>0</v>
      </c>
      <c r="H269" s="131">
        <f>+'MADERA VERDE'!T12</f>
        <v>210</v>
      </c>
      <c r="I269" s="32">
        <v>0</v>
      </c>
      <c r="J269" s="32"/>
      <c r="K269" s="33"/>
      <c r="L269" s="34">
        <f t="shared" si="301"/>
        <v>420</v>
      </c>
      <c r="M269" s="35">
        <f t="shared" si="290"/>
        <v>37.933</v>
      </c>
      <c r="N269" s="36">
        <f t="shared" si="291"/>
        <v>382.06700000000001</v>
      </c>
      <c r="O269" s="270"/>
      <c r="P269" s="270"/>
      <c r="Q269" s="33">
        <f t="shared" si="294"/>
        <v>0</v>
      </c>
      <c r="R269" s="38"/>
      <c r="S269" s="132"/>
      <c r="T269" s="128"/>
      <c r="U269" s="40">
        <f t="shared" si="304"/>
        <v>382.06700000000001</v>
      </c>
      <c r="V269" s="39"/>
      <c r="W269" s="35"/>
      <c r="X269" s="42"/>
      <c r="Y269" s="43"/>
      <c r="Z269" s="139"/>
      <c r="AA269" s="40">
        <f t="shared" si="296"/>
        <v>0</v>
      </c>
      <c r="AB269" s="36">
        <f t="shared" si="305"/>
        <v>382.06700000000001</v>
      </c>
      <c r="AC269" s="130"/>
      <c r="AD269" s="64"/>
      <c r="AE269" s="135"/>
      <c r="AF269" s="46">
        <f t="shared" si="297"/>
        <v>382.06700000000001</v>
      </c>
    </row>
    <row r="270" spans="1:157" ht="18" customHeight="1" x14ac:dyDescent="0.25">
      <c r="A270" s="1320" t="s">
        <v>477</v>
      </c>
      <c r="B270" s="1321"/>
      <c r="C270" s="101"/>
      <c r="D270" s="30"/>
      <c r="E270" s="31"/>
      <c r="F270" s="32"/>
      <c r="G270" s="32"/>
      <c r="H270" s="131"/>
      <c r="I270" s="32"/>
      <c r="J270" s="32"/>
      <c r="K270" s="33"/>
      <c r="L270" s="34"/>
      <c r="M270" s="35"/>
      <c r="N270" s="36"/>
      <c r="O270" s="37"/>
      <c r="P270" s="37"/>
      <c r="Q270" s="33"/>
      <c r="R270" s="38"/>
      <c r="S270" s="132"/>
      <c r="T270" s="35"/>
      <c r="U270" s="40"/>
      <c r="V270" s="39"/>
      <c r="W270" s="35"/>
      <c r="X270" s="42"/>
      <c r="Y270" s="43"/>
      <c r="Z270" s="138"/>
      <c r="AA270" s="40"/>
      <c r="AB270" s="36"/>
      <c r="AC270" s="130"/>
      <c r="AD270" s="64"/>
      <c r="AE270" s="135"/>
      <c r="AF270" s="46"/>
    </row>
    <row r="271" spans="1:157" ht="18" customHeight="1" x14ac:dyDescent="0.25">
      <c r="A271" s="100">
        <f>A269+1</f>
        <v>244</v>
      </c>
      <c r="B271" s="366" t="s">
        <v>478</v>
      </c>
      <c r="C271" s="101">
        <f t="shared" si="299"/>
        <v>295.7</v>
      </c>
      <c r="D271" s="30">
        <f t="shared" si="300"/>
        <v>0</v>
      </c>
      <c r="E271" s="31">
        <f t="shared" si="289"/>
        <v>22.099653968894568</v>
      </c>
      <c r="F271" s="32">
        <f>+'MADERA VERDE'!K13</f>
        <v>190.7</v>
      </c>
      <c r="G271" s="32">
        <v>0</v>
      </c>
      <c r="H271" s="131">
        <f>+'MADERA VERDE'!T13</f>
        <v>105</v>
      </c>
      <c r="I271" s="32">
        <v>0</v>
      </c>
      <c r="J271" s="32"/>
      <c r="K271" s="33"/>
      <c r="L271" s="34">
        <f t="shared" si="301"/>
        <v>295.7</v>
      </c>
      <c r="M271" s="35">
        <f t="shared" si="290"/>
        <v>27.943649999999995</v>
      </c>
      <c r="N271" s="36">
        <f t="shared" si="291"/>
        <v>267.75635</v>
      </c>
      <c r="O271" s="37">
        <f t="shared" si="292"/>
        <v>24.641114175317444</v>
      </c>
      <c r="P271" s="37">
        <f t="shared" si="293"/>
        <v>24.552715559441864</v>
      </c>
      <c r="Q271" s="33">
        <f t="shared" si="294"/>
        <v>49.193829734759305</v>
      </c>
      <c r="R271" s="38">
        <f t="shared" ref="R271:R279" si="306">33.45/30*E271</f>
        <v>24.641114175317444</v>
      </c>
      <c r="S271" s="132"/>
      <c r="T271" s="128"/>
      <c r="U271" s="40">
        <f t="shared" si="304"/>
        <v>341.59129391007679</v>
      </c>
      <c r="V271" s="39">
        <v>341.59129391007679</v>
      </c>
      <c r="W271" s="35"/>
      <c r="X271" s="42"/>
      <c r="Y271" s="43"/>
      <c r="Z271" s="129"/>
      <c r="AA271" s="40">
        <f t="shared" si="296"/>
        <v>341.59129391007679</v>
      </c>
      <c r="AB271" s="36">
        <f t="shared" si="305"/>
        <v>0</v>
      </c>
      <c r="AC271" s="130"/>
      <c r="AD271" s="64"/>
      <c r="AE271" s="135"/>
      <c r="AF271" s="46">
        <f t="shared" si="297"/>
        <v>0</v>
      </c>
    </row>
    <row r="272" spans="1:157" ht="18" customHeight="1" x14ac:dyDescent="0.25">
      <c r="A272" s="100">
        <f>A271+1</f>
        <v>245</v>
      </c>
      <c r="B272" s="366" t="s">
        <v>223</v>
      </c>
      <c r="C272" s="101">
        <f t="shared" si="299"/>
        <v>285</v>
      </c>
      <c r="D272" s="30">
        <f t="shared" si="300"/>
        <v>0</v>
      </c>
      <c r="E272" s="31">
        <f t="shared" si="289"/>
        <v>21.299970852671464</v>
      </c>
      <c r="F272" s="32">
        <f>+'MADERA VERDE'!K14</f>
        <v>210</v>
      </c>
      <c r="G272" s="32">
        <v>0</v>
      </c>
      <c r="H272" s="131">
        <f>+'MADERA VERDE'!T14</f>
        <v>75</v>
      </c>
      <c r="I272" s="32">
        <v>0</v>
      </c>
      <c r="J272" s="32"/>
      <c r="K272" s="33"/>
      <c r="L272" s="34">
        <f t="shared" si="301"/>
        <v>285</v>
      </c>
      <c r="M272" s="35">
        <f t="shared" si="290"/>
        <v>26.932499999999997</v>
      </c>
      <c r="N272" s="36">
        <f t="shared" si="291"/>
        <v>258.0675</v>
      </c>
      <c r="O272" s="270"/>
      <c r="P272" s="270"/>
      <c r="Q272" s="33">
        <f t="shared" si="294"/>
        <v>0</v>
      </c>
      <c r="R272" s="38">
        <f t="shared" si="306"/>
        <v>23.749467500728681</v>
      </c>
      <c r="S272" s="132"/>
      <c r="T272" s="128"/>
      <c r="U272" s="40">
        <f t="shared" si="304"/>
        <v>281.81696750072865</v>
      </c>
      <c r="V272" s="39">
        <v>241.26696750072864</v>
      </c>
      <c r="W272" s="35"/>
      <c r="X272" s="42"/>
      <c r="Y272" s="43"/>
      <c r="Z272" s="129">
        <v>40.549999999999997</v>
      </c>
      <c r="AA272" s="40">
        <f t="shared" si="296"/>
        <v>281.81696750072865</v>
      </c>
      <c r="AB272" s="36">
        <f t="shared" si="305"/>
        <v>0</v>
      </c>
      <c r="AC272" s="130"/>
      <c r="AD272" s="64"/>
      <c r="AE272" s="135"/>
      <c r="AF272" s="46">
        <f t="shared" si="297"/>
        <v>0</v>
      </c>
    </row>
    <row r="273" spans="1:32" ht="18" customHeight="1" x14ac:dyDescent="0.25">
      <c r="A273" s="100">
        <f>A272+1</f>
        <v>246</v>
      </c>
      <c r="B273" s="366" t="s">
        <v>225</v>
      </c>
      <c r="C273" s="101">
        <f t="shared" si="299"/>
        <v>315</v>
      </c>
      <c r="D273" s="30">
        <f t="shared" si="300"/>
        <v>0</v>
      </c>
      <c r="E273" s="31">
        <f t="shared" si="289"/>
        <v>23.542073047689513</v>
      </c>
      <c r="F273" s="32">
        <f>+'MADERA VERDE'!K15</f>
        <v>210</v>
      </c>
      <c r="G273" s="32">
        <v>0</v>
      </c>
      <c r="H273" s="131">
        <f>+'MADERA VERDE'!T15</f>
        <v>105</v>
      </c>
      <c r="I273" s="32">
        <v>0</v>
      </c>
      <c r="J273" s="32"/>
      <c r="K273" s="33"/>
      <c r="L273" s="34">
        <f t="shared" si="301"/>
        <v>315</v>
      </c>
      <c r="M273" s="35">
        <f t="shared" si="290"/>
        <v>29.767499999999995</v>
      </c>
      <c r="N273" s="36">
        <f t="shared" si="291"/>
        <v>285.23250000000002</v>
      </c>
      <c r="O273" s="37">
        <f t="shared" si="292"/>
        <v>26.249411448173806</v>
      </c>
      <c r="P273" s="37">
        <f t="shared" si="293"/>
        <v>26.155243155983047</v>
      </c>
      <c r="Q273" s="33">
        <f t="shared" si="294"/>
        <v>52.404654604156853</v>
      </c>
      <c r="R273" s="38">
        <f t="shared" si="306"/>
        <v>26.249411448173806</v>
      </c>
      <c r="S273" s="132"/>
      <c r="T273" s="35"/>
      <c r="U273" s="40">
        <f t="shared" si="304"/>
        <v>363.88656605233069</v>
      </c>
      <c r="V273" s="39">
        <v>363.88656605233069</v>
      </c>
      <c r="W273" s="35"/>
      <c r="X273" s="42"/>
      <c r="Y273" s="43"/>
      <c r="Z273" s="138"/>
      <c r="AA273" s="40">
        <f t="shared" si="296"/>
        <v>363.88656605233069</v>
      </c>
      <c r="AB273" s="36">
        <f t="shared" si="305"/>
        <v>0</v>
      </c>
      <c r="AC273" s="130"/>
      <c r="AD273" s="64"/>
      <c r="AE273" s="135"/>
      <c r="AF273" s="46">
        <f t="shared" si="297"/>
        <v>0</v>
      </c>
    </row>
    <row r="274" spans="1:32" ht="18" customHeight="1" x14ac:dyDescent="0.25">
      <c r="A274" s="100">
        <f>A273+1</f>
        <v>247</v>
      </c>
      <c r="B274" s="366" t="s">
        <v>226</v>
      </c>
      <c r="C274" s="101">
        <f t="shared" si="299"/>
        <v>345</v>
      </c>
      <c r="D274" s="30">
        <f t="shared" si="300"/>
        <v>0</v>
      </c>
      <c r="E274" s="31">
        <f t="shared" si="289"/>
        <v>25.784175242707562</v>
      </c>
      <c r="F274" s="32">
        <f>+'MADERA VERDE'!K16</f>
        <v>210</v>
      </c>
      <c r="G274" s="32">
        <v>0</v>
      </c>
      <c r="H274" s="131">
        <f>+'MADERA VERDE'!T16</f>
        <v>135</v>
      </c>
      <c r="I274" s="32">
        <v>0</v>
      </c>
      <c r="J274" s="32"/>
      <c r="K274" s="33"/>
      <c r="L274" s="34">
        <f t="shared" si="301"/>
        <v>345</v>
      </c>
      <c r="M274" s="35">
        <f t="shared" si="290"/>
        <v>32.602499999999992</v>
      </c>
      <c r="N274" s="36">
        <f t="shared" si="291"/>
        <v>312.39750000000004</v>
      </c>
      <c r="O274" s="37">
        <f t="shared" si="292"/>
        <v>28.749355395618931</v>
      </c>
      <c r="P274" s="37">
        <f t="shared" si="293"/>
        <v>28.646218694648102</v>
      </c>
      <c r="Q274" s="33">
        <f t="shared" si="294"/>
        <v>57.395574090267033</v>
      </c>
      <c r="R274" s="38">
        <f t="shared" si="306"/>
        <v>28.749355395618931</v>
      </c>
      <c r="S274" s="132"/>
      <c r="T274" s="128"/>
      <c r="U274" s="40">
        <f t="shared" si="304"/>
        <v>398.54242948588598</v>
      </c>
      <c r="V274" s="39">
        <v>388.54242948588598</v>
      </c>
      <c r="W274" s="35"/>
      <c r="X274" s="42">
        <v>10</v>
      </c>
      <c r="Y274" s="43"/>
      <c r="Z274" s="129"/>
      <c r="AA274" s="40">
        <f t="shared" si="296"/>
        <v>398.54242948588598</v>
      </c>
      <c r="AB274" s="36">
        <f t="shared" si="305"/>
        <v>0</v>
      </c>
      <c r="AC274" s="130"/>
      <c r="AD274" s="64"/>
      <c r="AE274" s="135"/>
      <c r="AF274" s="46">
        <f t="shared" si="297"/>
        <v>0</v>
      </c>
    </row>
    <row r="275" spans="1:32" ht="18" customHeight="1" x14ac:dyDescent="0.25">
      <c r="A275" s="100">
        <f>A274+1</f>
        <v>248</v>
      </c>
      <c r="B275" s="366" t="s">
        <v>227</v>
      </c>
      <c r="C275" s="101">
        <f t="shared" si="299"/>
        <v>285</v>
      </c>
      <c r="D275" s="30">
        <f t="shared" si="300"/>
        <v>0</v>
      </c>
      <c r="E275" s="31">
        <f t="shared" si="289"/>
        <v>21.299970852671464</v>
      </c>
      <c r="F275" s="32">
        <f>+'MADERA VERDE'!K17</f>
        <v>180</v>
      </c>
      <c r="G275" s="32">
        <v>0</v>
      </c>
      <c r="H275" s="131">
        <f>+'MADERA VERDE'!T17</f>
        <v>105</v>
      </c>
      <c r="I275" s="32">
        <v>0</v>
      </c>
      <c r="J275" s="32"/>
      <c r="K275" s="33"/>
      <c r="L275" s="34">
        <f t="shared" si="301"/>
        <v>285</v>
      </c>
      <c r="M275" s="35">
        <f t="shared" si="290"/>
        <v>26.932499999999997</v>
      </c>
      <c r="N275" s="36">
        <f t="shared" si="291"/>
        <v>258.0675</v>
      </c>
      <c r="O275" s="37">
        <f t="shared" si="292"/>
        <v>23.749467500728681</v>
      </c>
      <c r="P275" s="37">
        <f t="shared" si="293"/>
        <v>23.664267617317996</v>
      </c>
      <c r="Q275" s="33">
        <f t="shared" si="294"/>
        <v>47.413735118046674</v>
      </c>
      <c r="R275" s="270"/>
      <c r="S275" s="132"/>
      <c r="T275" s="128"/>
      <c r="U275" s="40">
        <f t="shared" si="304"/>
        <v>305.4812351180467</v>
      </c>
      <c r="V275" s="39">
        <v>305.4812351180467</v>
      </c>
      <c r="W275" s="35"/>
      <c r="X275" s="42"/>
      <c r="Y275" s="43"/>
      <c r="Z275" s="139"/>
      <c r="AA275" s="40">
        <f t="shared" si="296"/>
        <v>305.4812351180467</v>
      </c>
      <c r="AB275" s="36">
        <f t="shared" si="305"/>
        <v>0</v>
      </c>
      <c r="AC275" s="130"/>
      <c r="AD275" s="64"/>
      <c r="AE275" s="135"/>
      <c r="AF275" s="46">
        <f t="shared" si="297"/>
        <v>0</v>
      </c>
    </row>
    <row r="276" spans="1:32" ht="18" customHeight="1" x14ac:dyDescent="0.25">
      <c r="A276" s="100">
        <f t="shared" ref="A276:A278" si="307">A275+1</f>
        <v>249</v>
      </c>
      <c r="B276" s="366" t="s">
        <v>228</v>
      </c>
      <c r="C276" s="101">
        <f t="shared" si="299"/>
        <v>360</v>
      </c>
      <c r="D276" s="30">
        <f t="shared" si="300"/>
        <v>0</v>
      </c>
      <c r="E276" s="31">
        <f t="shared" si="289"/>
        <v>26.905226340216586</v>
      </c>
      <c r="F276" s="32">
        <f>+'MADERA VERDE'!K18</f>
        <v>195</v>
      </c>
      <c r="G276" s="32">
        <v>0</v>
      </c>
      <c r="H276" s="131">
        <f>+'MADERA VERDE'!T18</f>
        <v>165</v>
      </c>
      <c r="I276" s="32">
        <v>0</v>
      </c>
      <c r="J276" s="32"/>
      <c r="K276" s="33"/>
      <c r="L276" s="34">
        <f t="shared" si="301"/>
        <v>360</v>
      </c>
      <c r="M276" s="35">
        <f t="shared" si="290"/>
        <v>34.019999999999996</v>
      </c>
      <c r="N276" s="36">
        <f t="shared" si="291"/>
        <v>325.98</v>
      </c>
      <c r="O276" s="37">
        <f t="shared" si="292"/>
        <v>29.999327369341493</v>
      </c>
      <c r="P276" s="37">
        <f t="shared" si="293"/>
        <v>29.891706463980626</v>
      </c>
      <c r="Q276" s="33">
        <f t="shared" si="294"/>
        <v>59.891033833322119</v>
      </c>
      <c r="R276" s="38">
        <f t="shared" si="306"/>
        <v>29.999327369341493</v>
      </c>
      <c r="S276" s="132"/>
      <c r="T276" s="128"/>
      <c r="U276" s="40">
        <f t="shared" si="304"/>
        <v>415.87036120266362</v>
      </c>
      <c r="V276" s="39">
        <v>415.87036120266362</v>
      </c>
      <c r="W276" s="35"/>
      <c r="X276" s="42"/>
      <c r="Y276" s="43"/>
      <c r="Z276" s="137"/>
      <c r="AA276" s="40">
        <f t="shared" si="296"/>
        <v>415.87036120266362</v>
      </c>
      <c r="AB276" s="36">
        <f t="shared" si="305"/>
        <v>0</v>
      </c>
      <c r="AC276" s="130"/>
      <c r="AD276" s="64"/>
      <c r="AE276" s="135"/>
      <c r="AF276" s="46">
        <f t="shared" si="297"/>
        <v>0</v>
      </c>
    </row>
    <row r="277" spans="1:32" ht="18" customHeight="1" x14ac:dyDescent="0.25">
      <c r="A277" s="100">
        <f t="shared" si="307"/>
        <v>250</v>
      </c>
      <c r="B277" s="366" t="s">
        <v>356</v>
      </c>
      <c r="C277" s="101">
        <f t="shared" si="299"/>
        <v>360</v>
      </c>
      <c r="D277" s="30">
        <f t="shared" si="300"/>
        <v>0</v>
      </c>
      <c r="E277" s="31">
        <f t="shared" si="289"/>
        <v>26.905226340216586</v>
      </c>
      <c r="F277" s="32">
        <f>+'MADERA VERDE'!K19</f>
        <v>210</v>
      </c>
      <c r="G277" s="32">
        <v>0</v>
      </c>
      <c r="H277" s="131">
        <f>+'MADERA VERDE'!T19</f>
        <v>150</v>
      </c>
      <c r="I277" s="32">
        <v>0</v>
      </c>
      <c r="J277" s="32"/>
      <c r="K277" s="33"/>
      <c r="L277" s="34">
        <f t="shared" si="301"/>
        <v>360</v>
      </c>
      <c r="M277" s="35">
        <f t="shared" si="290"/>
        <v>34.019999999999996</v>
      </c>
      <c r="N277" s="36">
        <f t="shared" si="291"/>
        <v>325.98</v>
      </c>
      <c r="O277" s="37">
        <f t="shared" si="292"/>
        <v>29.999327369341493</v>
      </c>
      <c r="P277" s="37">
        <f t="shared" si="293"/>
        <v>29.891706463980626</v>
      </c>
      <c r="Q277" s="33">
        <f t="shared" si="294"/>
        <v>59.891033833322119</v>
      </c>
      <c r="R277" s="270"/>
      <c r="S277" s="132"/>
      <c r="T277" s="128"/>
      <c r="U277" s="40">
        <f t="shared" si="304"/>
        <v>385.87103383332214</v>
      </c>
      <c r="V277" s="39">
        <v>385.87103383332214</v>
      </c>
      <c r="W277" s="35"/>
      <c r="X277" s="42"/>
      <c r="Y277" s="43"/>
      <c r="Z277" s="139"/>
      <c r="AA277" s="40">
        <f t="shared" si="296"/>
        <v>385.87103383332214</v>
      </c>
      <c r="AB277" s="36">
        <f t="shared" si="305"/>
        <v>0</v>
      </c>
      <c r="AC277" s="130"/>
      <c r="AD277" s="64"/>
      <c r="AE277" s="135"/>
      <c r="AF277" s="46">
        <f t="shared" si="297"/>
        <v>0</v>
      </c>
    </row>
    <row r="278" spans="1:32" ht="18" customHeight="1" x14ac:dyDescent="0.25">
      <c r="A278" s="100">
        <f t="shared" si="307"/>
        <v>251</v>
      </c>
      <c r="B278" s="366" t="s">
        <v>230</v>
      </c>
      <c r="C278" s="101">
        <f t="shared" si="299"/>
        <v>360</v>
      </c>
      <c r="D278" s="30">
        <f t="shared" si="300"/>
        <v>0</v>
      </c>
      <c r="E278" s="31">
        <f t="shared" si="289"/>
        <v>26.905226340216586</v>
      </c>
      <c r="F278" s="32">
        <f>+'MADERA VERDE'!K20</f>
        <v>210</v>
      </c>
      <c r="G278" s="32">
        <v>0</v>
      </c>
      <c r="H278" s="131">
        <f>+'MADERA VERDE'!T20</f>
        <v>150</v>
      </c>
      <c r="I278" s="32">
        <v>0</v>
      </c>
      <c r="J278" s="32"/>
      <c r="K278" s="33"/>
      <c r="L278" s="34">
        <f t="shared" si="301"/>
        <v>360</v>
      </c>
      <c r="M278" s="35">
        <f t="shared" si="290"/>
        <v>34.019999999999996</v>
      </c>
      <c r="N278" s="36">
        <f t="shared" si="291"/>
        <v>325.98</v>
      </c>
      <c r="O278" s="37">
        <f t="shared" si="292"/>
        <v>29.999327369341493</v>
      </c>
      <c r="P278" s="37">
        <f t="shared" si="293"/>
        <v>29.891706463980626</v>
      </c>
      <c r="Q278" s="33">
        <f t="shared" si="294"/>
        <v>59.891033833322119</v>
      </c>
      <c r="R278" s="38">
        <f t="shared" si="306"/>
        <v>29.999327369341493</v>
      </c>
      <c r="S278" s="132"/>
      <c r="T278" s="35"/>
      <c r="U278" s="40">
        <f t="shared" si="304"/>
        <v>415.87036120266362</v>
      </c>
      <c r="V278" s="39">
        <v>415.87036120266362</v>
      </c>
      <c r="W278" s="35"/>
      <c r="X278" s="42"/>
      <c r="Y278" s="43"/>
      <c r="Z278" s="138"/>
      <c r="AA278" s="40">
        <f t="shared" si="296"/>
        <v>415.87036120266362</v>
      </c>
      <c r="AB278" s="36">
        <f t="shared" si="305"/>
        <v>0</v>
      </c>
      <c r="AC278" s="130"/>
      <c r="AD278" s="64"/>
      <c r="AE278" s="135"/>
      <c r="AF278" s="46">
        <f t="shared" si="297"/>
        <v>0</v>
      </c>
    </row>
    <row r="279" spans="1:32" ht="18" customHeight="1" x14ac:dyDescent="0.25">
      <c r="A279" s="100">
        <f>A278+1</f>
        <v>252</v>
      </c>
      <c r="B279" s="366" t="s">
        <v>231</v>
      </c>
      <c r="C279" s="101">
        <f t="shared" si="299"/>
        <v>330</v>
      </c>
      <c r="D279" s="30">
        <f t="shared" si="300"/>
        <v>0</v>
      </c>
      <c r="E279" s="31">
        <f t="shared" si="289"/>
        <v>24.663124145198537</v>
      </c>
      <c r="F279" s="32">
        <f>+'MADERA VERDE'!K21</f>
        <v>210</v>
      </c>
      <c r="G279" s="32">
        <v>0</v>
      </c>
      <c r="H279" s="131">
        <f>+'MADERA VERDE'!T21</f>
        <v>120</v>
      </c>
      <c r="I279" s="32">
        <v>0</v>
      </c>
      <c r="J279" s="32"/>
      <c r="K279" s="33"/>
      <c r="L279" s="34">
        <f t="shared" si="301"/>
        <v>330</v>
      </c>
      <c r="M279" s="35">
        <f t="shared" si="290"/>
        <v>31.184999999999995</v>
      </c>
      <c r="N279" s="36">
        <f t="shared" si="291"/>
        <v>298.815</v>
      </c>
      <c r="O279" s="37">
        <f t="shared" si="292"/>
        <v>27.499383421896368</v>
      </c>
      <c r="P279" s="37">
        <f t="shared" si="293"/>
        <v>27.400730925315575</v>
      </c>
      <c r="Q279" s="33">
        <f t="shared" si="294"/>
        <v>54.90011434721194</v>
      </c>
      <c r="R279" s="38">
        <f t="shared" si="306"/>
        <v>27.499383421896368</v>
      </c>
      <c r="S279" s="132"/>
      <c r="T279" s="128"/>
      <c r="U279" s="40">
        <f t="shared" si="304"/>
        <v>381.21449776910833</v>
      </c>
      <c r="V279" s="39">
        <v>381.21449776910833</v>
      </c>
      <c r="W279" s="35"/>
      <c r="X279" s="42"/>
      <c r="Y279" s="43"/>
      <c r="Z279" s="139"/>
      <c r="AA279" s="40">
        <f t="shared" si="296"/>
        <v>381.21449776910833</v>
      </c>
      <c r="AB279" s="36">
        <f t="shared" si="305"/>
        <v>0</v>
      </c>
      <c r="AC279" s="130"/>
      <c r="AD279" s="64"/>
      <c r="AE279" s="135"/>
      <c r="AF279" s="46">
        <f t="shared" si="297"/>
        <v>0</v>
      </c>
    </row>
    <row r="280" spans="1:32" ht="18" customHeight="1" x14ac:dyDescent="0.25">
      <c r="A280" s="100">
        <f t="shared" ref="A280:A282" si="308">A279+1</f>
        <v>253</v>
      </c>
      <c r="B280" s="366" t="s">
        <v>357</v>
      </c>
      <c r="C280" s="101">
        <f t="shared" si="299"/>
        <v>345</v>
      </c>
      <c r="D280" s="30">
        <f t="shared" si="300"/>
        <v>0</v>
      </c>
      <c r="E280" s="31">
        <f t="shared" si="289"/>
        <v>25.784175242707562</v>
      </c>
      <c r="F280" s="32">
        <f>+'MADERA VERDE'!K22</f>
        <v>210</v>
      </c>
      <c r="G280" s="32">
        <v>0</v>
      </c>
      <c r="H280" s="131">
        <f>+'MADERA VERDE'!T22</f>
        <v>135</v>
      </c>
      <c r="I280" s="32">
        <v>0</v>
      </c>
      <c r="J280" s="32"/>
      <c r="K280" s="33"/>
      <c r="L280" s="34">
        <f t="shared" si="301"/>
        <v>345</v>
      </c>
      <c r="M280" s="35">
        <f t="shared" si="290"/>
        <v>32.602499999999992</v>
      </c>
      <c r="N280" s="36">
        <f t="shared" si="291"/>
        <v>312.39750000000004</v>
      </c>
      <c r="O280" s="37">
        <f t="shared" si="292"/>
        <v>28.749355395618931</v>
      </c>
      <c r="P280" s="37">
        <f t="shared" si="293"/>
        <v>28.646218694648102</v>
      </c>
      <c r="Q280" s="33">
        <f t="shared" si="294"/>
        <v>57.395574090267033</v>
      </c>
      <c r="R280" s="33"/>
      <c r="S280" s="132"/>
      <c r="T280" s="128"/>
      <c r="U280" s="40">
        <f t="shared" si="304"/>
        <v>369.79307409026705</v>
      </c>
      <c r="V280" s="39">
        <v>369.79307409026705</v>
      </c>
      <c r="W280" s="35"/>
      <c r="X280" s="42"/>
      <c r="Y280" s="43"/>
      <c r="Z280" s="137"/>
      <c r="AA280" s="40">
        <f t="shared" si="296"/>
        <v>369.79307409026705</v>
      </c>
      <c r="AB280" s="36">
        <f t="shared" si="305"/>
        <v>0</v>
      </c>
      <c r="AC280" s="130"/>
      <c r="AD280" s="64"/>
      <c r="AE280" s="135"/>
      <c r="AF280" s="46">
        <f t="shared" si="297"/>
        <v>0</v>
      </c>
    </row>
    <row r="281" spans="1:32" ht="18" customHeight="1" x14ac:dyDescent="0.25">
      <c r="A281" s="100">
        <f t="shared" si="308"/>
        <v>254</v>
      </c>
      <c r="B281" s="366" t="s">
        <v>233</v>
      </c>
      <c r="C281" s="101">
        <f t="shared" si="299"/>
        <v>255</v>
      </c>
      <c r="D281" s="30">
        <f t="shared" si="300"/>
        <v>0</v>
      </c>
      <c r="E281" s="31">
        <f t="shared" si="289"/>
        <v>19.057868657653415</v>
      </c>
      <c r="F281" s="32">
        <f>+'MADERA VERDE'!K23</f>
        <v>165</v>
      </c>
      <c r="G281" s="32">
        <v>0</v>
      </c>
      <c r="H281" s="131">
        <f>+'MADERA VERDE'!T23</f>
        <v>90</v>
      </c>
      <c r="I281" s="32">
        <v>0</v>
      </c>
      <c r="J281" s="32"/>
      <c r="K281" s="33"/>
      <c r="L281" s="34">
        <f t="shared" si="301"/>
        <v>255</v>
      </c>
      <c r="M281" s="35">
        <f t="shared" si="290"/>
        <v>24.097499999999997</v>
      </c>
      <c r="N281" s="36">
        <f t="shared" si="291"/>
        <v>230.9025</v>
      </c>
      <c r="O281" s="37">
        <f t="shared" si="292"/>
        <v>21.249523553283559</v>
      </c>
      <c r="P281" s="37">
        <f t="shared" si="293"/>
        <v>21.173292078652945</v>
      </c>
      <c r="Q281" s="33">
        <f t="shared" si="294"/>
        <v>42.422815631936501</v>
      </c>
      <c r="R281" s="38"/>
      <c r="S281" s="132"/>
      <c r="T281" s="128"/>
      <c r="U281" s="40">
        <f t="shared" si="304"/>
        <v>273.32531563193652</v>
      </c>
      <c r="V281" s="39">
        <v>273.32531563193652</v>
      </c>
      <c r="W281" s="35"/>
      <c r="X281" s="42"/>
      <c r="Y281" s="43"/>
      <c r="Z281" s="139"/>
      <c r="AA281" s="40">
        <f t="shared" si="296"/>
        <v>273.32531563193652</v>
      </c>
      <c r="AB281" s="36">
        <f t="shared" si="305"/>
        <v>0</v>
      </c>
      <c r="AC281" s="130"/>
      <c r="AD281" s="64"/>
      <c r="AE281" s="135"/>
      <c r="AF281" s="46">
        <f t="shared" si="297"/>
        <v>0</v>
      </c>
    </row>
    <row r="282" spans="1:32" ht="18" customHeight="1" x14ac:dyDescent="0.25">
      <c r="A282" s="100">
        <f t="shared" si="308"/>
        <v>255</v>
      </c>
      <c r="B282" s="366" t="s">
        <v>358</v>
      </c>
      <c r="C282" s="101">
        <f t="shared" si="299"/>
        <v>345</v>
      </c>
      <c r="D282" s="30">
        <f t="shared" si="300"/>
        <v>0</v>
      </c>
      <c r="E282" s="31">
        <f t="shared" si="289"/>
        <v>25.784175242707562</v>
      </c>
      <c r="F282" s="32">
        <f>+'MADERA VERDE'!K24</f>
        <v>210</v>
      </c>
      <c r="G282" s="32">
        <v>0</v>
      </c>
      <c r="H282" s="131">
        <f>+'MADERA VERDE'!T24</f>
        <v>135</v>
      </c>
      <c r="I282" s="32">
        <v>0</v>
      </c>
      <c r="J282" s="32"/>
      <c r="K282" s="33"/>
      <c r="L282" s="34">
        <f>+F282+G282+H282+I282+K282+J282</f>
        <v>345</v>
      </c>
      <c r="M282" s="35">
        <f t="shared" si="290"/>
        <v>32.602499999999992</v>
      </c>
      <c r="N282" s="36">
        <f t="shared" si="291"/>
        <v>312.39750000000004</v>
      </c>
      <c r="O282" s="37">
        <f t="shared" si="292"/>
        <v>28.749355395618931</v>
      </c>
      <c r="P282" s="37">
        <f t="shared" si="293"/>
        <v>28.646218694648102</v>
      </c>
      <c r="Q282" s="33">
        <f t="shared" si="294"/>
        <v>57.395574090267033</v>
      </c>
      <c r="R282" s="33"/>
      <c r="S282" s="132"/>
      <c r="T282" s="128"/>
      <c r="U282" s="40">
        <f t="shared" si="304"/>
        <v>369.79307409026705</v>
      </c>
      <c r="V282" s="39">
        <v>369.79307409026705</v>
      </c>
      <c r="W282" s="35"/>
      <c r="X282" s="42"/>
      <c r="Y282" s="43"/>
      <c r="Z282" s="129"/>
      <c r="AA282" s="40">
        <f t="shared" si="296"/>
        <v>369.79307409026705</v>
      </c>
      <c r="AB282" s="36">
        <f t="shared" si="305"/>
        <v>0</v>
      </c>
      <c r="AC282" s="130"/>
      <c r="AD282" s="64"/>
      <c r="AE282" s="135"/>
      <c r="AF282" s="46">
        <f t="shared" si="297"/>
        <v>0</v>
      </c>
    </row>
    <row r="283" spans="1:32" ht="18" customHeight="1" x14ac:dyDescent="0.25">
      <c r="A283" s="100">
        <f>A282+1</f>
        <v>256</v>
      </c>
      <c r="B283" s="366" t="s">
        <v>236</v>
      </c>
      <c r="C283" s="101">
        <f t="shared" si="299"/>
        <v>275.07</v>
      </c>
      <c r="D283" s="30">
        <f t="shared" si="300"/>
        <v>0</v>
      </c>
      <c r="E283" s="31">
        <f t="shared" si="289"/>
        <v>20.55783502612049</v>
      </c>
      <c r="F283" s="32">
        <f>+'MADERA VERDE'!K25</f>
        <v>135</v>
      </c>
      <c r="G283" s="32">
        <v>0</v>
      </c>
      <c r="H283" s="131">
        <f>+'MADERA VERDE'!T25</f>
        <v>120</v>
      </c>
      <c r="I283" s="32">
        <v>0</v>
      </c>
      <c r="J283" s="32">
        <f>13.38*3*50%</f>
        <v>20.07</v>
      </c>
      <c r="K283" s="33"/>
      <c r="L283" s="34">
        <f>+F283+G283+H283+I283+K283+J283</f>
        <v>275.07</v>
      </c>
      <c r="M283" s="35">
        <f t="shared" si="290"/>
        <v>25.994114999999997</v>
      </c>
      <c r="N283" s="36">
        <f t="shared" si="291"/>
        <v>249.075885</v>
      </c>
      <c r="O283" s="37">
        <f t="shared" si="292"/>
        <v>22.921986054124346</v>
      </c>
      <c r="P283" s="37">
        <f t="shared" si="293"/>
        <v>22.839754714019865</v>
      </c>
      <c r="Q283" s="33">
        <f t="shared" si="294"/>
        <v>45.761740768144207</v>
      </c>
      <c r="R283" s="38"/>
      <c r="S283" s="132"/>
      <c r="T283" s="128"/>
      <c r="U283" s="40">
        <f t="shared" si="304"/>
        <v>294.83762576814422</v>
      </c>
      <c r="V283" s="39">
        <v>294.83762576814422</v>
      </c>
      <c r="W283" s="35"/>
      <c r="X283" s="42"/>
      <c r="Y283" s="43"/>
      <c r="Z283" s="139"/>
      <c r="AA283" s="40">
        <f t="shared" si="296"/>
        <v>294.83762576814422</v>
      </c>
      <c r="AB283" s="36">
        <f t="shared" si="305"/>
        <v>0</v>
      </c>
      <c r="AC283" s="130"/>
      <c r="AD283" s="64"/>
      <c r="AE283" s="135"/>
      <c r="AF283" s="46">
        <f t="shared" si="297"/>
        <v>0</v>
      </c>
    </row>
    <row r="284" spans="1:32" ht="18" customHeight="1" x14ac:dyDescent="0.25">
      <c r="A284" s="100">
        <f t="shared" ref="A284:A286" si="309">A283+1</f>
        <v>257</v>
      </c>
      <c r="B284" s="366" t="s">
        <v>480</v>
      </c>
      <c r="C284" s="101">
        <f t="shared" si="299"/>
        <v>315</v>
      </c>
      <c r="D284" s="30">
        <f t="shared" si="300"/>
        <v>0</v>
      </c>
      <c r="E284" s="31">
        <f t="shared" si="289"/>
        <v>23.542073047689513</v>
      </c>
      <c r="F284" s="32">
        <f>+'MADERA VERDE'!K26</f>
        <v>165</v>
      </c>
      <c r="G284" s="32">
        <v>0</v>
      </c>
      <c r="H284" s="131">
        <f>+'MADERA VERDE'!T26</f>
        <v>150</v>
      </c>
      <c r="I284" s="32">
        <v>0</v>
      </c>
      <c r="J284" s="32"/>
      <c r="K284" s="33"/>
      <c r="L284" s="34">
        <f>+F284+G284+H284+I284+K284+J284</f>
        <v>315</v>
      </c>
      <c r="M284" s="35">
        <f t="shared" si="290"/>
        <v>29.767499999999995</v>
      </c>
      <c r="N284" s="36">
        <f t="shared" si="291"/>
        <v>285.23250000000002</v>
      </c>
      <c r="O284" s="37">
        <f t="shared" si="292"/>
        <v>26.249411448173806</v>
      </c>
      <c r="P284" s="37">
        <f t="shared" si="293"/>
        <v>26.155243155983047</v>
      </c>
      <c r="Q284" s="33">
        <f t="shared" si="294"/>
        <v>52.404654604156853</v>
      </c>
      <c r="R284" s="33"/>
      <c r="S284" s="132"/>
      <c r="T284" s="128"/>
      <c r="U284" s="40">
        <f t="shared" si="304"/>
        <v>337.63715460415688</v>
      </c>
      <c r="V284" s="39">
        <v>337.63715460415688</v>
      </c>
      <c r="W284" s="35"/>
      <c r="X284" s="42"/>
      <c r="Y284" s="43"/>
      <c r="Z284" s="137"/>
      <c r="AA284" s="40">
        <f t="shared" si="296"/>
        <v>337.63715460415688</v>
      </c>
      <c r="AB284" s="36">
        <f t="shared" si="305"/>
        <v>0</v>
      </c>
      <c r="AC284" s="130"/>
      <c r="AD284" s="64"/>
      <c r="AE284" s="135"/>
      <c r="AF284" s="46">
        <f t="shared" si="297"/>
        <v>0</v>
      </c>
    </row>
    <row r="285" spans="1:32" ht="18" customHeight="1" x14ac:dyDescent="0.25">
      <c r="A285" s="100">
        <f t="shared" si="309"/>
        <v>258</v>
      </c>
      <c r="B285" s="366" t="s">
        <v>359</v>
      </c>
      <c r="C285" s="101">
        <f t="shared" si="299"/>
        <v>165</v>
      </c>
      <c r="D285" s="30">
        <f t="shared" si="300"/>
        <v>0</v>
      </c>
      <c r="E285" s="31">
        <f t="shared" si="289"/>
        <v>12.331562072599269</v>
      </c>
      <c r="F285" s="32">
        <f>+'MADERA VERDE'!K27</f>
        <v>165</v>
      </c>
      <c r="G285" s="32">
        <v>0</v>
      </c>
      <c r="H285" s="131">
        <f>+'MADERA VERDE'!T27</f>
        <v>0</v>
      </c>
      <c r="I285" s="32">
        <v>0</v>
      </c>
      <c r="J285" s="32"/>
      <c r="K285" s="33"/>
      <c r="L285" s="34">
        <f t="shared" ref="L285:L288" si="310">+F285+G285+H285+I285+K285+J285</f>
        <v>165</v>
      </c>
      <c r="M285" s="35">
        <f t="shared" si="290"/>
        <v>15.592499999999998</v>
      </c>
      <c r="N285" s="36">
        <f t="shared" si="291"/>
        <v>149.4075</v>
      </c>
      <c r="O285" s="37">
        <f t="shared" si="292"/>
        <v>13.749691710948184</v>
      </c>
      <c r="P285" s="37">
        <f t="shared" si="293"/>
        <v>13.700365462657787</v>
      </c>
      <c r="Q285" s="33">
        <f t="shared" si="294"/>
        <v>27.45005717360597</v>
      </c>
      <c r="R285" s="38">
        <f>33.45/30*E285</f>
        <v>13.749691710948184</v>
      </c>
      <c r="S285" s="132"/>
      <c r="T285" s="128"/>
      <c r="U285" s="40">
        <f t="shared" si="304"/>
        <v>190.60724888455417</v>
      </c>
      <c r="V285" s="39">
        <v>190.60724888455417</v>
      </c>
      <c r="W285" s="35"/>
      <c r="X285" s="42"/>
      <c r="Y285" s="43"/>
      <c r="Z285" s="137"/>
      <c r="AA285" s="40">
        <f t="shared" si="296"/>
        <v>190.60724888455417</v>
      </c>
      <c r="AB285" s="36">
        <f t="shared" si="305"/>
        <v>0</v>
      </c>
      <c r="AC285" s="130"/>
      <c r="AD285" s="64"/>
      <c r="AE285" s="135"/>
      <c r="AF285" s="46">
        <f t="shared" si="297"/>
        <v>0</v>
      </c>
    </row>
    <row r="286" spans="1:32" ht="18" customHeight="1" x14ac:dyDescent="0.25">
      <c r="A286" s="100">
        <f t="shared" si="309"/>
        <v>259</v>
      </c>
      <c r="B286" s="366" t="s">
        <v>360</v>
      </c>
      <c r="C286" s="101">
        <f t="shared" si="299"/>
        <v>270</v>
      </c>
      <c r="D286" s="30">
        <f t="shared" si="300"/>
        <v>0</v>
      </c>
      <c r="E286" s="31">
        <f t="shared" si="289"/>
        <v>20.17891975516244</v>
      </c>
      <c r="F286" s="32">
        <f>+'MADERA VERDE'!K28</f>
        <v>165</v>
      </c>
      <c r="G286" s="32">
        <v>0</v>
      </c>
      <c r="H286" s="131">
        <f>+'MADERA VERDE'!T28</f>
        <v>105</v>
      </c>
      <c r="I286" s="32">
        <v>0</v>
      </c>
      <c r="J286" s="32"/>
      <c r="K286" s="33"/>
      <c r="L286" s="34">
        <f t="shared" si="310"/>
        <v>270</v>
      </c>
      <c r="M286" s="35">
        <f t="shared" si="290"/>
        <v>25.514999999999997</v>
      </c>
      <c r="N286" s="36">
        <f t="shared" si="291"/>
        <v>244.48500000000001</v>
      </c>
      <c r="O286" s="37">
        <f t="shared" ref="O286:O287" si="311">IF(E286&gt;=30,33.45,IF(E286&lt;30,E286*1.115))</f>
        <v>22.499495527006122</v>
      </c>
      <c r="P286" s="37">
        <f t="shared" ref="P286:P287" si="312">IF(E286&gt;=30,33.33,IF(E286&lt;30,E286*1.111))</f>
        <v>22.418779847985469</v>
      </c>
      <c r="Q286" s="33">
        <f t="shared" si="294"/>
        <v>44.918275374991595</v>
      </c>
      <c r="R286" s="38">
        <f>33.45/30*E286</f>
        <v>22.499495527006122</v>
      </c>
      <c r="S286" s="132"/>
      <c r="T286" s="128"/>
      <c r="U286" s="40">
        <f t="shared" si="304"/>
        <v>311.90277090199771</v>
      </c>
      <c r="V286" s="39">
        <v>311.90277090199771</v>
      </c>
      <c r="W286" s="35"/>
      <c r="X286" s="42"/>
      <c r="Y286" s="43"/>
      <c r="Z286" s="137"/>
      <c r="AA286" s="40">
        <f t="shared" si="296"/>
        <v>311.90277090199771</v>
      </c>
      <c r="AB286" s="36">
        <f t="shared" si="305"/>
        <v>0</v>
      </c>
      <c r="AC286" s="130"/>
      <c r="AD286" s="64"/>
      <c r="AE286" s="135"/>
      <c r="AF286" s="46">
        <f t="shared" si="297"/>
        <v>0</v>
      </c>
    </row>
    <row r="287" spans="1:32" ht="18" customHeight="1" x14ac:dyDescent="0.25">
      <c r="A287" s="100">
        <f>A286+1</f>
        <v>260</v>
      </c>
      <c r="B287" s="366" t="s">
        <v>237</v>
      </c>
      <c r="C287" s="101">
        <f t="shared" si="299"/>
        <v>180</v>
      </c>
      <c r="D287" s="30">
        <f t="shared" si="300"/>
        <v>0</v>
      </c>
      <c r="E287" s="31">
        <f t="shared" si="289"/>
        <v>13.452613170108293</v>
      </c>
      <c r="F287" s="32">
        <f>+'MADERA VERDE'!K29</f>
        <v>135</v>
      </c>
      <c r="G287" s="32">
        <v>0</v>
      </c>
      <c r="H287" s="131">
        <f>+'MADERA VERDE'!T29</f>
        <v>45</v>
      </c>
      <c r="I287" s="32">
        <v>0</v>
      </c>
      <c r="J287" s="32"/>
      <c r="K287" s="33"/>
      <c r="L287" s="34">
        <f t="shared" si="310"/>
        <v>180</v>
      </c>
      <c r="M287" s="35">
        <f t="shared" si="290"/>
        <v>17.009999999999998</v>
      </c>
      <c r="N287" s="36">
        <f t="shared" si="291"/>
        <v>162.99</v>
      </c>
      <c r="O287" s="37">
        <f t="shared" si="311"/>
        <v>14.999663684670747</v>
      </c>
      <c r="P287" s="37">
        <f t="shared" si="312"/>
        <v>14.945853231990313</v>
      </c>
      <c r="Q287" s="33">
        <f t="shared" si="294"/>
        <v>29.94551691666106</v>
      </c>
      <c r="R287" s="38"/>
      <c r="S287" s="132"/>
      <c r="T287" s="128"/>
      <c r="U287" s="40">
        <f t="shared" si="304"/>
        <v>192.93551691666107</v>
      </c>
      <c r="V287" s="39">
        <v>192.93551691666107</v>
      </c>
      <c r="W287" s="35"/>
      <c r="X287" s="42"/>
      <c r="Y287" s="43"/>
      <c r="Z287" s="137"/>
      <c r="AA287" s="40">
        <f t="shared" si="296"/>
        <v>192.93551691666107</v>
      </c>
      <c r="AB287" s="36">
        <f t="shared" si="305"/>
        <v>0</v>
      </c>
      <c r="AC287" s="130"/>
      <c r="AD287" s="64"/>
      <c r="AE287" s="135"/>
      <c r="AF287" s="46">
        <f t="shared" si="297"/>
        <v>0</v>
      </c>
    </row>
    <row r="288" spans="1:32" ht="18" customHeight="1" x14ac:dyDescent="0.25">
      <c r="A288" s="100">
        <f t="shared" ref="A288" si="313">A287+1</f>
        <v>261</v>
      </c>
      <c r="B288" s="366" t="s">
        <v>224</v>
      </c>
      <c r="C288" s="101">
        <f t="shared" si="299"/>
        <v>210</v>
      </c>
      <c r="D288" s="30">
        <f t="shared" si="300"/>
        <v>0</v>
      </c>
      <c r="E288" s="31">
        <f t="shared" si="289"/>
        <v>15.694715365126342</v>
      </c>
      <c r="F288" s="32">
        <f>+'MADERA VERDE'!K30</f>
        <v>210</v>
      </c>
      <c r="G288" s="32">
        <v>0</v>
      </c>
      <c r="H288" s="131">
        <f>+'MADERA VERDE'!T30</f>
        <v>0</v>
      </c>
      <c r="I288" s="32">
        <v>0</v>
      </c>
      <c r="J288" s="32"/>
      <c r="K288" s="33"/>
      <c r="L288" s="34">
        <f t="shared" si="310"/>
        <v>210</v>
      </c>
      <c r="M288" s="35">
        <f t="shared" si="290"/>
        <v>19.844999999999999</v>
      </c>
      <c r="N288" s="36">
        <f t="shared" si="291"/>
        <v>190.155</v>
      </c>
      <c r="O288" s="37">
        <f t="shared" si="292"/>
        <v>17.499607632115872</v>
      </c>
      <c r="P288" s="37">
        <f t="shared" si="293"/>
        <v>17.436828770655367</v>
      </c>
      <c r="Q288" s="33">
        <f t="shared" si="294"/>
        <v>34.936436402771236</v>
      </c>
      <c r="R288" s="38">
        <f>33.45/30*E288</f>
        <v>17.499607632115872</v>
      </c>
      <c r="S288" s="132"/>
      <c r="T288" s="128"/>
      <c r="U288" s="40">
        <f t="shared" si="304"/>
        <v>242.59104403488712</v>
      </c>
      <c r="V288" s="39">
        <v>242.59104403488712</v>
      </c>
      <c r="W288" s="35"/>
      <c r="X288" s="42"/>
      <c r="Y288" s="43"/>
      <c r="Z288" s="137"/>
      <c r="AA288" s="40">
        <f t="shared" si="296"/>
        <v>242.59104403488712</v>
      </c>
      <c r="AB288" s="36">
        <f t="shared" si="305"/>
        <v>0</v>
      </c>
      <c r="AC288" s="130"/>
      <c r="AD288" s="64"/>
      <c r="AE288" s="135"/>
      <c r="AF288" s="46">
        <f t="shared" si="297"/>
        <v>0</v>
      </c>
    </row>
    <row r="289" spans="1:157" ht="18" customHeight="1" x14ac:dyDescent="0.25">
      <c r="A289" s="100">
        <f>A288+1</f>
        <v>262</v>
      </c>
      <c r="B289" s="366" t="s">
        <v>858</v>
      </c>
      <c r="C289" s="101">
        <f>IF(L289&gt;=401.41,401.41,IF(L289&lt;401.41,L289))</f>
        <v>330</v>
      </c>
      <c r="D289" s="30">
        <f>+L289-C289</f>
        <v>0</v>
      </c>
      <c r="E289" s="31">
        <f>+C289/13.3803</f>
        <v>24.663124145198537</v>
      </c>
      <c r="F289" s="32">
        <f>+'MADERA VERDE'!K31</f>
        <v>210</v>
      </c>
      <c r="G289" s="32">
        <v>0</v>
      </c>
      <c r="H289" s="131">
        <f>+'MADERA VERDE'!T31</f>
        <v>120</v>
      </c>
      <c r="I289" s="32">
        <v>0</v>
      </c>
      <c r="J289" s="32"/>
      <c r="K289" s="33"/>
      <c r="L289" s="34">
        <f>+F289+G289+H289+I289+K289+J289</f>
        <v>330</v>
      </c>
      <c r="M289" s="35">
        <f>IF(L289&gt;=401.41,37.933,IF(L289&lt;401.41,L289*9.45%))</f>
        <v>31.184999999999995</v>
      </c>
      <c r="N289" s="36">
        <f>+L289-M289</f>
        <v>298.815</v>
      </c>
      <c r="O289" s="37">
        <f>IF(E289&gt;=30,33.45,IF(E289&lt;30,E289*1.115))</f>
        <v>27.499383421896368</v>
      </c>
      <c r="P289" s="37">
        <f>IF(E289&gt;=30,33.33,IF(E289&lt;30,E289*1.111))</f>
        <v>27.400730925315575</v>
      </c>
      <c r="Q289" s="33">
        <f>+O289+P289</f>
        <v>54.90011434721194</v>
      </c>
      <c r="R289" s="38">
        <f>33.45/30*E289</f>
        <v>27.499383421896368</v>
      </c>
      <c r="S289" s="132"/>
      <c r="T289" s="35"/>
      <c r="U289" s="40">
        <f>N289+Q289+R289+S289+T289</f>
        <v>381.21449776910833</v>
      </c>
      <c r="V289" s="39">
        <v>381.21449776910833</v>
      </c>
      <c r="W289" s="35"/>
      <c r="X289" s="42"/>
      <c r="Y289" s="43"/>
      <c r="Z289" s="138"/>
      <c r="AA289" s="40">
        <f>+W289+V289+X289+Y289+Z289</f>
        <v>381.21449776910833</v>
      </c>
      <c r="AB289" s="36">
        <f>+U289-AA289</f>
        <v>0</v>
      </c>
      <c r="AC289" s="130"/>
      <c r="AD289" s="64"/>
      <c r="AE289" s="135"/>
      <c r="AF289" s="46">
        <f>+AB289-AC289-AD289-AE289</f>
        <v>0</v>
      </c>
    </row>
    <row r="290" spans="1:157" ht="18" customHeight="1" x14ac:dyDescent="0.25">
      <c r="A290" s="100">
        <f>A289+1</f>
        <v>263</v>
      </c>
      <c r="B290" s="366" t="s">
        <v>222</v>
      </c>
      <c r="C290" s="101">
        <f>IF(L290&gt;=401.41,401.41,IF(L290&lt;401.41,L290))</f>
        <v>360</v>
      </c>
      <c r="D290" s="30">
        <f>+L290-C290</f>
        <v>0</v>
      </c>
      <c r="E290" s="31">
        <f>+C290/13.3803</f>
        <v>26.905226340216586</v>
      </c>
      <c r="F290" s="32">
        <f>+'MADERA VERDE'!K32</f>
        <v>210</v>
      </c>
      <c r="G290" s="32">
        <v>0</v>
      </c>
      <c r="H290" s="131">
        <f>+'MADERA VERDE'!T32</f>
        <v>150</v>
      </c>
      <c r="I290" s="32">
        <v>0</v>
      </c>
      <c r="J290" s="66"/>
      <c r="K290" s="53"/>
      <c r="L290" s="34">
        <f>+F290+G290+H290+I290+K290+J290</f>
        <v>360</v>
      </c>
      <c r="M290" s="35">
        <f>IF(L290&gt;=401.41,37.933,IF(L290&lt;401.41,L290*9.45%))</f>
        <v>34.019999999999996</v>
      </c>
      <c r="N290" s="36">
        <f>+L290-M290</f>
        <v>325.98</v>
      </c>
      <c r="O290" s="37">
        <f>IF(E290&gt;=30,33.45,IF(E290&lt;30,E290*1.115))</f>
        <v>29.999327369341493</v>
      </c>
      <c r="P290" s="37">
        <f>IF(E290&gt;=30,33.33,IF(E290&lt;30,E290*1.111))</f>
        <v>29.891706463980626</v>
      </c>
      <c r="Q290" s="33">
        <f>+O290+P290</f>
        <v>59.891033833322119</v>
      </c>
      <c r="R290" s="38">
        <f>33.45/30*E290</f>
        <v>29.999327369341493</v>
      </c>
      <c r="S290" s="132"/>
      <c r="T290" s="128"/>
      <c r="U290" s="40">
        <f>N290+Q290+R290+S290+T290</f>
        <v>415.87036120266362</v>
      </c>
      <c r="V290" s="39">
        <v>363.24036120266362</v>
      </c>
      <c r="W290" s="35"/>
      <c r="X290" s="42"/>
      <c r="Y290" s="43"/>
      <c r="Z290" s="134">
        <v>52.63</v>
      </c>
      <c r="AA290" s="40">
        <f>+W290+V290+X290+Y290+Z290</f>
        <v>415.87036120266362</v>
      </c>
      <c r="AB290" s="36">
        <f>+U290-AA290</f>
        <v>0</v>
      </c>
      <c r="AC290" s="130"/>
      <c r="AD290" s="64"/>
      <c r="AE290" s="135"/>
      <c r="AF290" s="46">
        <f>+AB290-AC290-AD290-AE290</f>
        <v>0</v>
      </c>
    </row>
    <row r="291" spans="1:157" ht="18" customHeight="1" x14ac:dyDescent="0.25">
      <c r="A291" s="100">
        <f>A290+1</f>
        <v>264</v>
      </c>
      <c r="B291" s="366" t="s">
        <v>857</v>
      </c>
      <c r="C291" s="101">
        <f>IF(L291&gt;=401.41,401.41,IF(L291&lt;401.41,L291))</f>
        <v>300</v>
      </c>
      <c r="D291" s="30">
        <f>+L291-C291</f>
        <v>0</v>
      </c>
      <c r="E291" s="31">
        <f>+C291/13.3803</f>
        <v>22.421021950180489</v>
      </c>
      <c r="F291" s="32">
        <f>+'MADERA VERDE'!K33</f>
        <v>195</v>
      </c>
      <c r="G291" s="32">
        <v>0</v>
      </c>
      <c r="H291" s="131">
        <f>+'MADERA VERDE'!T33</f>
        <v>105</v>
      </c>
      <c r="I291" s="32">
        <v>0</v>
      </c>
      <c r="J291" s="32"/>
      <c r="K291" s="33"/>
      <c r="L291" s="34">
        <f>+F291+G291+H291+I291+K291+J291</f>
        <v>300</v>
      </c>
      <c r="M291" s="35">
        <f>IF(L291&gt;=401.41,37.933,IF(L291&lt;401.41,L291*9.45%))</f>
        <v>28.349999999999994</v>
      </c>
      <c r="N291" s="36">
        <f>+L291-M291</f>
        <v>271.64999999999998</v>
      </c>
      <c r="O291" s="37">
        <f>IF(E291&gt;=30,33.45,IF(E291&lt;30,E291*1.115))</f>
        <v>24.999439474451243</v>
      </c>
      <c r="P291" s="37">
        <f>IF(E291&gt;=30,33.33,IF(E291&lt;30,E291*1.111))</f>
        <v>24.909755386650524</v>
      </c>
      <c r="Q291" s="33">
        <f>+O291+P291</f>
        <v>49.909194861101767</v>
      </c>
      <c r="R291" s="270"/>
      <c r="S291" s="132"/>
      <c r="T291" s="35"/>
      <c r="U291" s="40">
        <f>N291+Q291+R291+S291+T291</f>
        <v>321.55919486110173</v>
      </c>
      <c r="V291" s="39">
        <v>321.55919486110173</v>
      </c>
      <c r="W291" s="35"/>
      <c r="X291" s="42"/>
      <c r="Y291" s="43"/>
      <c r="Z291" s="138"/>
      <c r="AA291" s="40">
        <f>+W291+V291+X291+Y291+Z291</f>
        <v>321.55919486110173</v>
      </c>
      <c r="AB291" s="36">
        <f>+U291-AA291</f>
        <v>0</v>
      </c>
      <c r="AC291" s="130"/>
      <c r="AD291" s="64"/>
      <c r="AE291" s="135"/>
      <c r="AF291" s="46">
        <f>+AB291-AC291-AD291-AE291</f>
        <v>0</v>
      </c>
    </row>
    <row r="292" spans="1:157" ht="18" customHeight="1" x14ac:dyDescent="0.25">
      <c r="A292" s="7" t="s">
        <v>239</v>
      </c>
      <c r="B292" s="127"/>
      <c r="C292" s="29"/>
      <c r="D292" s="30"/>
      <c r="E292" s="31"/>
      <c r="F292" s="32"/>
      <c r="G292" s="32"/>
      <c r="H292" s="32"/>
      <c r="I292" s="32"/>
      <c r="J292" s="32"/>
      <c r="K292" s="33"/>
      <c r="L292" s="34"/>
      <c r="M292" s="35"/>
      <c r="N292" s="36"/>
      <c r="O292" s="37"/>
      <c r="P292" s="37"/>
      <c r="Q292" s="33"/>
      <c r="R292" s="33"/>
      <c r="S292" s="35"/>
      <c r="T292" s="128"/>
      <c r="U292" s="40"/>
      <c r="V292" s="39"/>
      <c r="W292" s="35"/>
      <c r="X292" s="42"/>
      <c r="Y292" s="43"/>
      <c r="Z292" s="129"/>
      <c r="AA292" s="40"/>
      <c r="AB292" s="36"/>
      <c r="AC292" s="130"/>
      <c r="AD292" s="64"/>
      <c r="AE292" s="135"/>
      <c r="AF292" s="46"/>
    </row>
    <row r="293" spans="1:157" ht="18" customHeight="1" x14ac:dyDescent="0.25">
      <c r="A293" s="27">
        <f>A291+1</f>
        <v>265</v>
      </c>
      <c r="B293" s="276" t="s">
        <v>366</v>
      </c>
      <c r="C293" s="29">
        <f t="shared" ref="C293:C303" si="314">IF(L293&gt;=401.41,401.41,IF(L293&lt;401.41,L293))</f>
        <v>401.41</v>
      </c>
      <c r="D293" s="30">
        <f t="shared" ref="D293:D303" si="315">+L293-C293</f>
        <v>36.519999999999982</v>
      </c>
      <c r="E293" s="31">
        <f t="shared" ref="E293:E303" si="316">+C293/13.3803</f>
        <v>30.000074736739837</v>
      </c>
      <c r="F293" s="32">
        <f>+CALDERO!D4</f>
        <v>200</v>
      </c>
      <c r="G293" s="32">
        <v>0</v>
      </c>
      <c r="H293" s="32">
        <f>+CALDERO!F4</f>
        <v>200</v>
      </c>
      <c r="I293" s="32">
        <v>0</v>
      </c>
      <c r="J293" s="32">
        <v>37.93</v>
      </c>
      <c r="K293" s="33"/>
      <c r="L293" s="34">
        <f t="shared" ref="L293:L329" si="317">+F293+G293+H293+I293+K293+J293</f>
        <v>437.93</v>
      </c>
      <c r="M293" s="35">
        <f>IF(L293&gt;=401.41,37.933,IF(L293&lt;401.41,L293*9.45%))</f>
        <v>37.933</v>
      </c>
      <c r="N293" s="36">
        <f t="shared" ref="N293:N303" si="318">+L293-M293</f>
        <v>399.99700000000001</v>
      </c>
      <c r="O293" s="37">
        <f>IF(E293&gt;=30,33.45,IF(E293&lt;30,E293*1.115))</f>
        <v>33.450000000000003</v>
      </c>
      <c r="P293" s="37">
        <f>IF(E293&gt;=30,33.33,IF(E293&lt;30,E293*1.111))</f>
        <v>33.33</v>
      </c>
      <c r="Q293" s="33">
        <f>+O293+P293</f>
        <v>66.78</v>
      </c>
      <c r="R293" s="38">
        <f>33.45/30*E293</f>
        <v>33.450083331464917</v>
      </c>
      <c r="S293" s="35"/>
      <c r="T293" s="35"/>
      <c r="U293" s="40">
        <f t="shared" ref="U293:U303" si="319">N293+Q293+R293+S293+T293</f>
        <v>500.22708333146494</v>
      </c>
      <c r="V293" s="39"/>
      <c r="W293" s="35"/>
      <c r="X293" s="42"/>
      <c r="Y293" s="43"/>
      <c r="Z293" s="136"/>
      <c r="AA293" s="40">
        <f t="shared" ref="AA293:AA329" si="320">+W293+V293+X293+Y293+Z293</f>
        <v>0</v>
      </c>
      <c r="AB293" s="36">
        <f t="shared" ref="AB293:AB303" si="321">+U293-AA293</f>
        <v>500.22708333146494</v>
      </c>
      <c r="AC293" s="130"/>
      <c r="AD293" s="64"/>
      <c r="AE293" s="135"/>
      <c r="AF293" s="46">
        <f t="shared" ref="AF293:AF329" si="322">+AB293-AC293-AD293-AE293</f>
        <v>500.22708333146494</v>
      </c>
    </row>
    <row r="294" spans="1:157" ht="18" customHeight="1" x14ac:dyDescent="0.25">
      <c r="A294" s="27">
        <f t="shared" ref="A294:A296" si="323">A293+1</f>
        <v>266</v>
      </c>
      <c r="B294" s="276" t="s">
        <v>368</v>
      </c>
      <c r="C294" s="29">
        <f>IF(L294&gt;=401.41,401.41,IF(L294&lt;401.41,L294))</f>
        <v>401.41</v>
      </c>
      <c r="D294" s="30">
        <f t="shared" si="315"/>
        <v>36.519999999999982</v>
      </c>
      <c r="E294" s="31">
        <f>+C294/13.3803</f>
        <v>30.000074736739837</v>
      </c>
      <c r="F294" s="32">
        <f>+CALDERO!D5</f>
        <v>200</v>
      </c>
      <c r="G294" s="32">
        <v>0</v>
      </c>
      <c r="H294" s="32">
        <f>+CALDERO!F5</f>
        <v>200</v>
      </c>
      <c r="I294" s="32">
        <v>0</v>
      </c>
      <c r="J294" s="32">
        <v>37.93</v>
      </c>
      <c r="K294" s="33"/>
      <c r="L294" s="34">
        <f t="shared" si="317"/>
        <v>437.93</v>
      </c>
      <c r="M294" s="35">
        <f t="shared" ref="M294:M303" si="324">IF(L294&gt;=401.41,37.933,IF(L294&lt;401.41,L294*9.45%))</f>
        <v>37.933</v>
      </c>
      <c r="N294" s="36">
        <f t="shared" si="318"/>
        <v>399.99700000000001</v>
      </c>
      <c r="O294" s="37">
        <f t="shared" ref="O294:O303" si="325">IF(E294&gt;=30,33.45,IF(E294&lt;30,E294*1.115))</f>
        <v>33.450000000000003</v>
      </c>
      <c r="P294" s="37">
        <f t="shared" ref="P294:P303" si="326">IF(E294&gt;=30,33.33,IF(E294&lt;30,E294*1.111))</f>
        <v>33.33</v>
      </c>
      <c r="Q294" s="33">
        <f t="shared" ref="Q294:Q303" si="327">+O294+P294</f>
        <v>66.78</v>
      </c>
      <c r="R294" s="38"/>
      <c r="S294" s="35"/>
      <c r="T294" s="35"/>
      <c r="U294" s="40">
        <f t="shared" si="319"/>
        <v>466.77700000000004</v>
      </c>
      <c r="V294" s="39"/>
      <c r="W294" s="35"/>
      <c r="X294" s="42"/>
      <c r="Y294" s="43"/>
      <c r="Z294" s="136"/>
      <c r="AA294" s="40">
        <f t="shared" si="320"/>
        <v>0</v>
      </c>
      <c r="AB294" s="36">
        <f t="shared" si="321"/>
        <v>466.77700000000004</v>
      </c>
      <c r="AC294" s="130"/>
      <c r="AD294" s="64"/>
      <c r="AE294" s="135"/>
      <c r="AF294" s="46">
        <f t="shared" si="322"/>
        <v>466.77700000000004</v>
      </c>
    </row>
    <row r="295" spans="1:157" ht="18" customHeight="1" x14ac:dyDescent="0.25">
      <c r="A295" s="27">
        <f t="shared" si="323"/>
        <v>267</v>
      </c>
      <c r="B295" s="276" t="s">
        <v>369</v>
      </c>
      <c r="C295" s="29">
        <f>IF(L295&gt;=401.41,401.41,IF(L295&lt;401.41,L295))</f>
        <v>401.41</v>
      </c>
      <c r="D295" s="30">
        <f t="shared" si="315"/>
        <v>36.519999999999982</v>
      </c>
      <c r="E295" s="31">
        <f>+C295/13.3803</f>
        <v>30.000074736739837</v>
      </c>
      <c r="F295" s="32">
        <f>+CALDERO!D6</f>
        <v>200</v>
      </c>
      <c r="G295" s="32">
        <v>0</v>
      </c>
      <c r="H295" s="32">
        <f>+CALDERO!F6</f>
        <v>200</v>
      </c>
      <c r="I295" s="32">
        <v>0</v>
      </c>
      <c r="J295" s="32">
        <v>37.93</v>
      </c>
      <c r="K295" s="33"/>
      <c r="L295" s="34">
        <f t="shared" si="317"/>
        <v>437.93</v>
      </c>
      <c r="M295" s="35">
        <f t="shared" si="324"/>
        <v>37.933</v>
      </c>
      <c r="N295" s="36">
        <f t="shared" si="318"/>
        <v>399.99700000000001</v>
      </c>
      <c r="O295" s="37">
        <f t="shared" si="325"/>
        <v>33.450000000000003</v>
      </c>
      <c r="P295" s="37">
        <f t="shared" si="326"/>
        <v>33.33</v>
      </c>
      <c r="Q295" s="33">
        <f t="shared" si="327"/>
        <v>66.78</v>
      </c>
      <c r="R295" s="38">
        <f>33.45/30*E295</f>
        <v>33.450083331464917</v>
      </c>
      <c r="S295" s="35"/>
      <c r="T295" s="35"/>
      <c r="U295" s="40">
        <f t="shared" si="319"/>
        <v>500.22708333146494</v>
      </c>
      <c r="V295" s="39"/>
      <c r="W295" s="35"/>
      <c r="X295" s="42"/>
      <c r="Y295" s="43"/>
      <c r="Z295" s="136"/>
      <c r="AA295" s="40">
        <f t="shared" si="320"/>
        <v>0</v>
      </c>
      <c r="AB295" s="36">
        <f t="shared" si="321"/>
        <v>500.22708333146494</v>
      </c>
      <c r="AC295" s="130"/>
      <c r="AD295" s="64"/>
      <c r="AE295" s="135"/>
      <c r="AF295" s="46">
        <f t="shared" si="322"/>
        <v>500.22708333146494</v>
      </c>
    </row>
    <row r="296" spans="1:157" ht="18" customHeight="1" x14ac:dyDescent="0.25">
      <c r="A296" s="27">
        <f t="shared" si="323"/>
        <v>268</v>
      </c>
      <c r="B296" s="276" t="s">
        <v>370</v>
      </c>
      <c r="C296" s="29">
        <f>IF(L296&gt;=401.41,401.41,IF(L296&lt;401.41,L296))</f>
        <v>401.41</v>
      </c>
      <c r="D296" s="30">
        <f t="shared" si="315"/>
        <v>36.519999999999982</v>
      </c>
      <c r="E296" s="31">
        <f>+C296/13.3803</f>
        <v>30.000074736739837</v>
      </c>
      <c r="F296" s="32">
        <f>+CALDERO!D7</f>
        <v>200</v>
      </c>
      <c r="G296" s="32">
        <v>0</v>
      </c>
      <c r="H296" s="32">
        <f>+CALDERO!F7</f>
        <v>200</v>
      </c>
      <c r="I296" s="32">
        <v>0</v>
      </c>
      <c r="J296" s="32">
        <v>37.93</v>
      </c>
      <c r="K296" s="33"/>
      <c r="L296" s="34">
        <f t="shared" si="317"/>
        <v>437.93</v>
      </c>
      <c r="M296" s="35">
        <f t="shared" si="324"/>
        <v>37.933</v>
      </c>
      <c r="N296" s="36">
        <f t="shared" si="318"/>
        <v>399.99700000000001</v>
      </c>
      <c r="O296" s="37">
        <f t="shared" si="325"/>
        <v>33.450000000000003</v>
      </c>
      <c r="P296" s="37">
        <f t="shared" si="326"/>
        <v>33.33</v>
      </c>
      <c r="Q296" s="33">
        <f t="shared" si="327"/>
        <v>66.78</v>
      </c>
      <c r="R296" s="38">
        <f>33.45/30*E296</f>
        <v>33.450083331464917</v>
      </c>
      <c r="S296" s="35"/>
      <c r="T296" s="35"/>
      <c r="U296" s="40">
        <f t="shared" si="319"/>
        <v>500.22708333146494</v>
      </c>
      <c r="V296" s="39"/>
      <c r="W296" s="35"/>
      <c r="X296" s="42"/>
      <c r="Y296" s="43"/>
      <c r="Z296" s="136"/>
      <c r="AA296" s="40">
        <f t="shared" si="320"/>
        <v>0</v>
      </c>
      <c r="AB296" s="36">
        <f t="shared" si="321"/>
        <v>500.22708333146494</v>
      </c>
      <c r="AC296" s="130"/>
      <c r="AD296" s="64"/>
      <c r="AE296" s="135"/>
      <c r="AF296" s="46">
        <f t="shared" si="322"/>
        <v>500.22708333146494</v>
      </c>
    </row>
    <row r="297" spans="1:157" ht="18" customHeight="1" x14ac:dyDescent="0.25">
      <c r="A297" s="27">
        <f>A296+1</f>
        <v>269</v>
      </c>
      <c r="B297" s="276" t="s">
        <v>372</v>
      </c>
      <c r="C297" s="29">
        <f>IF(L297&gt;=401.41,401.41,IF(L297&lt;401.41,L297))</f>
        <v>401.41</v>
      </c>
      <c r="D297" s="30">
        <f t="shared" si="315"/>
        <v>36.519999999999982</v>
      </c>
      <c r="E297" s="31">
        <f>+C297/13.3803</f>
        <v>30.000074736739837</v>
      </c>
      <c r="F297" s="32">
        <f>+CALDERO!D8</f>
        <v>220</v>
      </c>
      <c r="G297" s="32">
        <v>0</v>
      </c>
      <c r="H297" s="32">
        <f>+CALDERO!F8</f>
        <v>180</v>
      </c>
      <c r="I297" s="32">
        <v>0</v>
      </c>
      <c r="J297" s="32">
        <v>37.93</v>
      </c>
      <c r="K297" s="33"/>
      <c r="L297" s="34">
        <f t="shared" si="317"/>
        <v>437.93</v>
      </c>
      <c r="M297" s="35">
        <f t="shared" si="324"/>
        <v>37.933</v>
      </c>
      <c r="N297" s="36">
        <f t="shared" si="318"/>
        <v>399.99700000000001</v>
      </c>
      <c r="O297" s="37">
        <f t="shared" si="325"/>
        <v>33.450000000000003</v>
      </c>
      <c r="P297" s="37">
        <f t="shared" si="326"/>
        <v>33.33</v>
      </c>
      <c r="Q297" s="33">
        <f t="shared" si="327"/>
        <v>66.78</v>
      </c>
      <c r="R297" s="38">
        <f t="shared" ref="R297:R301" si="328">33.45/30*E297</f>
        <v>33.450083331464917</v>
      </c>
      <c r="S297" s="35">
        <f>13.38*2*50%</f>
        <v>13.38</v>
      </c>
      <c r="T297" s="128"/>
      <c r="U297" s="40">
        <f t="shared" si="319"/>
        <v>513.60708333146499</v>
      </c>
      <c r="V297" s="39"/>
      <c r="W297" s="35"/>
      <c r="X297" s="42"/>
      <c r="Y297" s="43"/>
      <c r="Z297" s="136">
        <v>106.21</v>
      </c>
      <c r="AA297" s="40">
        <f t="shared" si="320"/>
        <v>106.21</v>
      </c>
      <c r="AB297" s="36">
        <f t="shared" si="321"/>
        <v>407.39708333146501</v>
      </c>
      <c r="AC297" s="130"/>
      <c r="AD297" s="64"/>
      <c r="AE297" s="135"/>
      <c r="AF297" s="46">
        <f t="shared" si="322"/>
        <v>407.39708333146501</v>
      </c>
    </row>
    <row r="298" spans="1:157" ht="18" customHeight="1" x14ac:dyDescent="0.25">
      <c r="A298" s="27">
        <f>A297+1</f>
        <v>270</v>
      </c>
      <c r="B298" s="276" t="s">
        <v>375</v>
      </c>
      <c r="C298" s="29">
        <f t="shared" si="314"/>
        <v>401.41</v>
      </c>
      <c r="D298" s="30">
        <f t="shared" si="315"/>
        <v>136.51999999999992</v>
      </c>
      <c r="E298" s="31">
        <f t="shared" si="316"/>
        <v>30.000074736739837</v>
      </c>
      <c r="F298" s="32">
        <f>+CALDERO!D9</f>
        <v>250</v>
      </c>
      <c r="G298" s="32">
        <v>0</v>
      </c>
      <c r="H298" s="32">
        <f>+CALDERO!F9</f>
        <v>250</v>
      </c>
      <c r="I298" s="32">
        <v>0</v>
      </c>
      <c r="J298" s="32">
        <v>37.93</v>
      </c>
      <c r="K298" s="33"/>
      <c r="L298" s="34">
        <f t="shared" si="317"/>
        <v>537.92999999999995</v>
      </c>
      <c r="M298" s="35">
        <f t="shared" si="324"/>
        <v>37.933</v>
      </c>
      <c r="N298" s="36">
        <f t="shared" si="318"/>
        <v>499.99699999999996</v>
      </c>
      <c r="O298" s="37">
        <f t="shared" si="325"/>
        <v>33.450000000000003</v>
      </c>
      <c r="P298" s="37">
        <f t="shared" si="326"/>
        <v>33.33</v>
      </c>
      <c r="Q298" s="33">
        <f t="shared" si="327"/>
        <v>66.78</v>
      </c>
      <c r="R298" s="1036"/>
      <c r="S298" s="35"/>
      <c r="T298" s="35"/>
      <c r="U298" s="40">
        <f t="shared" si="319"/>
        <v>566.77699999999993</v>
      </c>
      <c r="V298" s="39"/>
      <c r="W298" s="35"/>
      <c r="X298" s="42"/>
      <c r="Y298" s="140"/>
      <c r="Z298" s="141"/>
      <c r="AA298" s="40">
        <f t="shared" si="320"/>
        <v>0</v>
      </c>
      <c r="AB298" s="36">
        <f t="shared" si="321"/>
        <v>566.77699999999993</v>
      </c>
      <c r="AC298" s="130"/>
      <c r="AD298" s="64"/>
      <c r="AE298" s="135"/>
      <c r="AF298" s="46">
        <f t="shared" si="322"/>
        <v>566.77699999999993</v>
      </c>
    </row>
    <row r="299" spans="1:157" ht="18" customHeight="1" x14ac:dyDescent="0.25">
      <c r="A299" s="27">
        <f t="shared" ref="A299:A302" si="329">A298+1</f>
        <v>271</v>
      </c>
      <c r="B299" s="276" t="s">
        <v>376</v>
      </c>
      <c r="C299" s="29">
        <f t="shared" si="314"/>
        <v>401.41</v>
      </c>
      <c r="D299" s="30">
        <f t="shared" si="315"/>
        <v>86.519999999999982</v>
      </c>
      <c r="E299" s="31">
        <f t="shared" si="316"/>
        <v>30.000074736739837</v>
      </c>
      <c r="F299" s="32">
        <f>+CALDERO!D10</f>
        <v>225</v>
      </c>
      <c r="G299" s="32">
        <v>0</v>
      </c>
      <c r="H299" s="32">
        <f>+CALDERO!F10</f>
        <v>225</v>
      </c>
      <c r="I299" s="32">
        <v>0</v>
      </c>
      <c r="J299" s="32">
        <v>37.93</v>
      </c>
      <c r="K299" s="33"/>
      <c r="L299" s="34">
        <f t="shared" si="317"/>
        <v>487.93</v>
      </c>
      <c r="M299" s="35">
        <f t="shared" si="324"/>
        <v>37.933</v>
      </c>
      <c r="N299" s="36">
        <f t="shared" si="318"/>
        <v>449.99700000000001</v>
      </c>
      <c r="O299" s="37">
        <f t="shared" si="325"/>
        <v>33.450000000000003</v>
      </c>
      <c r="P299" s="37">
        <f t="shared" si="326"/>
        <v>33.33</v>
      </c>
      <c r="Q299" s="33">
        <f t="shared" si="327"/>
        <v>66.78</v>
      </c>
      <c r="R299" s="38"/>
      <c r="S299" s="35"/>
      <c r="T299" s="35"/>
      <c r="U299" s="40">
        <f t="shared" si="319"/>
        <v>516.77700000000004</v>
      </c>
      <c r="V299" s="39"/>
      <c r="W299" s="35"/>
      <c r="X299" s="42"/>
      <c r="Y299" s="140"/>
      <c r="Z299" s="141"/>
      <c r="AA299" s="40">
        <f t="shared" si="320"/>
        <v>0</v>
      </c>
      <c r="AB299" s="36">
        <f t="shared" si="321"/>
        <v>516.77700000000004</v>
      </c>
      <c r="AC299" s="130"/>
      <c r="AD299" s="64"/>
      <c r="AE299" s="135"/>
      <c r="AF299" s="46">
        <f t="shared" si="322"/>
        <v>516.77700000000004</v>
      </c>
    </row>
    <row r="300" spans="1:157" ht="18" customHeight="1" x14ac:dyDescent="0.25">
      <c r="A300" s="27">
        <f t="shared" si="329"/>
        <v>272</v>
      </c>
      <c r="B300" s="276" t="s">
        <v>853</v>
      </c>
      <c r="C300" s="29">
        <f t="shared" si="314"/>
        <v>401.41</v>
      </c>
      <c r="D300" s="30">
        <f t="shared" si="315"/>
        <v>186.51999999999992</v>
      </c>
      <c r="E300" s="31">
        <f t="shared" si="316"/>
        <v>30.000074736739837</v>
      </c>
      <c r="F300" s="32">
        <f>+CALDERO!D11</f>
        <v>275</v>
      </c>
      <c r="G300" s="32">
        <v>0</v>
      </c>
      <c r="H300" s="32">
        <f>+CALDERO!F11</f>
        <v>275</v>
      </c>
      <c r="I300" s="32">
        <v>0</v>
      </c>
      <c r="J300" s="32">
        <v>37.93</v>
      </c>
      <c r="K300" s="33"/>
      <c r="L300" s="34">
        <f t="shared" si="317"/>
        <v>587.92999999999995</v>
      </c>
      <c r="M300" s="35">
        <f t="shared" si="324"/>
        <v>37.933</v>
      </c>
      <c r="N300" s="36">
        <f t="shared" si="318"/>
        <v>549.99699999999996</v>
      </c>
      <c r="O300" s="37">
        <f t="shared" si="325"/>
        <v>33.450000000000003</v>
      </c>
      <c r="P300" s="37">
        <f t="shared" si="326"/>
        <v>33.33</v>
      </c>
      <c r="Q300" s="33">
        <f t="shared" si="327"/>
        <v>66.78</v>
      </c>
      <c r="R300" s="38">
        <f t="shared" si="328"/>
        <v>33.450083331464917</v>
      </c>
      <c r="S300" s="35"/>
      <c r="T300" s="35"/>
      <c r="U300" s="40">
        <f t="shared" si="319"/>
        <v>650.22708333146488</v>
      </c>
      <c r="V300" s="39"/>
      <c r="W300" s="35"/>
      <c r="X300" s="42"/>
      <c r="Y300" s="140"/>
      <c r="Z300" s="141"/>
      <c r="AA300" s="40">
        <f t="shared" si="320"/>
        <v>0</v>
      </c>
      <c r="AB300" s="36">
        <f t="shared" si="321"/>
        <v>650.22708333146488</v>
      </c>
      <c r="AC300" s="130"/>
      <c r="AD300" s="64"/>
      <c r="AE300" s="135"/>
      <c r="AF300" s="46">
        <f t="shared" si="322"/>
        <v>650.22708333146488</v>
      </c>
    </row>
    <row r="301" spans="1:157" ht="18" customHeight="1" x14ac:dyDescent="0.25">
      <c r="A301" s="27">
        <f t="shared" si="329"/>
        <v>273</v>
      </c>
      <c r="B301" s="276" t="s">
        <v>850</v>
      </c>
      <c r="C301" s="29">
        <f t="shared" si="314"/>
        <v>401.41</v>
      </c>
      <c r="D301" s="30">
        <f>+L301-C301</f>
        <v>186.51999999999992</v>
      </c>
      <c r="E301" s="31">
        <f t="shared" si="316"/>
        <v>30.000074736739837</v>
      </c>
      <c r="F301" s="32">
        <f>+CALDERO!D12</f>
        <v>275</v>
      </c>
      <c r="G301" s="32">
        <v>0</v>
      </c>
      <c r="H301" s="32">
        <f>+CALDERO!F12</f>
        <v>275</v>
      </c>
      <c r="I301" s="32">
        <v>0</v>
      </c>
      <c r="J301" s="32">
        <v>37.93</v>
      </c>
      <c r="K301" s="33"/>
      <c r="L301" s="34">
        <f t="shared" si="317"/>
        <v>587.92999999999995</v>
      </c>
      <c r="M301" s="35">
        <f t="shared" si="324"/>
        <v>37.933</v>
      </c>
      <c r="N301" s="36">
        <f>+L301-M301</f>
        <v>549.99699999999996</v>
      </c>
      <c r="O301" s="37">
        <f t="shared" si="325"/>
        <v>33.450000000000003</v>
      </c>
      <c r="P301" s="37">
        <f t="shared" si="326"/>
        <v>33.33</v>
      </c>
      <c r="Q301" s="33">
        <f>+O301+P301</f>
        <v>66.78</v>
      </c>
      <c r="R301" s="38">
        <f t="shared" si="328"/>
        <v>33.450083331464917</v>
      </c>
      <c r="S301" s="35"/>
      <c r="T301" s="128"/>
      <c r="U301" s="40">
        <f>N301+Q301+R301+S301+T301</f>
        <v>650.22708333146488</v>
      </c>
      <c r="V301" s="39"/>
      <c r="W301" s="35"/>
      <c r="X301" s="42"/>
      <c r="Y301" s="43"/>
      <c r="Z301" s="136"/>
      <c r="AA301" s="40">
        <f t="shared" si="320"/>
        <v>0</v>
      </c>
      <c r="AB301" s="36">
        <f t="shared" si="321"/>
        <v>650.22708333146488</v>
      </c>
      <c r="AC301" s="130"/>
      <c r="AD301" s="64"/>
      <c r="AE301" s="135"/>
      <c r="AF301" s="46">
        <f t="shared" si="322"/>
        <v>650.22708333146488</v>
      </c>
    </row>
    <row r="302" spans="1:157" ht="18" customHeight="1" x14ac:dyDescent="0.25">
      <c r="A302" s="27">
        <f t="shared" si="329"/>
        <v>274</v>
      </c>
      <c r="B302" s="276" t="s">
        <v>851</v>
      </c>
      <c r="C302" s="29">
        <f t="shared" ref="C302" si="330">IF(L302&gt;=401.41,401.41,IF(L302&lt;401.41,L302))</f>
        <v>401.41</v>
      </c>
      <c r="D302" s="30">
        <f>+L302-C302</f>
        <v>186.51999999999992</v>
      </c>
      <c r="E302" s="31">
        <f t="shared" ref="E302" si="331">+C302/13.3803</f>
        <v>30.000074736739837</v>
      </c>
      <c r="F302" s="32">
        <f>+CALDERO!D13</f>
        <v>275</v>
      </c>
      <c r="G302" s="32">
        <v>0</v>
      </c>
      <c r="H302" s="32">
        <f>+CALDERO!F13</f>
        <v>275</v>
      </c>
      <c r="I302" s="32">
        <v>0</v>
      </c>
      <c r="J302" s="32">
        <v>37.93</v>
      </c>
      <c r="K302" s="33"/>
      <c r="L302" s="34">
        <f t="shared" ref="L302" si="332">+F302+G302+H302+I302+K302+J302</f>
        <v>587.92999999999995</v>
      </c>
      <c r="M302" s="35">
        <f t="shared" ref="M302" si="333">IF(L302&gt;=401.41,37.933,IF(L302&lt;401.41,L302*9.45%))</f>
        <v>37.933</v>
      </c>
      <c r="N302" s="36">
        <f>+L302-M302</f>
        <v>549.99699999999996</v>
      </c>
      <c r="O302" s="37">
        <f t="shared" ref="O302" si="334">IF(E302&gt;=30,33.45,IF(E302&lt;30,E302*1.115))</f>
        <v>33.450000000000003</v>
      </c>
      <c r="P302" s="37">
        <f t="shared" ref="P302" si="335">IF(E302&gt;=30,33.33,IF(E302&lt;30,E302*1.111))</f>
        <v>33.33</v>
      </c>
      <c r="Q302" s="33">
        <f>+O302+P302</f>
        <v>66.78</v>
      </c>
      <c r="R302" s="38">
        <f t="shared" ref="R302:R305" si="336">33.45/30*E302</f>
        <v>33.450083331464917</v>
      </c>
      <c r="S302" s="35"/>
      <c r="T302" s="128"/>
      <c r="U302" s="40">
        <f>N302+Q302+R302+S302+T302</f>
        <v>650.22708333146488</v>
      </c>
      <c r="V302" s="39"/>
      <c r="W302" s="35"/>
      <c r="X302" s="42"/>
      <c r="Y302" s="43"/>
      <c r="Z302" s="136"/>
      <c r="AA302" s="40">
        <f t="shared" ref="AA302" si="337">+W302+V302+X302+Y302+Z302</f>
        <v>0</v>
      </c>
      <c r="AB302" s="36">
        <f t="shared" ref="AB302" si="338">+U302-AA302</f>
        <v>650.22708333146488</v>
      </c>
      <c r="AC302" s="130"/>
      <c r="AD302" s="64"/>
      <c r="AE302" s="135"/>
      <c r="AF302" s="46">
        <f t="shared" ref="AF302" si="339">+AB302-AC302-AD302-AE302</f>
        <v>650.22708333146488</v>
      </c>
    </row>
    <row r="303" spans="1:157" ht="18" customHeight="1" x14ac:dyDescent="0.25">
      <c r="A303" s="27">
        <f>A302+1</f>
        <v>275</v>
      </c>
      <c r="B303" s="276" t="s">
        <v>852</v>
      </c>
      <c r="C303" s="29">
        <f t="shared" si="314"/>
        <v>401.41</v>
      </c>
      <c r="D303" s="30">
        <f t="shared" si="315"/>
        <v>36.519999999999982</v>
      </c>
      <c r="E303" s="31">
        <f t="shared" si="316"/>
        <v>30.000074736739837</v>
      </c>
      <c r="F303" s="32">
        <f>+CALDERO!D14</f>
        <v>200</v>
      </c>
      <c r="G303" s="32">
        <v>0</v>
      </c>
      <c r="H303" s="32">
        <f>+CALDERO!F14</f>
        <v>200</v>
      </c>
      <c r="I303" s="32">
        <v>0</v>
      </c>
      <c r="J303" s="32">
        <v>37.93</v>
      </c>
      <c r="K303" s="33"/>
      <c r="L303" s="34">
        <f t="shared" si="317"/>
        <v>437.93</v>
      </c>
      <c r="M303" s="35">
        <f t="shared" si="324"/>
        <v>37.933</v>
      </c>
      <c r="N303" s="36">
        <f t="shared" si="318"/>
        <v>399.99700000000001</v>
      </c>
      <c r="O303" s="37">
        <f t="shared" si="325"/>
        <v>33.450000000000003</v>
      </c>
      <c r="P303" s="37">
        <f t="shared" si="326"/>
        <v>33.33</v>
      </c>
      <c r="Q303" s="33">
        <f t="shared" si="327"/>
        <v>66.78</v>
      </c>
      <c r="R303" s="38">
        <f t="shared" si="336"/>
        <v>33.450083331464917</v>
      </c>
      <c r="S303" s="35"/>
      <c r="T303" s="35"/>
      <c r="U303" s="40">
        <f t="shared" si="319"/>
        <v>500.22708333146494</v>
      </c>
      <c r="V303" s="39"/>
      <c r="W303" s="35"/>
      <c r="X303" s="42"/>
      <c r="Y303" s="140"/>
      <c r="Z303" s="141"/>
      <c r="AA303" s="40">
        <f t="shared" si="320"/>
        <v>0</v>
      </c>
      <c r="AB303" s="36">
        <f t="shared" si="321"/>
        <v>500.22708333146494</v>
      </c>
      <c r="AC303" s="130"/>
      <c r="AD303" s="64"/>
      <c r="AE303" s="135"/>
      <c r="AF303" s="46">
        <f t="shared" si="322"/>
        <v>500.22708333146494</v>
      </c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</row>
    <row r="304" spans="1:157" ht="18" customHeight="1" x14ac:dyDescent="0.25">
      <c r="A304" s="1310" t="s">
        <v>477</v>
      </c>
      <c r="B304" s="1309"/>
      <c r="C304" s="29"/>
      <c r="D304" s="30"/>
      <c r="E304" s="31"/>
      <c r="F304" s="32"/>
      <c r="G304" s="32"/>
      <c r="H304" s="32"/>
      <c r="I304" s="32"/>
      <c r="J304" s="32"/>
      <c r="K304" s="33"/>
      <c r="L304" s="34"/>
      <c r="M304" s="35"/>
      <c r="N304" s="36"/>
      <c r="O304" s="37"/>
      <c r="P304" s="37"/>
      <c r="Q304" s="33"/>
      <c r="R304" s="38"/>
      <c r="S304" s="35"/>
      <c r="T304" s="35"/>
      <c r="U304" s="40"/>
      <c r="V304" s="39"/>
      <c r="W304" s="35"/>
      <c r="X304" s="42"/>
      <c r="Y304" s="140"/>
      <c r="Z304" s="141"/>
      <c r="AA304" s="40"/>
      <c r="AB304" s="36"/>
      <c r="AC304" s="130"/>
      <c r="AD304" s="64"/>
      <c r="AE304" s="135"/>
      <c r="AF304" s="46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</row>
    <row r="305" spans="1:157" ht="18" customHeight="1" x14ac:dyDescent="0.25">
      <c r="A305" s="27">
        <f>A303+1</f>
        <v>276</v>
      </c>
      <c r="B305" s="276" t="s">
        <v>364</v>
      </c>
      <c r="C305" s="29">
        <f t="shared" ref="C305:C308" si="340">IF(L305&gt;=401.41,401.41,IF(L305&lt;401.41,L305))</f>
        <v>375.48</v>
      </c>
      <c r="D305" s="30">
        <f t="shared" ref="D305:D308" si="341">+L305-C305</f>
        <v>0</v>
      </c>
      <c r="E305" s="31">
        <f t="shared" ref="E305:E308" si="342">+C305/13.3803</f>
        <v>28.0621510728459</v>
      </c>
      <c r="F305" s="32">
        <f>+CALDERO!D15</f>
        <v>140</v>
      </c>
      <c r="G305" s="32">
        <v>0</v>
      </c>
      <c r="H305" s="32">
        <f>+CALDERO!F15</f>
        <v>200</v>
      </c>
      <c r="I305" s="32">
        <v>0</v>
      </c>
      <c r="J305" s="32">
        <v>35.479999999999997</v>
      </c>
      <c r="K305" s="33"/>
      <c r="L305" s="34">
        <f t="shared" ref="L305:L308" si="343">+F305+G305+H305+I305+K305+J305</f>
        <v>375.48</v>
      </c>
      <c r="M305" s="35">
        <f t="shared" ref="M305:M308" si="344">IF(L305&gt;=401.41,37.933,IF(L305&lt;401.41,L305*9.45%))</f>
        <v>35.482859999999995</v>
      </c>
      <c r="N305" s="36">
        <f t="shared" ref="N305:N308" si="345">+L305-M305</f>
        <v>339.99714</v>
      </c>
      <c r="O305" s="37">
        <f t="shared" ref="O305:O308" si="346">IF(E305&gt;=30,33.45,IF(E305&lt;30,E305*1.115))</f>
        <v>31.289298446223178</v>
      </c>
      <c r="P305" s="37">
        <f t="shared" ref="P305:P308" si="347">IF(E305&gt;=30,33.33,IF(E305&lt;30,E305*1.111))</f>
        <v>31.177049841931794</v>
      </c>
      <c r="Q305" s="33">
        <f t="shared" ref="Q305:Q308" si="348">+O305+P305</f>
        <v>62.466348288154975</v>
      </c>
      <c r="R305" s="38">
        <f t="shared" si="336"/>
        <v>31.289298446223178</v>
      </c>
      <c r="S305" s="35"/>
      <c r="T305" s="35"/>
      <c r="U305" s="40">
        <f t="shared" ref="U305:U308" si="349">N305+Q305+R305+S305+T305</f>
        <v>433.75278673437816</v>
      </c>
      <c r="V305" s="39">
        <v>433.75278673437816</v>
      </c>
      <c r="W305" s="35"/>
      <c r="X305" s="42"/>
      <c r="Y305" s="140"/>
      <c r="Z305" s="141"/>
      <c r="AA305" s="40">
        <f t="shared" ref="AA305:AA308" si="350">+W305+V305+X305+Y305+Z305</f>
        <v>433.75278673437816</v>
      </c>
      <c r="AB305" s="36">
        <f t="shared" ref="AB305:AB308" si="351">+U305-AA305</f>
        <v>0</v>
      </c>
      <c r="AC305" s="130"/>
      <c r="AD305" s="64"/>
      <c r="AE305" s="135"/>
      <c r="AF305" s="46">
        <f t="shared" ref="AF305:AF308" si="352">+AB305-AC305-AD305-AE305</f>
        <v>0</v>
      </c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</row>
    <row r="306" spans="1:157" ht="18" customHeight="1" x14ac:dyDescent="0.25">
      <c r="A306" s="27">
        <f>A305+1</f>
        <v>277</v>
      </c>
      <c r="B306" s="276" t="s">
        <v>365</v>
      </c>
      <c r="C306" s="29">
        <f t="shared" si="340"/>
        <v>220.87</v>
      </c>
      <c r="D306" s="30">
        <f t="shared" si="341"/>
        <v>0</v>
      </c>
      <c r="E306" s="31">
        <f t="shared" si="342"/>
        <v>16.507103727121216</v>
      </c>
      <c r="F306" s="32">
        <f>+CALDERO!D16</f>
        <v>200</v>
      </c>
      <c r="G306" s="32">
        <v>0</v>
      </c>
      <c r="H306" s="32">
        <f>+CALDERO!F16</f>
        <v>0</v>
      </c>
      <c r="I306" s="32">
        <v>0</v>
      </c>
      <c r="J306" s="32">
        <v>20.87</v>
      </c>
      <c r="K306" s="33"/>
      <c r="L306" s="34">
        <f t="shared" si="343"/>
        <v>220.87</v>
      </c>
      <c r="M306" s="35">
        <f t="shared" si="344"/>
        <v>20.872214999999997</v>
      </c>
      <c r="N306" s="36">
        <f t="shared" si="345"/>
        <v>199.99778500000002</v>
      </c>
      <c r="O306" s="37">
        <f t="shared" si="346"/>
        <v>18.405420655740155</v>
      </c>
      <c r="P306" s="37">
        <f t="shared" si="347"/>
        <v>18.339392240831671</v>
      </c>
      <c r="Q306" s="33">
        <f t="shared" si="348"/>
        <v>36.74481289657183</v>
      </c>
      <c r="R306" s="38"/>
      <c r="S306" s="35"/>
      <c r="T306" s="35"/>
      <c r="U306" s="40">
        <f t="shared" si="349"/>
        <v>236.74259789657185</v>
      </c>
      <c r="V306" s="39">
        <v>236.74259789657185</v>
      </c>
      <c r="W306" s="35"/>
      <c r="X306" s="42"/>
      <c r="Y306" s="140"/>
      <c r="Z306" s="141"/>
      <c r="AA306" s="40">
        <f t="shared" si="350"/>
        <v>236.74259789657185</v>
      </c>
      <c r="AB306" s="36">
        <f t="shared" si="351"/>
        <v>0</v>
      </c>
      <c r="AC306" s="130"/>
      <c r="AD306" s="64"/>
      <c r="AE306" s="135"/>
      <c r="AF306" s="46">
        <f t="shared" si="352"/>
        <v>0</v>
      </c>
    </row>
    <row r="307" spans="1:157" ht="18" customHeight="1" x14ac:dyDescent="0.25">
      <c r="A307" s="27">
        <f>A306+1</f>
        <v>278</v>
      </c>
      <c r="B307" s="276" t="s">
        <v>367</v>
      </c>
      <c r="C307" s="29">
        <f t="shared" si="340"/>
        <v>375.48</v>
      </c>
      <c r="D307" s="30">
        <f t="shared" si="341"/>
        <v>0</v>
      </c>
      <c r="E307" s="31">
        <f t="shared" si="342"/>
        <v>28.0621510728459</v>
      </c>
      <c r="F307" s="32">
        <f>+CALDERO!D17</f>
        <v>200</v>
      </c>
      <c r="G307" s="32">
        <v>0</v>
      </c>
      <c r="H307" s="32">
        <f>+CALDERO!F17</f>
        <v>140</v>
      </c>
      <c r="I307" s="32">
        <v>0</v>
      </c>
      <c r="J307" s="32">
        <v>35.479999999999997</v>
      </c>
      <c r="K307" s="33"/>
      <c r="L307" s="34">
        <f t="shared" si="343"/>
        <v>375.48</v>
      </c>
      <c r="M307" s="35">
        <f t="shared" si="344"/>
        <v>35.482859999999995</v>
      </c>
      <c r="N307" s="36">
        <f t="shared" si="345"/>
        <v>339.99714</v>
      </c>
      <c r="O307" s="37">
        <f t="shared" si="346"/>
        <v>31.289298446223178</v>
      </c>
      <c r="P307" s="37">
        <f t="shared" si="347"/>
        <v>31.177049841931794</v>
      </c>
      <c r="Q307" s="33">
        <f t="shared" si="348"/>
        <v>62.466348288154975</v>
      </c>
      <c r="R307" s="38"/>
      <c r="S307" s="35"/>
      <c r="T307" s="35"/>
      <c r="U307" s="40">
        <f t="shared" si="349"/>
        <v>402.46348828815496</v>
      </c>
      <c r="V307" s="39">
        <v>402.46348828815496</v>
      </c>
      <c r="W307" s="35"/>
      <c r="X307" s="42"/>
      <c r="Y307" s="140"/>
      <c r="Z307" s="141"/>
      <c r="AA307" s="40">
        <f t="shared" si="350"/>
        <v>402.46348828815496</v>
      </c>
      <c r="AB307" s="36">
        <f t="shared" si="351"/>
        <v>0</v>
      </c>
      <c r="AC307" s="130"/>
      <c r="AD307" s="64"/>
      <c r="AE307" s="135"/>
      <c r="AF307" s="46">
        <f t="shared" si="352"/>
        <v>0</v>
      </c>
    </row>
    <row r="308" spans="1:157" ht="18" customHeight="1" x14ac:dyDescent="0.25">
      <c r="A308" s="27">
        <f>A307+1</f>
        <v>279</v>
      </c>
      <c r="B308" s="276" t="s">
        <v>374</v>
      </c>
      <c r="C308" s="29">
        <f t="shared" si="340"/>
        <v>401.41</v>
      </c>
      <c r="D308" s="30">
        <f t="shared" si="341"/>
        <v>96.519999999999982</v>
      </c>
      <c r="E308" s="31">
        <f t="shared" si="342"/>
        <v>30.000074736739837</v>
      </c>
      <c r="F308" s="32">
        <f>+CALDERO!D18</f>
        <v>200</v>
      </c>
      <c r="G308" s="32">
        <v>0</v>
      </c>
      <c r="H308" s="32">
        <f>+CALDERO!F18</f>
        <v>260</v>
      </c>
      <c r="I308" s="32">
        <v>0</v>
      </c>
      <c r="J308" s="32">
        <v>37.93</v>
      </c>
      <c r="K308" s="33"/>
      <c r="L308" s="34">
        <f t="shared" si="343"/>
        <v>497.93</v>
      </c>
      <c r="M308" s="35">
        <f t="shared" si="344"/>
        <v>37.933</v>
      </c>
      <c r="N308" s="36">
        <f t="shared" si="345"/>
        <v>459.99700000000001</v>
      </c>
      <c r="O308" s="37">
        <f t="shared" si="346"/>
        <v>33.450000000000003</v>
      </c>
      <c r="P308" s="37">
        <f t="shared" si="347"/>
        <v>33.33</v>
      </c>
      <c r="Q308" s="33">
        <f t="shared" si="348"/>
        <v>66.78</v>
      </c>
      <c r="R308" s="38">
        <f t="shared" ref="R308" si="353">33.45/30*E308</f>
        <v>33.450083331464917</v>
      </c>
      <c r="S308" s="35"/>
      <c r="T308" s="35"/>
      <c r="U308" s="40">
        <f t="shared" si="349"/>
        <v>560.227083331465</v>
      </c>
      <c r="V308" s="39">
        <v>560.227083331465</v>
      </c>
      <c r="W308" s="35"/>
      <c r="X308" s="42"/>
      <c r="Y308" s="140"/>
      <c r="Z308" s="141"/>
      <c r="AA308" s="40">
        <f t="shared" si="350"/>
        <v>560.227083331465</v>
      </c>
      <c r="AB308" s="36">
        <f t="shared" si="351"/>
        <v>0</v>
      </c>
      <c r="AC308" s="130"/>
      <c r="AD308" s="64"/>
      <c r="AE308" s="135"/>
      <c r="AF308" s="46">
        <f t="shared" si="352"/>
        <v>0</v>
      </c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</row>
    <row r="309" spans="1:157" ht="18" customHeight="1" x14ac:dyDescent="0.25">
      <c r="A309" s="27">
        <f>A308+1</f>
        <v>280</v>
      </c>
      <c r="B309" s="276" t="s">
        <v>371</v>
      </c>
      <c r="C309" s="29">
        <f>IF(L309&gt;=401.41,401.41,IF(L309&lt;401.41,L309))</f>
        <v>401.41</v>
      </c>
      <c r="D309" s="30">
        <f>+L309-C309</f>
        <v>96.519999999999982</v>
      </c>
      <c r="E309" s="31">
        <f>+C309/13.3803</f>
        <v>30.000074736739837</v>
      </c>
      <c r="F309" s="32">
        <f>+CALDERO!D19</f>
        <v>200</v>
      </c>
      <c r="G309" s="32">
        <v>0</v>
      </c>
      <c r="H309" s="32">
        <f>+CALDERO!F19</f>
        <v>260</v>
      </c>
      <c r="I309" s="32">
        <v>0</v>
      </c>
      <c r="J309" s="32">
        <v>37.93</v>
      </c>
      <c r="K309" s="33"/>
      <c r="L309" s="34">
        <f>+F309+G309+H309+I309+K309+J309</f>
        <v>497.93</v>
      </c>
      <c r="M309" s="35">
        <f>IF(L309&gt;=401.41,37.933,IF(L309&lt;401.41,L309*9.45%))</f>
        <v>37.933</v>
      </c>
      <c r="N309" s="36">
        <f>+L309-M309</f>
        <v>459.99700000000001</v>
      </c>
      <c r="O309" s="37">
        <f>IF(E309&gt;=30,33.45,IF(E309&lt;30,E309*1.115))</f>
        <v>33.450000000000003</v>
      </c>
      <c r="P309" s="37">
        <f>IF(E309&gt;=30,33.33,IF(E309&lt;30,E309*1.111))</f>
        <v>33.33</v>
      </c>
      <c r="Q309" s="33">
        <f>+O309+P309</f>
        <v>66.78</v>
      </c>
      <c r="R309" s="38">
        <f>33.45/30*E309</f>
        <v>33.450083331464917</v>
      </c>
      <c r="S309" s="35"/>
      <c r="T309" s="35"/>
      <c r="U309" s="40">
        <f>N309+Q309+R309+S309+T309</f>
        <v>560.227083331465</v>
      </c>
      <c r="V309" s="39">
        <v>560.227083331465</v>
      </c>
      <c r="W309" s="35"/>
      <c r="X309" s="42"/>
      <c r="Y309" s="140"/>
      <c r="Z309" s="141"/>
      <c r="AA309" s="40">
        <f>+W309+V309+X309+Y309+Z309</f>
        <v>560.227083331465</v>
      </c>
      <c r="AB309" s="36">
        <f>+U309-AA309</f>
        <v>0</v>
      </c>
      <c r="AC309" s="130"/>
      <c r="AD309" s="64"/>
      <c r="AE309" s="135"/>
      <c r="AF309" s="46">
        <f>+AB309-AC309-AD309-AE309</f>
        <v>0</v>
      </c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</row>
    <row r="310" spans="1:157" ht="18" customHeight="1" x14ac:dyDescent="0.25">
      <c r="A310" s="27">
        <f>A309+1</f>
        <v>281</v>
      </c>
      <c r="B310" s="276" t="s">
        <v>373</v>
      </c>
      <c r="C310" s="29">
        <f>IF(L310&gt;=401.41,401.41,IF(L310&lt;401.41,L310))</f>
        <v>401.41</v>
      </c>
      <c r="D310" s="30">
        <f>+L310-C310</f>
        <v>116.51999999999992</v>
      </c>
      <c r="E310" s="31">
        <f>+C310/13.3803</f>
        <v>30.000074736739837</v>
      </c>
      <c r="F310" s="32">
        <f>+CALDERO!D20</f>
        <v>200</v>
      </c>
      <c r="G310" s="32">
        <v>0</v>
      </c>
      <c r="H310" s="32">
        <f>+CALDERO!F20</f>
        <v>280</v>
      </c>
      <c r="I310" s="32">
        <v>0</v>
      </c>
      <c r="J310" s="32">
        <v>37.93</v>
      </c>
      <c r="K310" s="33"/>
      <c r="L310" s="34">
        <f>+F310+G310+H310+I310+K310+J310</f>
        <v>517.92999999999995</v>
      </c>
      <c r="M310" s="35">
        <f>IF(L310&gt;=401.41,37.933,IF(L310&lt;401.41,L310*9.45%))</f>
        <v>37.933</v>
      </c>
      <c r="N310" s="36">
        <f>+L310-M310</f>
        <v>479.99699999999996</v>
      </c>
      <c r="O310" s="37">
        <f>IF(E310&gt;=30,33.45,IF(E310&lt;30,E310*1.115))</f>
        <v>33.450000000000003</v>
      </c>
      <c r="P310" s="37">
        <f>IF(E310&gt;=30,33.33,IF(E310&lt;30,E310*1.111))</f>
        <v>33.33</v>
      </c>
      <c r="Q310" s="33">
        <f>+O310+P310</f>
        <v>66.78</v>
      </c>
      <c r="R310" s="38">
        <f>33.45/30*E310</f>
        <v>33.450083331464917</v>
      </c>
      <c r="S310" s="35"/>
      <c r="T310" s="35"/>
      <c r="U310" s="40">
        <f>N310+Q310+R310+S310+T310</f>
        <v>580.22708333146488</v>
      </c>
      <c r="V310" s="39">
        <v>580.22708333146488</v>
      </c>
      <c r="W310" s="35"/>
      <c r="X310" s="42"/>
      <c r="Y310" s="140"/>
      <c r="Z310" s="141"/>
      <c r="AA310" s="40">
        <f>+W310+V310+X310+Y310+Z310</f>
        <v>580.22708333146488</v>
      </c>
      <c r="AB310" s="36">
        <f>+U310-AA310</f>
        <v>0</v>
      </c>
      <c r="AC310" s="130"/>
      <c r="AD310" s="64"/>
      <c r="AE310" s="135"/>
      <c r="AF310" s="46">
        <f>+AB310-AC310-AD310-AE310</f>
        <v>0</v>
      </c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</row>
    <row r="311" spans="1:157" ht="18" customHeight="1" x14ac:dyDescent="0.25">
      <c r="A311" s="379" t="s">
        <v>487</v>
      </c>
      <c r="B311" s="127"/>
      <c r="C311" s="29"/>
      <c r="D311" s="30"/>
      <c r="E311" s="31"/>
      <c r="F311" s="32"/>
      <c r="G311" s="32"/>
      <c r="H311" s="32"/>
      <c r="I311" s="32"/>
      <c r="J311" s="32"/>
      <c r="K311" s="33"/>
      <c r="L311" s="34"/>
      <c r="M311" s="35"/>
      <c r="N311" s="36"/>
      <c r="O311" s="37"/>
      <c r="P311" s="37"/>
      <c r="Q311" s="33"/>
      <c r="R311" s="38"/>
      <c r="S311" s="35"/>
      <c r="T311" s="128"/>
      <c r="U311" s="40"/>
      <c r="V311" s="39"/>
      <c r="W311" s="35"/>
      <c r="X311" s="42"/>
      <c r="Y311" s="140"/>
      <c r="Z311" s="141"/>
      <c r="AA311" s="40"/>
      <c r="AB311" s="36"/>
      <c r="AC311" s="130"/>
      <c r="AD311" s="64"/>
      <c r="AE311" s="135"/>
      <c r="AF311" s="46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</row>
    <row r="312" spans="1:157" ht="18" customHeight="1" x14ac:dyDescent="0.25">
      <c r="A312" s="1047">
        <f>A310+1</f>
        <v>282</v>
      </c>
      <c r="B312" s="90" t="s">
        <v>240</v>
      </c>
      <c r="C312" s="29">
        <f t="shared" ref="C312:C316" si="354">IF(L312&gt;=401.41,401.41,IF(L312&lt;401.41,L312))</f>
        <v>401.41</v>
      </c>
      <c r="D312" s="30">
        <f t="shared" ref="D312:D316" si="355">+L312-C312</f>
        <v>235.49999999999994</v>
      </c>
      <c r="E312" s="31">
        <f t="shared" ref="E312:E316" si="356">+C312/13.3803</f>
        <v>30.000074736739837</v>
      </c>
      <c r="F312" s="32">
        <f>+ASERRIO!AI3</f>
        <v>455.79999999999995</v>
      </c>
      <c r="G312" s="32">
        <v>0</v>
      </c>
      <c r="H312" s="32">
        <f>+ASERRIO!BO3</f>
        <v>181.11</v>
      </c>
      <c r="I312" s="32">
        <v>0</v>
      </c>
      <c r="J312" s="32"/>
      <c r="K312" s="33"/>
      <c r="L312" s="34">
        <f t="shared" ref="L312:L315" si="357">+F312+G312+H312+I312+K312+J312</f>
        <v>636.91</v>
      </c>
      <c r="M312" s="35">
        <f t="shared" ref="M312:M315" si="358">IF(L312&gt;=401.41,37.933,IF(L312&lt;401.41,L312*9.45%))</f>
        <v>37.933</v>
      </c>
      <c r="N312" s="36">
        <f t="shared" ref="N312:N315" si="359">+L312-M312</f>
        <v>598.97699999999998</v>
      </c>
      <c r="O312" s="37">
        <f t="shared" ref="O312:O315" si="360">IF(E312&gt;=30,33.45,IF(E312&lt;30,E312*1.115))</f>
        <v>33.450000000000003</v>
      </c>
      <c r="P312" s="37">
        <f t="shared" ref="P312:P315" si="361">IF(E312&gt;=30,33.33,IF(E312&lt;30,E312*1.111))</f>
        <v>33.33</v>
      </c>
      <c r="Q312" s="33">
        <f t="shared" ref="Q312:Q315" si="362">+O312+P312</f>
        <v>66.78</v>
      </c>
      <c r="R312" s="270"/>
      <c r="S312" s="35"/>
      <c r="T312" s="128"/>
      <c r="U312" s="40">
        <f t="shared" ref="U312:U314" si="363">N312+Q312+R312+S312+T312</f>
        <v>665.75699999999995</v>
      </c>
      <c r="V312" s="39"/>
      <c r="W312" s="35"/>
      <c r="X312" s="42"/>
      <c r="Y312" s="140"/>
      <c r="Z312" s="141">
        <v>120.73</v>
      </c>
      <c r="AA312" s="40">
        <f t="shared" ref="AA312:AA314" si="364">+W312+V312+X312+Y312+Z312</f>
        <v>120.73</v>
      </c>
      <c r="AB312" s="36">
        <f t="shared" ref="AB312:AB314" si="365">+U312-AA312</f>
        <v>545.02699999999993</v>
      </c>
      <c r="AC312" s="130"/>
      <c r="AD312" s="64"/>
      <c r="AE312" s="135"/>
      <c r="AF312" s="46">
        <f t="shared" ref="AF312:AF314" si="366">+AB312-AC312-AD312-AE312</f>
        <v>545.02699999999993</v>
      </c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</row>
    <row r="313" spans="1:157" ht="18" customHeight="1" x14ac:dyDescent="0.25">
      <c r="A313" s="1047">
        <f>A312+1</f>
        <v>283</v>
      </c>
      <c r="B313" s="90" t="s">
        <v>485</v>
      </c>
      <c r="C313" s="29">
        <f t="shared" si="354"/>
        <v>401.41</v>
      </c>
      <c r="D313" s="30">
        <f t="shared" si="355"/>
        <v>123.56</v>
      </c>
      <c r="E313" s="31">
        <f t="shared" si="356"/>
        <v>30.000074736739837</v>
      </c>
      <c r="F313" s="32">
        <f>+ASERRIO!AI4</f>
        <v>300.25</v>
      </c>
      <c r="G313" s="32">
        <v>0</v>
      </c>
      <c r="H313" s="32">
        <f>+ASERRIO!BO4</f>
        <v>224.72000000000003</v>
      </c>
      <c r="I313" s="32">
        <v>0</v>
      </c>
      <c r="J313" s="32"/>
      <c r="K313" s="33"/>
      <c r="L313" s="34">
        <f t="shared" si="357"/>
        <v>524.97</v>
      </c>
      <c r="M313" s="35">
        <f t="shared" si="358"/>
        <v>37.933</v>
      </c>
      <c r="N313" s="36">
        <f t="shared" si="359"/>
        <v>487.03700000000003</v>
      </c>
      <c r="O313" s="37">
        <f t="shared" si="360"/>
        <v>33.450000000000003</v>
      </c>
      <c r="P313" s="37">
        <f t="shared" si="361"/>
        <v>33.33</v>
      </c>
      <c r="Q313" s="33">
        <f t="shared" si="362"/>
        <v>66.78</v>
      </c>
      <c r="R313" s="38"/>
      <c r="S313" s="35"/>
      <c r="T313" s="128"/>
      <c r="U313" s="40">
        <f t="shared" si="363"/>
        <v>553.81700000000001</v>
      </c>
      <c r="V313" s="39">
        <v>50</v>
      </c>
      <c r="W313" s="35">
        <f>+ASERRIO!BN4</f>
        <v>10</v>
      </c>
      <c r="X313" s="42"/>
      <c r="Y313" s="140"/>
      <c r="Z313" s="141"/>
      <c r="AA313" s="40">
        <f t="shared" si="364"/>
        <v>60</v>
      </c>
      <c r="AB313" s="36">
        <f t="shared" si="365"/>
        <v>493.81700000000001</v>
      </c>
      <c r="AC313" s="130"/>
      <c r="AD313" s="64"/>
      <c r="AE313" s="135"/>
      <c r="AF313" s="46">
        <f t="shared" si="366"/>
        <v>493.81700000000001</v>
      </c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</row>
    <row r="314" spans="1:157" ht="18" customHeight="1" x14ac:dyDescent="0.25">
      <c r="A314" s="1047">
        <f>A313+1</f>
        <v>284</v>
      </c>
      <c r="B314" s="90" t="s">
        <v>346</v>
      </c>
      <c r="C314" s="29">
        <f t="shared" si="354"/>
        <v>364.92999999999995</v>
      </c>
      <c r="D314" s="30">
        <f t="shared" si="355"/>
        <v>0</v>
      </c>
      <c r="E314" s="31">
        <f t="shared" si="356"/>
        <v>27.273678467597883</v>
      </c>
      <c r="F314" s="32">
        <f>+ASERRIO!AI6</f>
        <v>320.59999999999997</v>
      </c>
      <c r="G314" s="32">
        <v>0</v>
      </c>
      <c r="H314" s="32">
        <f>+ASERRIO!BO6</f>
        <v>44.33</v>
      </c>
      <c r="I314" s="32">
        <v>0</v>
      </c>
      <c r="J314" s="32"/>
      <c r="K314" s="33"/>
      <c r="L314" s="34">
        <f t="shared" si="357"/>
        <v>364.92999999999995</v>
      </c>
      <c r="M314" s="35">
        <f t="shared" si="358"/>
        <v>34.485884999999989</v>
      </c>
      <c r="N314" s="36">
        <f t="shared" si="359"/>
        <v>330.44411499999995</v>
      </c>
      <c r="O314" s="37">
        <f t="shared" si="360"/>
        <v>30.410151491371639</v>
      </c>
      <c r="P314" s="37">
        <f t="shared" si="361"/>
        <v>30.301056777501248</v>
      </c>
      <c r="Q314" s="33">
        <f t="shared" si="362"/>
        <v>60.711208268872888</v>
      </c>
      <c r="R314" s="270"/>
      <c r="S314" s="35"/>
      <c r="T314" s="128"/>
      <c r="U314" s="40">
        <f t="shared" si="363"/>
        <v>391.15532326887285</v>
      </c>
      <c r="V314" s="39"/>
      <c r="W314" s="35">
        <f>+ASERRIO!BN6</f>
        <v>10</v>
      </c>
      <c r="X314" s="42"/>
      <c r="Y314" s="140"/>
      <c r="Z314" s="141"/>
      <c r="AA314" s="40">
        <f t="shared" si="364"/>
        <v>10</v>
      </c>
      <c r="AB314" s="36">
        <f t="shared" si="365"/>
        <v>381.15532326887285</v>
      </c>
      <c r="AC314" s="130"/>
      <c r="AD314" s="64"/>
      <c r="AE314" s="135"/>
      <c r="AF314" s="46">
        <f t="shared" si="366"/>
        <v>381.15532326887285</v>
      </c>
      <c r="AG314"/>
      <c r="AH314">
        <f>9+41+10+7+17+9</f>
        <v>93</v>
      </c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</row>
    <row r="315" spans="1:157" ht="18" customHeight="1" x14ac:dyDescent="0.25">
      <c r="A315" s="1048">
        <f t="shared" ref="A315:A327" si="367">A314+1</f>
        <v>285</v>
      </c>
      <c r="B315" s="89" t="s">
        <v>402</v>
      </c>
      <c r="C315" s="29">
        <f t="shared" si="354"/>
        <v>401.41</v>
      </c>
      <c r="D315" s="30">
        <f t="shared" si="355"/>
        <v>292.09999999999997</v>
      </c>
      <c r="E315" s="31">
        <f t="shared" si="356"/>
        <v>30.000074736739837</v>
      </c>
      <c r="F315" s="32">
        <f>+ASERRIO!AI7</f>
        <v>429.39</v>
      </c>
      <c r="G315" s="32">
        <v>0</v>
      </c>
      <c r="H315" s="32">
        <f>+ASERRIO!BO7</f>
        <v>264.12</v>
      </c>
      <c r="I315" s="32">
        <v>0</v>
      </c>
      <c r="J315" s="32"/>
      <c r="K315" s="33"/>
      <c r="L315" s="34">
        <f t="shared" si="357"/>
        <v>693.51</v>
      </c>
      <c r="M315" s="35">
        <f t="shared" si="358"/>
        <v>37.933</v>
      </c>
      <c r="N315" s="36">
        <f t="shared" si="359"/>
        <v>655.577</v>
      </c>
      <c r="O315" s="37">
        <f t="shared" si="360"/>
        <v>33.450000000000003</v>
      </c>
      <c r="P315" s="37">
        <f t="shared" si="361"/>
        <v>33.33</v>
      </c>
      <c r="Q315" s="33">
        <f t="shared" si="362"/>
        <v>66.78</v>
      </c>
      <c r="R315" s="38">
        <f>33.45/30*E315</f>
        <v>33.450083331464917</v>
      </c>
      <c r="S315" s="132"/>
      <c r="T315" s="35"/>
      <c r="U315" s="40">
        <f t="shared" ref="U315" si="368">N315+Q315+R315+S315+T315</f>
        <v>755.80708333146492</v>
      </c>
      <c r="V315" s="39"/>
      <c r="W315" s="35">
        <f>+ASERRIO!AH7</f>
        <v>80</v>
      </c>
      <c r="X315" s="42"/>
      <c r="Y315" s="140"/>
      <c r="Z315" s="141"/>
      <c r="AA315" s="40">
        <f t="shared" ref="AA315" si="369">+W315+V315+X315+Y315+Z315</f>
        <v>80</v>
      </c>
      <c r="AB315" s="36">
        <f t="shared" ref="AB315" si="370">+U315-AA315</f>
        <v>675.80708333146492</v>
      </c>
      <c r="AC315" s="130"/>
      <c r="AD315" s="64"/>
      <c r="AE315" s="135"/>
      <c r="AF315" s="46">
        <f t="shared" ref="AF315" si="371">+AB315-AC315-AD315-AE315</f>
        <v>675.80708333146492</v>
      </c>
      <c r="AG315"/>
      <c r="AH315">
        <f>+AH314+13+18+11+11</f>
        <v>146</v>
      </c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</row>
    <row r="316" spans="1:157" ht="18" customHeight="1" x14ac:dyDescent="0.25">
      <c r="A316" s="1048">
        <f t="shared" si="367"/>
        <v>286</v>
      </c>
      <c r="B316" s="144" t="s">
        <v>482</v>
      </c>
      <c r="C316" s="29">
        <f t="shared" si="354"/>
        <v>401.41</v>
      </c>
      <c r="D316" s="30">
        <f t="shared" si="355"/>
        <v>489.92</v>
      </c>
      <c r="E316" s="31">
        <f t="shared" si="356"/>
        <v>30.000074736739837</v>
      </c>
      <c r="F316" s="32">
        <f>+ASERRIO!AI8</f>
        <v>608.36</v>
      </c>
      <c r="G316" s="32">
        <v>0</v>
      </c>
      <c r="H316" s="32">
        <f>+ASERRIO!BO8</f>
        <v>282.97000000000003</v>
      </c>
      <c r="I316" s="32">
        <v>0</v>
      </c>
      <c r="J316" s="32"/>
      <c r="K316" s="33"/>
      <c r="L316" s="34">
        <f t="shared" si="317"/>
        <v>891.33</v>
      </c>
      <c r="M316" s="35">
        <f t="shared" ref="M316:M329" si="372">IF(L316&gt;=401.41,37.933,IF(L316&lt;401.41,L316*9.45%))</f>
        <v>37.933</v>
      </c>
      <c r="N316" s="36">
        <f t="shared" ref="N316:N329" si="373">+L316-M316</f>
        <v>853.39700000000005</v>
      </c>
      <c r="O316" s="37">
        <f t="shared" ref="O316" si="374">IF(E316&gt;=30,33.45,IF(E316&lt;30,E316*1.115))</f>
        <v>33.450000000000003</v>
      </c>
      <c r="P316" s="37">
        <f t="shared" ref="P316" si="375">IF(E316&gt;=30,33.33,IF(E316&lt;30,E316*1.111))</f>
        <v>33.33</v>
      </c>
      <c r="Q316" s="33">
        <f t="shared" ref="Q316:Q322" si="376">+O316+P316</f>
        <v>66.78</v>
      </c>
      <c r="R316" s="38">
        <f>33.45/30*E316</f>
        <v>33.450083331464917</v>
      </c>
      <c r="S316" s="132"/>
      <c r="T316" s="35"/>
      <c r="U316" s="40">
        <f t="shared" ref="U316:U329" si="377">N316+Q316+R316+S316+T316</f>
        <v>953.62708333146497</v>
      </c>
      <c r="V316" s="39"/>
      <c r="W316" s="35">
        <f>+ASERRIO!BN8</f>
        <v>10</v>
      </c>
      <c r="X316" s="42"/>
      <c r="Y316" s="43"/>
      <c r="Z316" s="145"/>
      <c r="AA316" s="40">
        <f t="shared" si="320"/>
        <v>10</v>
      </c>
      <c r="AB316" s="36">
        <f t="shared" ref="AB316:AB329" si="378">+U316-AA316</f>
        <v>943.62708333146497</v>
      </c>
      <c r="AC316" s="130"/>
      <c r="AD316" s="39"/>
      <c r="AE316" s="135"/>
      <c r="AF316" s="46">
        <f t="shared" si="322"/>
        <v>943.62708333146497</v>
      </c>
      <c r="AJ316" s="109"/>
    </row>
    <row r="317" spans="1:157" ht="18" customHeight="1" x14ac:dyDescent="0.25">
      <c r="A317" s="1048">
        <f t="shared" si="367"/>
        <v>287</v>
      </c>
      <c r="B317" s="89" t="s">
        <v>349</v>
      </c>
      <c r="C317" s="29">
        <f t="shared" ref="C317:C329" si="379">IF(L317&gt;=401.41,401.41,IF(L317&lt;401.41,L317))</f>
        <v>401.41</v>
      </c>
      <c r="D317" s="30">
        <f t="shared" ref="D317:D329" si="380">+L317-C317</f>
        <v>195.52000000000004</v>
      </c>
      <c r="E317" s="31">
        <f t="shared" ref="E317:E329" si="381">+C317/13.3803</f>
        <v>30.000074736739837</v>
      </c>
      <c r="F317" s="32">
        <f>+ASERRIO!AI9</f>
        <v>444.29</v>
      </c>
      <c r="G317" s="32">
        <v>0</v>
      </c>
      <c r="H317" s="32">
        <f>+ASERRIO!BO9</f>
        <v>152.63999999999999</v>
      </c>
      <c r="I317" s="32">
        <v>0</v>
      </c>
      <c r="J317" s="32"/>
      <c r="K317" s="33"/>
      <c r="L317" s="34">
        <f t="shared" si="317"/>
        <v>596.93000000000006</v>
      </c>
      <c r="M317" s="35">
        <f t="shared" si="372"/>
        <v>37.933</v>
      </c>
      <c r="N317" s="36">
        <f t="shared" si="373"/>
        <v>558.99700000000007</v>
      </c>
      <c r="O317" s="37">
        <f t="shared" ref="O317:O327" si="382">IF(E317&gt;=30,33.45,IF(E317&lt;30,E317*1.115))</f>
        <v>33.450000000000003</v>
      </c>
      <c r="P317" s="37">
        <f t="shared" ref="P317:P327" si="383">IF(E317&gt;=30,33.33,IF(E317&lt;30,E317*1.111))</f>
        <v>33.33</v>
      </c>
      <c r="Q317" s="33">
        <f t="shared" si="376"/>
        <v>66.78</v>
      </c>
      <c r="R317" s="38">
        <f>33.45/30*E317</f>
        <v>33.450083331464917</v>
      </c>
      <c r="S317" s="132"/>
      <c r="T317" s="35"/>
      <c r="U317" s="40">
        <f t="shared" si="377"/>
        <v>659.227083331465</v>
      </c>
      <c r="V317" s="39"/>
      <c r="W317" s="35">
        <f>+ASERRIO!BN9</f>
        <v>10</v>
      </c>
      <c r="X317" s="42"/>
      <c r="Y317" s="43"/>
      <c r="Z317" s="145">
        <v>52.13</v>
      </c>
      <c r="AA317" s="40">
        <f t="shared" si="320"/>
        <v>62.13</v>
      </c>
      <c r="AB317" s="36">
        <f t="shared" si="378"/>
        <v>597.097083331465</v>
      </c>
      <c r="AC317" s="130"/>
      <c r="AD317" s="39"/>
      <c r="AE317" s="135"/>
      <c r="AF317" s="46">
        <f t="shared" si="322"/>
        <v>597.097083331465</v>
      </c>
      <c r="AJ317" s="109"/>
    </row>
    <row r="318" spans="1:157" ht="18" customHeight="1" x14ac:dyDescent="0.25">
      <c r="A318" s="1048">
        <f t="shared" si="367"/>
        <v>288</v>
      </c>
      <c r="B318" s="89" t="s">
        <v>403</v>
      </c>
      <c r="C318" s="29">
        <f t="shared" si="379"/>
        <v>45.7</v>
      </c>
      <c r="D318" s="30">
        <f t="shared" si="380"/>
        <v>0</v>
      </c>
      <c r="E318" s="31">
        <f t="shared" si="381"/>
        <v>3.4154690104108281</v>
      </c>
      <c r="F318" s="32">
        <f>+ASERRIO!AI10</f>
        <v>45.7</v>
      </c>
      <c r="G318" s="32">
        <v>0</v>
      </c>
      <c r="H318" s="32">
        <f>+ASERRIO!BO10</f>
        <v>0</v>
      </c>
      <c r="I318" s="32">
        <v>0</v>
      </c>
      <c r="J318" s="32"/>
      <c r="K318" s="33"/>
      <c r="L318" s="34">
        <f t="shared" si="317"/>
        <v>45.7</v>
      </c>
      <c r="M318" s="35">
        <f t="shared" si="372"/>
        <v>4.3186499999999999</v>
      </c>
      <c r="N318" s="36">
        <f t="shared" si="373"/>
        <v>41.381350000000005</v>
      </c>
      <c r="O318" s="37">
        <f t="shared" si="382"/>
        <v>3.8082479466080734</v>
      </c>
      <c r="P318" s="37">
        <f t="shared" si="383"/>
        <v>3.7945860705664298</v>
      </c>
      <c r="Q318" s="33">
        <f t="shared" si="376"/>
        <v>7.6028340171745032</v>
      </c>
      <c r="R318" s="270"/>
      <c r="S318" s="132"/>
      <c r="T318" s="35"/>
      <c r="U318" s="40">
        <f t="shared" si="377"/>
        <v>48.984184017174506</v>
      </c>
      <c r="V318" s="39"/>
      <c r="W318" s="35"/>
      <c r="X318" s="42"/>
      <c r="Y318" s="43"/>
      <c r="Z318" s="145"/>
      <c r="AA318" s="40">
        <f t="shared" si="320"/>
        <v>0</v>
      </c>
      <c r="AB318" s="36">
        <f t="shared" si="378"/>
        <v>48.984184017174506</v>
      </c>
      <c r="AC318" s="130"/>
      <c r="AD318" s="39"/>
      <c r="AE318" s="135"/>
      <c r="AF318" s="46">
        <f t="shared" si="322"/>
        <v>48.984184017174506</v>
      </c>
      <c r="AJ318" s="109"/>
    </row>
    <row r="319" spans="1:157" ht="18" customHeight="1" x14ac:dyDescent="0.25">
      <c r="A319" s="1048">
        <f>A318+1</f>
        <v>289</v>
      </c>
      <c r="B319" s="89" t="s">
        <v>350</v>
      </c>
      <c r="C319" s="29">
        <f t="shared" si="379"/>
        <v>401.41</v>
      </c>
      <c r="D319" s="30">
        <f t="shared" si="380"/>
        <v>111.80000000000001</v>
      </c>
      <c r="E319" s="31">
        <f t="shared" si="381"/>
        <v>30.000074736739837</v>
      </c>
      <c r="F319" s="32">
        <f>+ASERRIO!AI12</f>
        <v>419.70000000000005</v>
      </c>
      <c r="G319" s="32">
        <v>0</v>
      </c>
      <c r="H319" s="32">
        <f>+ASERRIO!BO12</f>
        <v>93.509999999999991</v>
      </c>
      <c r="I319" s="32">
        <v>0</v>
      </c>
      <c r="J319" s="32"/>
      <c r="K319" s="33"/>
      <c r="L319" s="34">
        <f t="shared" si="317"/>
        <v>513.21</v>
      </c>
      <c r="M319" s="35">
        <f t="shared" si="372"/>
        <v>37.933</v>
      </c>
      <c r="N319" s="36">
        <f t="shared" si="373"/>
        <v>475.27700000000004</v>
      </c>
      <c r="O319" s="37">
        <f t="shared" si="382"/>
        <v>33.450000000000003</v>
      </c>
      <c r="P319" s="37">
        <f t="shared" si="383"/>
        <v>33.33</v>
      </c>
      <c r="Q319" s="33">
        <f t="shared" si="376"/>
        <v>66.78</v>
      </c>
      <c r="R319" s="38">
        <f>33.45/30*E319</f>
        <v>33.450083331464917</v>
      </c>
      <c r="S319" s="132"/>
      <c r="T319" s="35"/>
      <c r="U319" s="40">
        <f t="shared" si="377"/>
        <v>575.50708333146497</v>
      </c>
      <c r="V319" s="39"/>
      <c r="W319" s="35">
        <f>+ASERRIO!BN12</f>
        <v>10</v>
      </c>
      <c r="X319" s="42"/>
      <c r="Y319" s="43"/>
      <c r="Z319" s="145">
        <v>41.98</v>
      </c>
      <c r="AA319" s="40">
        <f t="shared" si="320"/>
        <v>51.98</v>
      </c>
      <c r="AB319" s="36">
        <f t="shared" si="378"/>
        <v>523.52708333146495</v>
      </c>
      <c r="AC319" s="130"/>
      <c r="AD319" s="39"/>
      <c r="AE319" s="135"/>
      <c r="AF319" s="46">
        <f t="shared" si="322"/>
        <v>523.52708333146495</v>
      </c>
      <c r="AJ319" s="109"/>
    </row>
    <row r="320" spans="1:157" ht="18" customHeight="1" x14ac:dyDescent="0.25">
      <c r="A320" s="1047">
        <f t="shared" si="367"/>
        <v>290</v>
      </c>
      <c r="B320" s="144" t="s">
        <v>343</v>
      </c>
      <c r="C320" s="29">
        <f t="shared" si="379"/>
        <v>401.41</v>
      </c>
      <c r="D320" s="30">
        <f t="shared" si="380"/>
        <v>92.63999999999993</v>
      </c>
      <c r="E320" s="31">
        <f t="shared" si="381"/>
        <v>30.000074736739837</v>
      </c>
      <c r="F320" s="32">
        <f>+ASERRIO!AI13</f>
        <v>395.4</v>
      </c>
      <c r="G320" s="32">
        <v>0</v>
      </c>
      <c r="H320" s="32">
        <f>+ASERRIO!BO13</f>
        <v>98.65</v>
      </c>
      <c r="I320" s="32">
        <v>0</v>
      </c>
      <c r="J320" s="32"/>
      <c r="K320" s="33"/>
      <c r="L320" s="34">
        <f t="shared" si="317"/>
        <v>494.04999999999995</v>
      </c>
      <c r="M320" s="35">
        <f t="shared" si="372"/>
        <v>37.933</v>
      </c>
      <c r="N320" s="36">
        <f t="shared" si="373"/>
        <v>456.11699999999996</v>
      </c>
      <c r="O320" s="37">
        <f t="shared" si="382"/>
        <v>33.450000000000003</v>
      </c>
      <c r="P320" s="37">
        <f t="shared" si="383"/>
        <v>33.33</v>
      </c>
      <c r="Q320" s="33">
        <f t="shared" si="376"/>
        <v>66.78</v>
      </c>
      <c r="R320" s="38"/>
      <c r="S320" s="132"/>
      <c r="T320" s="35"/>
      <c r="U320" s="40">
        <f t="shared" si="377"/>
        <v>522.89699999999993</v>
      </c>
      <c r="V320" s="39"/>
      <c r="W320" s="35"/>
      <c r="X320" s="42"/>
      <c r="Y320" s="43"/>
      <c r="Z320" s="145"/>
      <c r="AA320" s="40">
        <f t="shared" si="320"/>
        <v>0</v>
      </c>
      <c r="AB320" s="36">
        <f t="shared" si="378"/>
        <v>522.89699999999993</v>
      </c>
      <c r="AC320" s="130"/>
      <c r="AD320" s="39"/>
      <c r="AE320" s="135"/>
      <c r="AF320" s="46">
        <f t="shared" si="322"/>
        <v>522.89699999999993</v>
      </c>
      <c r="AJ320" s="109"/>
    </row>
    <row r="321" spans="1:32" ht="18" customHeight="1" x14ac:dyDescent="0.25">
      <c r="A321" s="1047">
        <f t="shared" si="367"/>
        <v>291</v>
      </c>
      <c r="B321" s="144" t="s">
        <v>348</v>
      </c>
      <c r="C321" s="29">
        <f t="shared" si="379"/>
        <v>401.41</v>
      </c>
      <c r="D321" s="30">
        <f t="shared" si="380"/>
        <v>122.47999999999996</v>
      </c>
      <c r="E321" s="31">
        <f t="shared" si="381"/>
        <v>30.000074736739837</v>
      </c>
      <c r="F321" s="32">
        <f>+ASERRIO!AI14</f>
        <v>357.45</v>
      </c>
      <c r="G321" s="32">
        <v>0</v>
      </c>
      <c r="H321" s="32">
        <f>+ASERRIO!BO14</f>
        <v>166.44</v>
      </c>
      <c r="I321" s="32">
        <v>0</v>
      </c>
      <c r="J321" s="32"/>
      <c r="K321" s="33"/>
      <c r="L321" s="34">
        <f t="shared" si="317"/>
        <v>523.89</v>
      </c>
      <c r="M321" s="35">
        <f t="shared" si="372"/>
        <v>37.933</v>
      </c>
      <c r="N321" s="36">
        <f t="shared" si="373"/>
        <v>485.95699999999999</v>
      </c>
      <c r="O321" s="37">
        <f t="shared" si="382"/>
        <v>33.450000000000003</v>
      </c>
      <c r="P321" s="37">
        <f t="shared" si="383"/>
        <v>33.33</v>
      </c>
      <c r="Q321" s="33">
        <f t="shared" si="376"/>
        <v>66.78</v>
      </c>
      <c r="R321" s="270"/>
      <c r="S321" s="132"/>
      <c r="T321" s="35"/>
      <c r="U321" s="40">
        <f t="shared" si="377"/>
        <v>552.73699999999997</v>
      </c>
      <c r="V321" s="39"/>
      <c r="W321" s="35">
        <f>+ASERRIO!AH14</f>
        <v>30</v>
      </c>
      <c r="X321" s="42"/>
      <c r="Y321" s="43"/>
      <c r="Z321" s="143">
        <v>51.3</v>
      </c>
      <c r="AA321" s="40">
        <f t="shared" si="320"/>
        <v>81.3</v>
      </c>
      <c r="AB321" s="36">
        <f t="shared" si="378"/>
        <v>471.43699999999995</v>
      </c>
      <c r="AC321" s="130"/>
      <c r="AD321" s="39"/>
      <c r="AE321" s="135"/>
      <c r="AF321" s="46">
        <f t="shared" si="322"/>
        <v>471.43699999999995</v>
      </c>
    </row>
    <row r="322" spans="1:32" ht="18" customHeight="1" x14ac:dyDescent="0.25">
      <c r="A322" s="1047">
        <f t="shared" si="367"/>
        <v>292</v>
      </c>
      <c r="B322" s="144" t="s">
        <v>377</v>
      </c>
      <c r="C322" s="29">
        <f t="shared" si="379"/>
        <v>401.41</v>
      </c>
      <c r="D322" s="30">
        <f t="shared" si="380"/>
        <v>307.98999999999995</v>
      </c>
      <c r="E322" s="31">
        <f t="shared" si="381"/>
        <v>30.000074736739837</v>
      </c>
      <c r="F322" s="32">
        <f>+ASERRIO!AI15</f>
        <v>584.79999999999995</v>
      </c>
      <c r="G322" s="32">
        <v>0</v>
      </c>
      <c r="H322" s="32">
        <f>+ASERRIO!BO15</f>
        <v>124.6</v>
      </c>
      <c r="I322" s="32">
        <v>0</v>
      </c>
      <c r="J322" s="32"/>
      <c r="K322" s="33"/>
      <c r="L322" s="34">
        <f t="shared" si="317"/>
        <v>709.4</v>
      </c>
      <c r="M322" s="35">
        <f t="shared" si="372"/>
        <v>37.933</v>
      </c>
      <c r="N322" s="36">
        <f t="shared" si="373"/>
        <v>671.46699999999998</v>
      </c>
      <c r="O322" s="37">
        <f t="shared" si="382"/>
        <v>33.450000000000003</v>
      </c>
      <c r="P322" s="37">
        <f t="shared" si="383"/>
        <v>33.33</v>
      </c>
      <c r="Q322" s="33">
        <f t="shared" si="376"/>
        <v>66.78</v>
      </c>
      <c r="R322" s="270"/>
      <c r="S322" s="132"/>
      <c r="T322" s="35"/>
      <c r="U322" s="40">
        <f t="shared" si="377"/>
        <v>738.24699999999996</v>
      </c>
      <c r="V322" s="39"/>
      <c r="W322" s="35">
        <f>+ASERRIO!BN15</f>
        <v>10</v>
      </c>
      <c r="X322" s="42"/>
      <c r="Y322" s="43"/>
      <c r="Z322" s="143">
        <v>82.32</v>
      </c>
      <c r="AA322" s="40">
        <f t="shared" si="320"/>
        <v>92.32</v>
      </c>
      <c r="AB322" s="36">
        <f t="shared" si="378"/>
        <v>645.92699999999991</v>
      </c>
      <c r="AC322" s="130"/>
      <c r="AD322" s="39"/>
      <c r="AE322" s="135"/>
      <c r="AF322" s="46">
        <f t="shared" si="322"/>
        <v>645.92699999999991</v>
      </c>
    </row>
    <row r="323" spans="1:32" ht="18" customHeight="1" x14ac:dyDescent="0.25">
      <c r="A323" s="1047">
        <f t="shared" si="367"/>
        <v>293</v>
      </c>
      <c r="B323" s="89" t="s">
        <v>241</v>
      </c>
      <c r="C323" s="29">
        <f t="shared" si="379"/>
        <v>401.41</v>
      </c>
      <c r="D323" s="30">
        <f t="shared" si="380"/>
        <v>0.49999999999994316</v>
      </c>
      <c r="E323" s="31">
        <f t="shared" si="381"/>
        <v>30.000074736739837</v>
      </c>
      <c r="F323" s="32">
        <f>+ASERRIO!AI16</f>
        <v>228.90999999999994</v>
      </c>
      <c r="G323" s="32">
        <v>0</v>
      </c>
      <c r="H323" s="32">
        <f>+ASERRIO!BO16</f>
        <v>173.00000000000003</v>
      </c>
      <c r="I323" s="32">
        <v>0</v>
      </c>
      <c r="J323" s="32"/>
      <c r="K323" s="33"/>
      <c r="L323" s="34">
        <f t="shared" si="317"/>
        <v>401.90999999999997</v>
      </c>
      <c r="M323" s="35">
        <f t="shared" si="372"/>
        <v>37.933</v>
      </c>
      <c r="N323" s="36">
        <f t="shared" si="373"/>
        <v>363.97699999999998</v>
      </c>
      <c r="O323" s="37">
        <f t="shared" si="382"/>
        <v>33.450000000000003</v>
      </c>
      <c r="P323" s="37">
        <f t="shared" si="383"/>
        <v>33.33</v>
      </c>
      <c r="Q323" s="33">
        <f t="shared" ref="Q323:Q329" si="384">+O323+P323</f>
        <v>66.78</v>
      </c>
      <c r="R323" s="38">
        <f>33.45/30*E323</f>
        <v>33.450083331464917</v>
      </c>
      <c r="S323" s="132"/>
      <c r="T323" s="35"/>
      <c r="U323" s="40">
        <f t="shared" si="377"/>
        <v>464.20708333146484</v>
      </c>
      <c r="V323" s="39"/>
      <c r="W323" s="35"/>
      <c r="X323" s="42"/>
      <c r="Y323" s="43"/>
      <c r="Z323" s="145">
        <v>51.09</v>
      </c>
      <c r="AA323" s="40">
        <f t="shared" si="320"/>
        <v>51.09</v>
      </c>
      <c r="AB323" s="36">
        <f t="shared" si="378"/>
        <v>413.11708333146487</v>
      </c>
      <c r="AC323" s="130"/>
      <c r="AD323" s="39"/>
      <c r="AE323" s="135"/>
      <c r="AF323" s="46">
        <f t="shared" si="322"/>
        <v>413.11708333146487</v>
      </c>
    </row>
    <row r="324" spans="1:32" ht="18" customHeight="1" x14ac:dyDescent="0.25">
      <c r="A324" s="1048">
        <f t="shared" si="367"/>
        <v>294</v>
      </c>
      <c r="B324" s="144" t="s">
        <v>344</v>
      </c>
      <c r="C324" s="29">
        <f t="shared" si="379"/>
        <v>401.41</v>
      </c>
      <c r="D324" s="30">
        <f t="shared" si="380"/>
        <v>10.789999999999907</v>
      </c>
      <c r="E324" s="31">
        <f t="shared" si="381"/>
        <v>30.000074736739837</v>
      </c>
      <c r="F324" s="32">
        <f>+ASERRIO!AI17</f>
        <v>212.19999999999996</v>
      </c>
      <c r="G324" s="32">
        <v>0</v>
      </c>
      <c r="H324" s="32">
        <f>+ASERRIO!BO17</f>
        <v>200</v>
      </c>
      <c r="I324" s="32">
        <v>0</v>
      </c>
      <c r="J324" s="32"/>
      <c r="K324" s="33"/>
      <c r="L324" s="34">
        <f t="shared" si="317"/>
        <v>412.19999999999993</v>
      </c>
      <c r="M324" s="35">
        <f t="shared" si="372"/>
        <v>37.933</v>
      </c>
      <c r="N324" s="36">
        <f t="shared" si="373"/>
        <v>374.26699999999994</v>
      </c>
      <c r="O324" s="37">
        <f t="shared" si="382"/>
        <v>33.450000000000003</v>
      </c>
      <c r="P324" s="37">
        <f t="shared" si="383"/>
        <v>33.33</v>
      </c>
      <c r="Q324" s="33">
        <f t="shared" si="384"/>
        <v>66.78</v>
      </c>
      <c r="R324" s="38"/>
      <c r="S324" s="132"/>
      <c r="T324" s="35"/>
      <c r="U324" s="40">
        <f t="shared" si="377"/>
        <v>441.04699999999991</v>
      </c>
      <c r="V324" s="39"/>
      <c r="W324" s="35"/>
      <c r="X324" s="42"/>
      <c r="Y324" s="43"/>
      <c r="Z324" s="145"/>
      <c r="AA324" s="40">
        <f t="shared" si="320"/>
        <v>0</v>
      </c>
      <c r="AB324" s="36">
        <f t="shared" si="378"/>
        <v>441.04699999999991</v>
      </c>
      <c r="AC324" s="130"/>
      <c r="AD324" s="39"/>
      <c r="AE324" s="135"/>
      <c r="AF324" s="46">
        <f t="shared" si="322"/>
        <v>441.04699999999991</v>
      </c>
    </row>
    <row r="325" spans="1:32" ht="18" customHeight="1" x14ac:dyDescent="0.25">
      <c r="A325" s="1048">
        <f>A324+1</f>
        <v>295</v>
      </c>
      <c r="B325" s="147" t="s">
        <v>484</v>
      </c>
      <c r="C325" s="29">
        <f t="shared" si="379"/>
        <v>20.13</v>
      </c>
      <c r="D325" s="30">
        <f t="shared" si="380"/>
        <v>0</v>
      </c>
      <c r="E325" s="31">
        <f t="shared" si="381"/>
        <v>1.5044505728571107</v>
      </c>
      <c r="F325" s="32">
        <f>+ASERRIO!AI19</f>
        <v>0</v>
      </c>
      <c r="G325" s="32">
        <v>0</v>
      </c>
      <c r="H325" s="32">
        <f>+ASERRIO!BO19</f>
        <v>20.13</v>
      </c>
      <c r="I325" s="32">
        <v>0</v>
      </c>
      <c r="J325" s="32"/>
      <c r="K325" s="33"/>
      <c r="L325" s="34">
        <f t="shared" si="317"/>
        <v>20.13</v>
      </c>
      <c r="M325" s="35">
        <f t="shared" si="372"/>
        <v>1.9022849999999996</v>
      </c>
      <c r="N325" s="36">
        <f t="shared" si="373"/>
        <v>18.227715</v>
      </c>
      <c r="O325" s="37">
        <f t="shared" si="382"/>
        <v>1.6774623887356783</v>
      </c>
      <c r="P325" s="37">
        <f t="shared" si="383"/>
        <v>1.67144458644425</v>
      </c>
      <c r="Q325" s="33">
        <f t="shared" si="384"/>
        <v>3.3489069751799283</v>
      </c>
      <c r="R325" s="38">
        <f>33.45/30*E325</f>
        <v>1.6774623887356783</v>
      </c>
      <c r="S325" s="132"/>
      <c r="T325" s="35"/>
      <c r="U325" s="40">
        <f t="shared" si="377"/>
        <v>23.254084363915606</v>
      </c>
      <c r="V325" s="39"/>
      <c r="W325" s="35"/>
      <c r="X325" s="42"/>
      <c r="Y325" s="43"/>
      <c r="Z325" s="145"/>
      <c r="AA325" s="40">
        <f t="shared" si="320"/>
        <v>0</v>
      </c>
      <c r="AB325" s="36">
        <f t="shared" si="378"/>
        <v>23.254084363915606</v>
      </c>
      <c r="AC325" s="130"/>
      <c r="AD325" s="39"/>
      <c r="AE325" s="135"/>
      <c r="AF325" s="46">
        <f t="shared" si="322"/>
        <v>23.254084363915606</v>
      </c>
    </row>
    <row r="326" spans="1:32" ht="18" customHeight="1" x14ac:dyDescent="0.25">
      <c r="A326" s="1048">
        <f t="shared" si="367"/>
        <v>296</v>
      </c>
      <c r="B326" s="146" t="s">
        <v>486</v>
      </c>
      <c r="C326" s="29">
        <f t="shared" si="379"/>
        <v>401.41</v>
      </c>
      <c r="D326" s="30">
        <f t="shared" si="380"/>
        <v>15.740000000000066</v>
      </c>
      <c r="E326" s="31">
        <f t="shared" si="381"/>
        <v>30.000074736739837</v>
      </c>
      <c r="F326" s="32">
        <f>+ASERRIO!AI20</f>
        <v>323.75000000000006</v>
      </c>
      <c r="G326" s="32">
        <v>0</v>
      </c>
      <c r="H326" s="32">
        <f>+ASERRIO!BO20</f>
        <v>93.4</v>
      </c>
      <c r="I326" s="32">
        <v>0</v>
      </c>
      <c r="J326" s="32"/>
      <c r="K326" s="33"/>
      <c r="L326" s="34">
        <f t="shared" si="317"/>
        <v>417.15000000000009</v>
      </c>
      <c r="M326" s="35">
        <f t="shared" si="372"/>
        <v>37.933</v>
      </c>
      <c r="N326" s="36">
        <f t="shared" si="373"/>
        <v>379.2170000000001</v>
      </c>
      <c r="O326" s="37">
        <f t="shared" si="382"/>
        <v>33.450000000000003</v>
      </c>
      <c r="P326" s="37">
        <f t="shared" si="383"/>
        <v>33.33</v>
      </c>
      <c r="Q326" s="33">
        <f t="shared" si="384"/>
        <v>66.78</v>
      </c>
      <c r="R326" s="38"/>
      <c r="S326" s="132"/>
      <c r="T326" s="35"/>
      <c r="U326" s="40">
        <f t="shared" si="377"/>
        <v>445.99700000000007</v>
      </c>
      <c r="V326" s="39"/>
      <c r="W326" s="35">
        <f>+ASERRIO!BN20</f>
        <v>10</v>
      </c>
      <c r="X326" s="42">
        <v>120</v>
      </c>
      <c r="Y326" s="43"/>
      <c r="Z326" s="134"/>
      <c r="AA326" s="40">
        <f t="shared" si="320"/>
        <v>130</v>
      </c>
      <c r="AB326" s="36">
        <f t="shared" si="378"/>
        <v>315.99700000000007</v>
      </c>
      <c r="AC326" s="130"/>
      <c r="AD326" s="39"/>
      <c r="AE326" s="135"/>
      <c r="AF326" s="46">
        <f t="shared" si="322"/>
        <v>315.99700000000007</v>
      </c>
    </row>
    <row r="327" spans="1:32" ht="18" customHeight="1" x14ac:dyDescent="0.25">
      <c r="A327" s="1048">
        <f t="shared" si="367"/>
        <v>297</v>
      </c>
      <c r="B327" s="146" t="s">
        <v>405</v>
      </c>
      <c r="C327" s="29">
        <f t="shared" si="379"/>
        <v>401.41</v>
      </c>
      <c r="D327" s="30">
        <f t="shared" si="380"/>
        <v>4.0649999999999977</v>
      </c>
      <c r="E327" s="31">
        <f t="shared" si="381"/>
        <v>30.000074736739837</v>
      </c>
      <c r="F327" s="32">
        <f>+ASERRIO!AI21</f>
        <v>195.25</v>
      </c>
      <c r="G327" s="32">
        <v>0</v>
      </c>
      <c r="H327" s="32">
        <f>+ASERRIO!BO21</f>
        <v>0</v>
      </c>
      <c r="I327" s="32">
        <v>0</v>
      </c>
      <c r="J327" s="32">
        <f>13.38*5*25%</f>
        <v>16.725000000000001</v>
      </c>
      <c r="K327" s="33">
        <v>193.5</v>
      </c>
      <c r="L327" s="34">
        <f t="shared" si="317"/>
        <v>405.47500000000002</v>
      </c>
      <c r="M327" s="35">
        <f t="shared" si="372"/>
        <v>37.933</v>
      </c>
      <c r="N327" s="36">
        <f t="shared" si="373"/>
        <v>367.54200000000003</v>
      </c>
      <c r="O327" s="37">
        <f t="shared" si="382"/>
        <v>33.450000000000003</v>
      </c>
      <c r="P327" s="37">
        <f t="shared" si="383"/>
        <v>33.33</v>
      </c>
      <c r="Q327" s="33">
        <f t="shared" si="384"/>
        <v>66.78</v>
      </c>
      <c r="R327" s="38">
        <f>33.45/30*E327</f>
        <v>33.450083331464917</v>
      </c>
      <c r="S327" s="132"/>
      <c r="T327" s="35"/>
      <c r="U327" s="40">
        <f t="shared" si="377"/>
        <v>467.7720833314649</v>
      </c>
      <c r="V327" s="39"/>
      <c r="W327" s="35"/>
      <c r="X327" s="42"/>
      <c r="Y327" s="43"/>
      <c r="Z327" s="145"/>
      <c r="AA327" s="40">
        <f t="shared" si="320"/>
        <v>0</v>
      </c>
      <c r="AB327" s="36">
        <f t="shared" si="378"/>
        <v>467.7720833314649</v>
      </c>
      <c r="AC327" s="130"/>
      <c r="AD327" s="39"/>
      <c r="AE327" s="135"/>
      <c r="AF327" s="46">
        <f t="shared" si="322"/>
        <v>467.7720833314649</v>
      </c>
    </row>
    <row r="328" spans="1:32" ht="18" customHeight="1" x14ac:dyDescent="0.25">
      <c r="A328" s="1310" t="s">
        <v>477</v>
      </c>
      <c r="B328" s="1309"/>
      <c r="C328" s="29"/>
      <c r="D328" s="30"/>
      <c r="E328" s="31"/>
      <c r="F328" s="32"/>
      <c r="G328" s="32"/>
      <c r="H328" s="32"/>
      <c r="I328" s="32"/>
      <c r="J328" s="32"/>
      <c r="K328" s="33"/>
      <c r="L328" s="34"/>
      <c r="M328" s="35"/>
      <c r="N328" s="36"/>
      <c r="O328" s="35"/>
      <c r="P328" s="35"/>
      <c r="Q328" s="33"/>
      <c r="R328" s="38"/>
      <c r="S328" s="132"/>
      <c r="T328" s="35"/>
      <c r="U328" s="40"/>
      <c r="V328" s="39"/>
      <c r="W328" s="35"/>
      <c r="X328" s="42"/>
      <c r="Y328" s="43"/>
      <c r="Z328" s="145"/>
      <c r="AA328" s="40"/>
      <c r="AB328" s="36"/>
      <c r="AC328" s="130"/>
      <c r="AD328" s="39"/>
      <c r="AE328" s="135"/>
      <c r="AF328" s="46"/>
    </row>
    <row r="329" spans="1:32" ht="18" customHeight="1" x14ac:dyDescent="0.25">
      <c r="A329" s="27">
        <f>A327+1</f>
        <v>298</v>
      </c>
      <c r="B329" s="146" t="s">
        <v>347</v>
      </c>
      <c r="C329" s="29">
        <f t="shared" si="379"/>
        <v>401.41</v>
      </c>
      <c r="D329" s="30">
        <f t="shared" si="380"/>
        <v>14.88999999999993</v>
      </c>
      <c r="E329" s="31">
        <f t="shared" si="381"/>
        <v>30.000074736739837</v>
      </c>
      <c r="F329" s="32">
        <f>+ASERRIO!AI22</f>
        <v>200.89999999999995</v>
      </c>
      <c r="G329" s="32">
        <v>0</v>
      </c>
      <c r="H329" s="32">
        <f>+ASERRIO!BO22</f>
        <v>215.4</v>
      </c>
      <c r="I329" s="32">
        <v>0</v>
      </c>
      <c r="J329" s="32"/>
      <c r="K329" s="33"/>
      <c r="L329" s="34">
        <f t="shared" si="317"/>
        <v>416.29999999999995</v>
      </c>
      <c r="M329" s="35">
        <f t="shared" si="372"/>
        <v>37.933</v>
      </c>
      <c r="N329" s="36">
        <f t="shared" si="373"/>
        <v>378.36699999999996</v>
      </c>
      <c r="O329" s="270"/>
      <c r="P329" s="270"/>
      <c r="Q329" s="33">
        <f t="shared" si="384"/>
        <v>0</v>
      </c>
      <c r="R329" s="38"/>
      <c r="S329" s="132"/>
      <c r="T329" s="35"/>
      <c r="U329" s="40">
        <f t="shared" si="377"/>
        <v>378.36699999999996</v>
      </c>
      <c r="V329" s="39">
        <v>378.36699999999996</v>
      </c>
      <c r="W329" s="35"/>
      <c r="X329" s="42"/>
      <c r="Y329" s="43"/>
      <c r="Z329" s="145"/>
      <c r="AA329" s="40">
        <f t="shared" si="320"/>
        <v>378.36699999999996</v>
      </c>
      <c r="AB329" s="36">
        <f t="shared" si="378"/>
        <v>0</v>
      </c>
      <c r="AC329" s="130"/>
      <c r="AD329" s="39"/>
      <c r="AE329" s="135"/>
      <c r="AF329" s="46">
        <f t="shared" si="322"/>
        <v>0</v>
      </c>
    </row>
    <row r="330" spans="1:32" ht="18" customHeight="1" x14ac:dyDescent="0.25">
      <c r="A330" s="27">
        <f>A329+1</f>
        <v>299</v>
      </c>
      <c r="B330" s="146" t="s">
        <v>351</v>
      </c>
      <c r="C330" s="29">
        <f t="shared" ref="C330" si="385">IF(L330&gt;=401.41,401.41,IF(L330&lt;401.41,L330))</f>
        <v>401.41</v>
      </c>
      <c r="D330" s="30">
        <f t="shared" ref="D330" si="386">+L330-C330</f>
        <v>48.569999999999993</v>
      </c>
      <c r="E330" s="31">
        <f t="shared" ref="E330" si="387">+C330/13.3803</f>
        <v>30.000074736739837</v>
      </c>
      <c r="F330" s="32">
        <f>+ASERRIO!AI23</f>
        <v>224.97999999999993</v>
      </c>
      <c r="G330" s="32">
        <v>0</v>
      </c>
      <c r="H330" s="32">
        <f>+ASERRIO!BO23</f>
        <v>225.00000000000006</v>
      </c>
      <c r="I330" s="32">
        <v>0</v>
      </c>
      <c r="J330" s="32"/>
      <c r="K330" s="33"/>
      <c r="L330" s="34">
        <f t="shared" ref="L330" si="388">+F330+G330+H330+I330+K330+J330</f>
        <v>449.98</v>
      </c>
      <c r="M330" s="35">
        <f t="shared" ref="M330" si="389">IF(L330&gt;=401.41,37.933,IF(L330&lt;401.41,L330*9.45%))</f>
        <v>37.933</v>
      </c>
      <c r="N330" s="36">
        <f t="shared" ref="N330" si="390">+L330-M330</f>
        <v>412.04700000000003</v>
      </c>
      <c r="O330" s="270"/>
      <c r="P330" s="270"/>
      <c r="Q330" s="33">
        <f t="shared" ref="Q330" si="391">+O330+P330</f>
        <v>0</v>
      </c>
      <c r="R330" s="38"/>
      <c r="S330" s="132"/>
      <c r="T330" s="35"/>
      <c r="U330" s="40">
        <f t="shared" ref="U330" si="392">N330+Q330+R330+S330+T330</f>
        <v>412.04700000000003</v>
      </c>
      <c r="V330" s="39">
        <v>412.04700000000003</v>
      </c>
      <c r="W330" s="35"/>
      <c r="X330" s="42"/>
      <c r="Y330" s="43"/>
      <c r="Z330" s="145"/>
      <c r="AA330" s="40">
        <f t="shared" ref="AA330" si="393">+W330+V330+X330+Y330+Z330</f>
        <v>412.04700000000003</v>
      </c>
      <c r="AB330" s="36">
        <f t="shared" ref="AB330" si="394">+U330-AA330</f>
        <v>0</v>
      </c>
      <c r="AC330" s="130"/>
      <c r="AD330" s="39"/>
      <c r="AE330" s="135"/>
      <c r="AF330" s="46">
        <f t="shared" ref="AF330" si="395">+AB330-AC330-AD330-AE330</f>
        <v>0</v>
      </c>
    </row>
    <row r="331" spans="1:32" ht="18" customHeight="1" x14ac:dyDescent="0.25">
      <c r="A331" s="1048">
        <f>A330+1</f>
        <v>300</v>
      </c>
      <c r="B331" s="89" t="s">
        <v>404</v>
      </c>
      <c r="C331" s="29">
        <f>IF(L331&gt;=401.41,401.41,IF(L331&lt;401.41,L331))</f>
        <v>401.41</v>
      </c>
      <c r="D331" s="30">
        <f>+L331-C331</f>
        <v>332.24999999999994</v>
      </c>
      <c r="E331" s="31">
        <f>+C331/13.3803</f>
        <v>30.000074736739837</v>
      </c>
      <c r="F331" s="32">
        <f>+ASERRIO!AI11</f>
        <v>491.51</v>
      </c>
      <c r="G331" s="32">
        <v>0</v>
      </c>
      <c r="H331" s="32">
        <f>+ASERRIO!BO11</f>
        <v>242.14999999999998</v>
      </c>
      <c r="I331" s="32">
        <v>0</v>
      </c>
      <c r="J331" s="32"/>
      <c r="K331" s="33"/>
      <c r="L331" s="34">
        <f>+F331+G331+H331+I331+K331+J331</f>
        <v>733.66</v>
      </c>
      <c r="M331" s="35">
        <f>IF(L331&gt;=401.41,37.933,IF(L331&lt;401.41,L331*9.45%))</f>
        <v>37.933</v>
      </c>
      <c r="N331" s="36">
        <f>+L331-M331</f>
        <v>695.72699999999998</v>
      </c>
      <c r="O331" s="37">
        <f>IF(E331&gt;=30,33.45,IF(E331&lt;30,E331*1.115))</f>
        <v>33.450000000000003</v>
      </c>
      <c r="P331" s="37">
        <f>IF(E331&gt;=30,33.33,IF(E331&lt;30,E331*1.111))</f>
        <v>33.33</v>
      </c>
      <c r="Q331" s="33">
        <f>+O331+P331</f>
        <v>66.78</v>
      </c>
      <c r="R331" s="38">
        <f>33.45/30*E331</f>
        <v>33.450083331464917</v>
      </c>
      <c r="S331" s="132"/>
      <c r="T331" s="35"/>
      <c r="U331" s="40">
        <f>N331+Q331+R331+S331+T331</f>
        <v>795.9570833314649</v>
      </c>
      <c r="V331" s="39">
        <v>757.01708333146485</v>
      </c>
      <c r="W331" s="35">
        <f>+ASERRIO!BN11</f>
        <v>10</v>
      </c>
      <c r="X331" s="42"/>
      <c r="Y331" s="43"/>
      <c r="Z331" s="145">
        <v>28.94</v>
      </c>
      <c r="AA331" s="40">
        <f>+W331+V331+X331+Y331+Z331</f>
        <v>795.9570833314649</v>
      </c>
      <c r="AB331" s="36">
        <f>+U331-AA331</f>
        <v>0</v>
      </c>
      <c r="AC331" s="130"/>
      <c r="AD331" s="39"/>
      <c r="AE331" s="135"/>
      <c r="AF331" s="46">
        <f>+AB331-AC331-AD331-AE331</f>
        <v>0</v>
      </c>
    </row>
    <row r="332" spans="1:32" ht="18" customHeight="1" x14ac:dyDescent="0.25">
      <c r="A332" s="1048">
        <f>A331+1</f>
        <v>301</v>
      </c>
      <c r="B332" s="146" t="s">
        <v>483</v>
      </c>
      <c r="C332" s="29">
        <f>IF(L332&gt;=401.41,401.41,IF(L332&lt;401.41,L332))</f>
        <v>20.13</v>
      </c>
      <c r="D332" s="30">
        <f>+L332-C332</f>
        <v>0</v>
      </c>
      <c r="E332" s="31">
        <f>+C332/13.3803</f>
        <v>1.5044505728571107</v>
      </c>
      <c r="F332" s="32">
        <f>+ASERRIO!AI18</f>
        <v>0</v>
      </c>
      <c r="G332" s="32">
        <v>0</v>
      </c>
      <c r="H332" s="32">
        <f>+ASERRIO!BO18</f>
        <v>20.13</v>
      </c>
      <c r="I332" s="32">
        <v>0</v>
      </c>
      <c r="J332" s="32"/>
      <c r="K332" s="33"/>
      <c r="L332" s="34">
        <f>+F332+G332+H332+I332+K332+J332</f>
        <v>20.13</v>
      </c>
      <c r="M332" s="35">
        <f>IF(L332&gt;=401.41,37.933,IF(L332&lt;401.41,L332*9.45%))</f>
        <v>1.9022849999999996</v>
      </c>
      <c r="N332" s="36">
        <f>+L332-M332</f>
        <v>18.227715</v>
      </c>
      <c r="O332" s="37">
        <f>IF(E332&gt;=30,33.45,IF(E332&lt;30,E332*1.115))</f>
        <v>1.6774623887356783</v>
      </c>
      <c r="P332" s="37">
        <f>IF(E332&gt;=30,33.33,IF(E332&lt;30,E332*1.111))</f>
        <v>1.67144458644425</v>
      </c>
      <c r="Q332" s="33">
        <f>+O332+P332</f>
        <v>3.3489069751799283</v>
      </c>
      <c r="R332" s="38">
        <f>33.45/30*E332</f>
        <v>1.6774623887356783</v>
      </c>
      <c r="S332" s="132"/>
      <c r="T332" s="35"/>
      <c r="U332" s="40">
        <f>N332+Q332+R332+S332+T332</f>
        <v>23.254084363915606</v>
      </c>
      <c r="V332" s="39">
        <v>23.254084363915606</v>
      </c>
      <c r="W332" s="35"/>
      <c r="X332" s="42"/>
      <c r="Y332" s="43"/>
      <c r="Z332" s="145"/>
      <c r="AA332" s="40">
        <f>+W332+V332+X332+Y332+Z332</f>
        <v>23.254084363915606</v>
      </c>
      <c r="AB332" s="36">
        <f>+U332-AA332</f>
        <v>0</v>
      </c>
      <c r="AC332" s="130"/>
      <c r="AD332" s="39"/>
      <c r="AE332" s="135"/>
      <c r="AF332" s="46">
        <f>+AB332-AC332-AD332-AE332</f>
        <v>0</v>
      </c>
    </row>
    <row r="333" spans="1:32" ht="18" customHeight="1" thickBot="1" x14ac:dyDescent="0.3">
      <c r="A333" s="1047">
        <f>A332+1</f>
        <v>302</v>
      </c>
      <c r="B333" s="90" t="s">
        <v>345</v>
      </c>
      <c r="C333" s="29">
        <f>IF(L333&gt;=401.41,401.41,IF(L333&lt;401.41,L333))</f>
        <v>401.41</v>
      </c>
      <c r="D333" s="30">
        <f>+L333-C333</f>
        <v>165.46999999999986</v>
      </c>
      <c r="E333" s="31">
        <f>+C333/13.3803</f>
        <v>30.000074736739837</v>
      </c>
      <c r="F333" s="32">
        <f>+ASERRIO!AI5</f>
        <v>350.92999999999995</v>
      </c>
      <c r="G333" s="32">
        <v>0</v>
      </c>
      <c r="H333" s="32">
        <f>+ASERRIO!BO5</f>
        <v>215.95</v>
      </c>
      <c r="I333" s="32">
        <v>0</v>
      </c>
      <c r="J333" s="32"/>
      <c r="K333" s="33"/>
      <c r="L333" s="34">
        <f>+F333+G333+H333+I333+K333+J333</f>
        <v>566.87999999999988</v>
      </c>
      <c r="M333" s="35">
        <f>IF(L333&gt;=401.41,37.933,IF(L333&lt;401.41,L333*9.45%))</f>
        <v>37.933</v>
      </c>
      <c r="N333" s="36">
        <f>+L333-M333</f>
        <v>528.94699999999989</v>
      </c>
      <c r="O333" s="37">
        <f>IF(E333&gt;=30,33.45,IF(E333&lt;30,E333*1.115))</f>
        <v>33.450000000000003</v>
      </c>
      <c r="P333" s="37">
        <f>IF(E333&gt;=30,33.33,IF(E333&lt;30,E333*1.111))</f>
        <v>33.33</v>
      </c>
      <c r="Q333" s="33">
        <f>+O333+P333</f>
        <v>66.78</v>
      </c>
      <c r="R333" s="38"/>
      <c r="S333" s="35"/>
      <c r="T333" s="128"/>
      <c r="U333" s="40">
        <f>N333+Q333+R333+S333+T333</f>
        <v>595.72699999999986</v>
      </c>
      <c r="V333" s="39">
        <v>585.72699999999986</v>
      </c>
      <c r="W333" s="35">
        <f>+ASERRIO!BN5</f>
        <v>10</v>
      </c>
      <c r="X333" s="42"/>
      <c r="Y333" s="140"/>
      <c r="Z333" s="141"/>
      <c r="AA333" s="40">
        <f>+W333+V333+X333+Y333+Z333</f>
        <v>595.72699999999986</v>
      </c>
      <c r="AB333" s="36">
        <f>+U333-AA333</f>
        <v>0</v>
      </c>
      <c r="AC333" s="130"/>
      <c r="AD333" s="64"/>
      <c r="AE333" s="135"/>
      <c r="AF333" s="46">
        <f>+AB333-AC333-AD333-AE333</f>
        <v>0</v>
      </c>
    </row>
    <row r="334" spans="1:32" ht="18" customHeight="1" thickBot="1" x14ac:dyDescent="0.3">
      <c r="A334" s="1318" t="s">
        <v>218</v>
      </c>
      <c r="B334" s="1319"/>
      <c r="C334" s="110">
        <f>SUM(C258:C333)</f>
        <v>24046.5</v>
      </c>
      <c r="D334" s="110">
        <f>SUM(D258:D333)</f>
        <v>3900.8349999999991</v>
      </c>
      <c r="E334" s="110"/>
      <c r="F334" s="111">
        <f>SUM(F258:F333)</f>
        <v>16470.870000000003</v>
      </c>
      <c r="G334" s="111">
        <f t="shared" ref="G334:I334" si="396">SUM(G258:G333)</f>
        <v>0</v>
      </c>
      <c r="H334" s="111">
        <f>SUM(H258:H333)</f>
        <v>10603.249999999998</v>
      </c>
      <c r="I334" s="111">
        <f t="shared" si="396"/>
        <v>0</v>
      </c>
      <c r="J334" s="111">
        <f t="shared" ref="J334:S334" si="397">SUM(J258:J333)</f>
        <v>679.71499999999992</v>
      </c>
      <c r="K334" s="111">
        <f t="shared" si="397"/>
        <v>193.5</v>
      </c>
      <c r="L334" s="110">
        <f t="shared" si="397"/>
        <v>27947.33500000001</v>
      </c>
      <c r="M334" s="111">
        <f t="shared" si="397"/>
        <v>2272.3859199999997</v>
      </c>
      <c r="N334" s="111">
        <f t="shared" si="397"/>
        <v>25674.949079999988</v>
      </c>
      <c r="O334" s="110">
        <f t="shared" si="397"/>
        <v>1879.727770304105</v>
      </c>
      <c r="P334" s="110">
        <f t="shared" si="397"/>
        <v>1872.9843522940434</v>
      </c>
      <c r="Q334" s="110">
        <f t="shared" si="397"/>
        <v>3752.7121225981523</v>
      </c>
      <c r="R334" s="110">
        <f t="shared" si="397"/>
        <v>1116.335803382585</v>
      </c>
      <c r="S334" s="110">
        <f t="shared" si="397"/>
        <v>13.38</v>
      </c>
      <c r="T334" s="110">
        <f t="shared" ref="T334:U334" si="398">SUM(T258:T333)</f>
        <v>0</v>
      </c>
      <c r="U334" s="110">
        <f t="shared" si="398"/>
        <v>30557.377005980725</v>
      </c>
      <c r="V334" s="110">
        <f t="shared" ref="V334:AA334" si="399">SUM(V258:V333)</f>
        <v>11869.083915439453</v>
      </c>
      <c r="W334" s="110">
        <f t="shared" si="399"/>
        <v>200</v>
      </c>
      <c r="X334" s="110">
        <f t="shared" si="399"/>
        <v>130</v>
      </c>
      <c r="Y334" s="110">
        <f t="shared" si="399"/>
        <v>0</v>
      </c>
      <c r="Z334" s="110">
        <f t="shared" si="399"/>
        <v>627.88000000000011</v>
      </c>
      <c r="AA334" s="110">
        <f t="shared" si="399"/>
        <v>12826.96391543945</v>
      </c>
      <c r="AB334" s="110">
        <f t="shared" ref="AB334" si="400">SUM(AB258:AB333)</f>
        <v>17730.413090541279</v>
      </c>
      <c r="AC334" s="110">
        <f t="shared" ref="AC334:AE334" si="401">SUM(AC258:AC333)</f>
        <v>0</v>
      </c>
      <c r="AD334" s="110">
        <f t="shared" si="401"/>
        <v>0</v>
      </c>
      <c r="AE334" s="110">
        <f t="shared" si="401"/>
        <v>0</v>
      </c>
      <c r="AF334" s="110">
        <f>SUM(AF258:AF333)</f>
        <v>17730.413090541279</v>
      </c>
    </row>
    <row r="335" spans="1:32" ht="18" customHeight="1" x14ac:dyDescent="0.25">
      <c r="A335" s="105"/>
      <c r="B335" s="148"/>
      <c r="L335" s="148"/>
      <c r="M335" s="148"/>
      <c r="Q335" s="57"/>
      <c r="T335" s="148"/>
      <c r="U335" s="82"/>
      <c r="W335" s="148"/>
      <c r="AA335" s="82"/>
      <c r="AB335" s="149"/>
      <c r="AC335" s="149"/>
      <c r="AF335" s="150"/>
    </row>
    <row r="336" spans="1:32" ht="18" customHeight="1" thickBot="1" x14ac:dyDescent="0.3">
      <c r="Q336" s="57"/>
    </row>
    <row r="337" spans="1:157" ht="18" customHeight="1" thickBot="1" x14ac:dyDescent="0.3">
      <c r="A337" s="151"/>
      <c r="B337" s="152" t="s">
        <v>242</v>
      </c>
      <c r="C337" s="153">
        <f>+C334+C254</f>
        <v>110600.67923407465</v>
      </c>
      <c r="D337" s="153">
        <f>+D334+D254</f>
        <v>28529.960609522845</v>
      </c>
      <c r="E337" s="153">
        <f>+E334+E254</f>
        <v>0</v>
      </c>
      <c r="F337" s="153">
        <f t="shared" ref="F337:I337" si="402">+F334+F254</f>
        <v>86380.546387628769</v>
      </c>
      <c r="G337" s="153">
        <f>+G334+G254</f>
        <v>0</v>
      </c>
      <c r="H337" s="153">
        <f>+H334+H254</f>
        <v>50296.658455968354</v>
      </c>
      <c r="I337" s="153">
        <f t="shared" si="402"/>
        <v>0</v>
      </c>
      <c r="J337" s="153">
        <f t="shared" ref="J337:S337" si="403">+J334+J254</f>
        <v>1937.4349999999999</v>
      </c>
      <c r="K337" s="153">
        <f t="shared" si="403"/>
        <v>516</v>
      </c>
      <c r="L337" s="155">
        <f t="shared" si="403"/>
        <v>139130.63984359722</v>
      </c>
      <c r="M337" s="156">
        <f t="shared" si="403"/>
        <v>10451.711022620018</v>
      </c>
      <c r="N337" s="153">
        <f t="shared" si="403"/>
        <v>128678.9288209771</v>
      </c>
      <c r="O337" s="157">
        <f t="shared" si="403"/>
        <v>9025.4990707228208</v>
      </c>
      <c r="P337" s="157">
        <f t="shared" si="403"/>
        <v>8993.1205987202356</v>
      </c>
      <c r="Q337" s="158">
        <f t="shared" si="403"/>
        <v>18018.619669443131</v>
      </c>
      <c r="R337" s="158">
        <f t="shared" si="403"/>
        <v>6074.5323559066946</v>
      </c>
      <c r="S337" s="158">
        <f t="shared" si="403"/>
        <v>313.38</v>
      </c>
      <c r="T337" s="156">
        <f t="shared" ref="T337" si="404">+T334+T254</f>
        <v>0</v>
      </c>
      <c r="U337" s="159">
        <f>+U334+U254+U346</f>
        <v>153557.77857359956</v>
      </c>
      <c r="V337" s="158">
        <f>+V334+V254</f>
        <v>68259.500761132454</v>
      </c>
      <c r="W337" s="156">
        <f>+W334+W254</f>
        <v>200</v>
      </c>
      <c r="X337" s="158">
        <f>+X334+X254+X346</f>
        <v>160</v>
      </c>
      <c r="Y337" s="158">
        <f>+Y334+Y254+Y346</f>
        <v>0</v>
      </c>
      <c r="Z337" s="158">
        <f>+Z334+Z254</f>
        <v>3140.09</v>
      </c>
      <c r="AA337" s="159">
        <f t="shared" ref="AA337:AF337" si="405">+AA334+AA254+AA346</f>
        <v>71759.590761132466</v>
      </c>
      <c r="AB337" s="160">
        <f t="shared" si="405"/>
        <v>81798.187812467222</v>
      </c>
      <c r="AC337" s="157">
        <f t="shared" si="405"/>
        <v>0</v>
      </c>
      <c r="AD337" s="157">
        <f t="shared" si="405"/>
        <v>0</v>
      </c>
      <c r="AE337" s="157">
        <f t="shared" si="405"/>
        <v>0</v>
      </c>
      <c r="AF337" s="161">
        <f t="shared" si="405"/>
        <v>81798.187812467222</v>
      </c>
    </row>
    <row r="338" spans="1:157" ht="18" customHeight="1" x14ac:dyDescent="0.25">
      <c r="A338" s="151"/>
      <c r="B338" s="152" t="s">
        <v>378</v>
      </c>
      <c r="C338" s="280"/>
      <c r="D338" s="281">
        <v>3105.67</v>
      </c>
      <c r="E338" s="280"/>
      <c r="F338" s="154"/>
      <c r="G338" s="154"/>
      <c r="H338" s="154"/>
      <c r="I338" s="154"/>
      <c r="J338" s="154"/>
      <c r="K338" s="154"/>
      <c r="L338" s="162"/>
      <c r="M338" s="156"/>
      <c r="N338" s="280"/>
      <c r="O338" s="157"/>
      <c r="P338" s="157"/>
      <c r="Q338" s="158"/>
      <c r="R338" s="158"/>
      <c r="S338" s="158"/>
      <c r="T338" s="156"/>
      <c r="U338" s="159"/>
      <c r="V338" s="158"/>
      <c r="W338" s="156"/>
      <c r="X338" s="158"/>
      <c r="Y338" s="158"/>
      <c r="Z338" s="158"/>
      <c r="AA338" s="159"/>
      <c r="AB338" s="160"/>
      <c r="AC338" s="157"/>
      <c r="AD338" s="157"/>
      <c r="AE338" s="157"/>
      <c r="AF338" s="161"/>
      <c r="AJ338" s="109"/>
    </row>
    <row r="339" spans="1:157" ht="18" customHeight="1" x14ac:dyDescent="0.25">
      <c r="A339" s="151"/>
      <c r="B339" s="152" t="s">
        <v>379</v>
      </c>
      <c r="C339" s="280"/>
      <c r="D339" s="280">
        <v>17485.53</v>
      </c>
      <c r="E339" s="280"/>
      <c r="F339" s="154"/>
      <c r="G339" s="154"/>
      <c r="H339" s="154"/>
      <c r="I339" s="154"/>
      <c r="J339" s="154"/>
      <c r="K339" s="154"/>
      <c r="L339" s="281"/>
      <c r="M339" s="156"/>
      <c r="N339" s="280"/>
      <c r="O339" s="157"/>
      <c r="P339" s="157"/>
      <c r="Q339" s="158"/>
      <c r="R339" s="158"/>
      <c r="S339" s="158"/>
      <c r="T339" s="156"/>
      <c r="U339" s="159"/>
      <c r="V339" s="158"/>
      <c r="W339" s="156"/>
      <c r="X339" s="158"/>
      <c r="Y339" s="158"/>
      <c r="Z339" s="158"/>
      <c r="AA339" s="159"/>
      <c r="AB339" s="160"/>
      <c r="AC339" s="157"/>
      <c r="AD339" s="157"/>
      <c r="AE339" s="157"/>
      <c r="AF339" s="161"/>
    </row>
    <row r="340" spans="1:157" ht="15" customHeight="1" thickBot="1" x14ac:dyDescent="0.3">
      <c r="B340" s="163"/>
      <c r="C340" s="164"/>
      <c r="D340" s="164">
        <f>+(D337+D338+D339)*9.45%</f>
        <v>4641.9496775999078</v>
      </c>
      <c r="E340" s="164"/>
      <c r="F340" s="165"/>
      <c r="G340" s="165"/>
      <c r="H340" s="165"/>
      <c r="I340" s="165"/>
      <c r="J340" s="165"/>
      <c r="K340" s="165"/>
      <c r="L340" s="166"/>
      <c r="M340" s="116"/>
      <c r="N340" s="164"/>
      <c r="O340" s="167"/>
      <c r="P340" s="167"/>
      <c r="Q340" s="167"/>
      <c r="R340" s="168"/>
      <c r="S340" s="168"/>
      <c r="T340" s="116"/>
      <c r="U340" s="169"/>
      <c r="V340" s="168"/>
      <c r="W340" s="116"/>
      <c r="X340" s="168"/>
      <c r="Y340" s="168"/>
      <c r="Z340" s="168"/>
      <c r="AA340" s="169"/>
      <c r="AB340" s="168"/>
      <c r="AC340" s="168"/>
      <c r="AD340" s="168"/>
      <c r="AE340" s="168"/>
      <c r="AF340" s="168"/>
    </row>
    <row r="341" spans="1:157" ht="15" customHeight="1" x14ac:dyDescent="0.25">
      <c r="A341" s="368" t="s">
        <v>479</v>
      </c>
      <c r="B341" s="367"/>
      <c r="C341" s="10" t="s">
        <v>4</v>
      </c>
      <c r="D341" s="10" t="s">
        <v>5</v>
      </c>
      <c r="E341" s="10" t="s">
        <v>6</v>
      </c>
      <c r="F341" s="9" t="s">
        <v>7</v>
      </c>
      <c r="G341" s="9" t="s">
        <v>8</v>
      </c>
      <c r="H341" s="9" t="s">
        <v>7</v>
      </c>
      <c r="I341" s="11" t="s">
        <v>8</v>
      </c>
      <c r="J341" s="11"/>
      <c r="K341" s="11"/>
      <c r="L341" s="14" t="s">
        <v>11</v>
      </c>
      <c r="M341" s="15" t="s">
        <v>12</v>
      </c>
      <c r="N341" s="16" t="s">
        <v>13</v>
      </c>
      <c r="O341" s="170" t="s">
        <v>14</v>
      </c>
      <c r="P341" s="170" t="s">
        <v>15</v>
      </c>
      <c r="Q341" s="18" t="s">
        <v>16</v>
      </c>
      <c r="R341" s="171" t="s">
        <v>17</v>
      </c>
      <c r="S341" s="19" t="s">
        <v>18</v>
      </c>
      <c r="T341" s="11" t="s">
        <v>19</v>
      </c>
      <c r="U341" s="20" t="s">
        <v>243</v>
      </c>
      <c r="V341" s="19" t="s">
        <v>21</v>
      </c>
      <c r="W341" s="11" t="s">
        <v>22</v>
      </c>
      <c r="X341" s="21" t="s">
        <v>23</v>
      </c>
      <c r="Y341" s="22" t="s">
        <v>24</v>
      </c>
      <c r="Z341" s="126" t="s">
        <v>25</v>
      </c>
      <c r="AA341" s="20" t="s">
        <v>26</v>
      </c>
      <c r="AB341" s="16" t="s">
        <v>27</v>
      </c>
      <c r="AC341" s="24" t="s">
        <v>28</v>
      </c>
      <c r="AD341" s="25" t="s">
        <v>29</v>
      </c>
      <c r="AE341" s="25"/>
      <c r="AF341" s="26" t="s">
        <v>30</v>
      </c>
      <c r="FA341"/>
    </row>
    <row r="342" spans="1:157" s="162" customFormat="1" ht="18" customHeight="1" x14ac:dyDescent="0.25">
      <c r="A342" s="27">
        <v>1</v>
      </c>
      <c r="B342" s="89" t="s">
        <v>445</v>
      </c>
      <c r="C342" s="29">
        <f>IF(L342&gt;=401.41,401.41,IF(L342&lt;401.41,L342))</f>
        <v>245.90536363636363</v>
      </c>
      <c r="D342" s="30">
        <f>+L342-C342</f>
        <v>0</v>
      </c>
      <c r="E342" s="31">
        <f>+C342/13.3803</f>
        <v>18.37816518586008</v>
      </c>
      <c r="F342" s="32">
        <f>+ENCOLAJE!AK29</f>
        <v>73</v>
      </c>
      <c r="G342" s="32"/>
      <c r="H342" s="32">
        <f>+ENCOLAJE!BU29</f>
        <v>172.90536363636363</v>
      </c>
      <c r="I342" s="32"/>
      <c r="J342" s="32"/>
      <c r="K342" s="33"/>
      <c r="L342" s="34">
        <f>+F342+G342+H342+I342+K342+J342</f>
        <v>245.90536363636363</v>
      </c>
      <c r="M342" s="35">
        <v>0</v>
      </c>
      <c r="N342" s="36">
        <f>+L342-M342</f>
        <v>245.90536363636363</v>
      </c>
      <c r="O342" s="37">
        <v>0</v>
      </c>
      <c r="P342" s="37">
        <v>0</v>
      </c>
      <c r="Q342" s="33"/>
      <c r="R342" s="33"/>
      <c r="S342" s="39"/>
      <c r="T342" s="35"/>
      <c r="U342" s="40">
        <f>N342+Q342+R342+S342+T342</f>
        <v>245.90536363636363</v>
      </c>
      <c r="V342" s="39"/>
      <c r="W342" s="35"/>
      <c r="X342" s="42"/>
      <c r="Y342" s="43"/>
      <c r="Z342" s="55"/>
      <c r="AA342" s="40">
        <f>+W342+V342+X342+Y342+Z342</f>
        <v>0</v>
      </c>
      <c r="AB342" s="36">
        <f>+U342-AA342</f>
        <v>245.90536363636363</v>
      </c>
      <c r="AC342" s="103"/>
      <c r="AD342" s="103"/>
      <c r="AE342" s="67"/>
      <c r="AF342" s="46">
        <f>+AB342-AC342-AD342-AE342</f>
        <v>245.90536363636363</v>
      </c>
      <c r="AG342" s="151"/>
      <c r="AH342" s="151"/>
      <c r="AI342" s="151"/>
      <c r="AJ342" s="151"/>
      <c r="AK342" s="151"/>
      <c r="AL342" s="151"/>
      <c r="AM342" s="151"/>
      <c r="AN342" s="151"/>
      <c r="AO342" s="151"/>
      <c r="AP342" s="151"/>
      <c r="AQ342" s="151"/>
      <c r="AR342" s="151"/>
      <c r="AS342" s="151"/>
      <c r="AT342" s="151"/>
      <c r="AU342" s="151"/>
      <c r="AV342" s="151"/>
      <c r="AW342" s="151"/>
      <c r="AX342" s="151"/>
      <c r="AY342" s="151"/>
      <c r="AZ342" s="151"/>
      <c r="BA342" s="151"/>
      <c r="BB342" s="151"/>
      <c r="BC342" s="151"/>
      <c r="BD342" s="151"/>
      <c r="BE342" s="151"/>
      <c r="BF342" s="151"/>
      <c r="BG342" s="151"/>
      <c r="BH342" s="151"/>
      <c r="BI342" s="151"/>
      <c r="BJ342" s="151"/>
      <c r="BK342" s="151"/>
      <c r="BL342" s="151"/>
      <c r="BM342" s="151"/>
      <c r="BN342" s="151"/>
      <c r="BO342" s="151"/>
      <c r="BP342" s="151"/>
      <c r="BQ342" s="151"/>
      <c r="BR342" s="151"/>
      <c r="BS342" s="151"/>
      <c r="BT342" s="151"/>
      <c r="BU342" s="151"/>
      <c r="BV342" s="151"/>
      <c r="BW342" s="151"/>
      <c r="BX342" s="151"/>
      <c r="BY342" s="151"/>
      <c r="BZ342" s="151"/>
      <c r="CA342" s="151"/>
      <c r="CB342" s="151"/>
      <c r="CC342" s="151"/>
      <c r="CD342" s="151"/>
      <c r="CE342" s="151"/>
      <c r="CF342" s="151"/>
      <c r="CG342" s="151"/>
      <c r="CH342" s="151"/>
      <c r="CI342" s="151"/>
      <c r="CJ342" s="151"/>
      <c r="CK342" s="151"/>
      <c r="CL342" s="151"/>
      <c r="CM342" s="151"/>
      <c r="CN342" s="151"/>
      <c r="CO342" s="151"/>
      <c r="CP342" s="151"/>
      <c r="CQ342" s="151"/>
      <c r="CR342" s="151"/>
      <c r="CS342" s="151"/>
      <c r="CT342" s="151"/>
      <c r="CU342" s="151"/>
      <c r="CV342" s="151"/>
      <c r="CW342" s="151"/>
      <c r="CX342" s="151"/>
      <c r="CY342" s="151"/>
      <c r="CZ342" s="151"/>
      <c r="DA342" s="151"/>
      <c r="DB342" s="151"/>
      <c r="DC342" s="151"/>
      <c r="DD342" s="151"/>
      <c r="DE342" s="151"/>
      <c r="DF342" s="151"/>
      <c r="DG342" s="151"/>
      <c r="DH342" s="151"/>
      <c r="DI342" s="151"/>
      <c r="DJ342" s="151"/>
      <c r="DK342" s="151"/>
      <c r="DL342" s="151"/>
      <c r="DM342" s="151"/>
      <c r="DN342" s="151"/>
      <c r="DO342" s="151"/>
      <c r="DP342" s="151"/>
      <c r="DQ342" s="151"/>
      <c r="DR342" s="151"/>
      <c r="DS342" s="151"/>
      <c r="DT342" s="151"/>
      <c r="DU342" s="151"/>
      <c r="DV342" s="151"/>
      <c r="DW342" s="151"/>
      <c r="DX342" s="151"/>
      <c r="DY342" s="151"/>
      <c r="DZ342" s="151"/>
      <c r="EA342" s="151"/>
      <c r="EB342" s="151"/>
      <c r="EC342" s="151"/>
      <c r="ED342" s="151"/>
      <c r="EE342" s="151"/>
      <c r="EF342" s="151"/>
      <c r="EG342" s="151"/>
      <c r="EH342" s="151"/>
      <c r="EI342" s="151"/>
      <c r="EJ342" s="151"/>
      <c r="EK342" s="151"/>
      <c r="EL342" s="151"/>
      <c r="EM342" s="151"/>
      <c r="EN342" s="151"/>
      <c r="EO342" s="151"/>
      <c r="EP342" s="151"/>
      <c r="EQ342" s="151"/>
      <c r="ER342" s="151"/>
      <c r="ES342" s="151"/>
      <c r="ET342" s="151"/>
      <c r="EU342" s="151"/>
      <c r="EV342" s="151"/>
      <c r="EW342" s="151"/>
      <c r="EX342" s="151"/>
      <c r="EY342" s="151"/>
      <c r="EZ342" s="151"/>
      <c r="FA342" s="151"/>
    </row>
    <row r="343" spans="1:157" s="162" customFormat="1" ht="18" customHeight="1" x14ac:dyDescent="0.25">
      <c r="A343" s="27">
        <v>2</v>
      </c>
      <c r="B343" s="89" t="s">
        <v>446</v>
      </c>
      <c r="C343" s="29">
        <f>IF(L343&gt;=401.41,401.41,IF(L343&lt;401.41,L343))</f>
        <v>72.096000000000004</v>
      </c>
      <c r="D343" s="30">
        <f>+L343-C343</f>
        <v>0</v>
      </c>
      <c r="E343" s="31">
        <f>+C343/13.3803</f>
        <v>5.3882199950673755</v>
      </c>
      <c r="F343" s="32">
        <f>+ENCOLAJE!AK30</f>
        <v>0</v>
      </c>
      <c r="G343" s="32"/>
      <c r="H343" s="32">
        <f>+ENCOLAJE!BU30</f>
        <v>72.096000000000004</v>
      </c>
      <c r="I343" s="32"/>
      <c r="J343" s="32"/>
      <c r="K343" s="33"/>
      <c r="L343" s="34">
        <f>+F343+G343+H343+I343+K343+J343</f>
        <v>72.096000000000004</v>
      </c>
      <c r="M343" s="35">
        <v>0</v>
      </c>
      <c r="N343" s="36">
        <f>+L343-M343</f>
        <v>72.096000000000004</v>
      </c>
      <c r="O343" s="37">
        <v>0</v>
      </c>
      <c r="P343" s="37">
        <v>0</v>
      </c>
      <c r="Q343" s="33"/>
      <c r="R343" s="53"/>
      <c r="S343" s="39"/>
      <c r="T343" s="35"/>
      <c r="U343" s="40">
        <f>N343+Q343+R343+S343+T343</f>
        <v>72.096000000000004</v>
      </c>
      <c r="V343" s="39"/>
      <c r="W343" s="35"/>
      <c r="X343" s="42"/>
      <c r="Y343" s="43"/>
      <c r="Z343" s="55"/>
      <c r="AA343" s="40">
        <f>+W343+V343+X343+Y343+Z343</f>
        <v>0</v>
      </c>
      <c r="AB343" s="36">
        <f>+U343-AA343</f>
        <v>72.096000000000004</v>
      </c>
      <c r="AC343" s="79"/>
      <c r="AD343" s="45"/>
      <c r="AE343" s="67"/>
      <c r="AF343" s="46">
        <f>+AB343-AC343-AD343-AE343</f>
        <v>72.096000000000004</v>
      </c>
      <c r="AG343" s="151"/>
      <c r="AH343" s="151"/>
      <c r="AI343" s="151"/>
      <c r="AJ343" s="151"/>
      <c r="AK343" s="151"/>
      <c r="AL343" s="151"/>
      <c r="AM343" s="151"/>
      <c r="AN343" s="151"/>
      <c r="AO343" s="151"/>
      <c r="AP343" s="151"/>
      <c r="AQ343" s="151"/>
      <c r="AR343" s="151"/>
      <c r="AS343" s="151"/>
      <c r="AT343" s="151"/>
      <c r="AU343" s="151"/>
      <c r="AV343" s="151"/>
      <c r="AW343" s="151"/>
      <c r="AX343" s="151"/>
      <c r="AY343" s="151"/>
      <c r="AZ343" s="151"/>
      <c r="BA343" s="151"/>
      <c r="BB343" s="151"/>
      <c r="BC343" s="151"/>
      <c r="BD343" s="151"/>
      <c r="BE343" s="151"/>
      <c r="BF343" s="151"/>
      <c r="BG343" s="151"/>
      <c r="BH343" s="151"/>
      <c r="BI343" s="151"/>
      <c r="BJ343" s="151"/>
      <c r="BK343" s="151"/>
      <c r="BL343" s="151"/>
      <c r="BM343" s="151"/>
      <c r="BN343" s="151"/>
      <c r="BO343" s="151"/>
      <c r="BP343" s="151"/>
      <c r="BQ343" s="151"/>
      <c r="BR343" s="151"/>
      <c r="BS343" s="151"/>
      <c r="BT343" s="151"/>
      <c r="BU343" s="151"/>
      <c r="BV343" s="151"/>
      <c r="BW343" s="151"/>
      <c r="BX343" s="151"/>
      <c r="BY343" s="151"/>
      <c r="BZ343" s="151"/>
      <c r="CA343" s="151"/>
      <c r="CB343" s="151"/>
      <c r="CC343" s="151"/>
      <c r="CD343" s="151"/>
      <c r="CE343" s="151"/>
      <c r="CF343" s="151"/>
      <c r="CG343" s="151"/>
      <c r="CH343" s="151"/>
      <c r="CI343" s="151"/>
      <c r="CJ343" s="151"/>
      <c r="CK343" s="151"/>
      <c r="CL343" s="151"/>
      <c r="CM343" s="151"/>
      <c r="CN343" s="151"/>
      <c r="CO343" s="151"/>
      <c r="CP343" s="151"/>
      <c r="CQ343" s="151"/>
      <c r="CR343" s="151"/>
      <c r="CS343" s="151"/>
      <c r="CT343" s="151"/>
      <c r="CU343" s="151"/>
      <c r="CV343" s="151"/>
      <c r="CW343" s="151"/>
      <c r="CX343" s="151"/>
      <c r="CY343" s="151"/>
      <c r="CZ343" s="151"/>
      <c r="DA343" s="151"/>
      <c r="DB343" s="151"/>
      <c r="DC343" s="151"/>
      <c r="DD343" s="151"/>
      <c r="DE343" s="151"/>
      <c r="DF343" s="151"/>
      <c r="DG343" s="151"/>
      <c r="DH343" s="151"/>
      <c r="DI343" s="151"/>
      <c r="DJ343" s="151"/>
      <c r="DK343" s="151"/>
      <c r="DL343" s="151"/>
      <c r="DM343" s="151"/>
      <c r="DN343" s="151"/>
      <c r="DO343" s="151"/>
      <c r="DP343" s="151"/>
      <c r="DQ343" s="151"/>
      <c r="DR343" s="151"/>
      <c r="DS343" s="151"/>
      <c r="DT343" s="151"/>
      <c r="DU343" s="151"/>
      <c r="DV343" s="151"/>
      <c r="DW343" s="151"/>
      <c r="DX343" s="151"/>
      <c r="DY343" s="151"/>
      <c r="DZ343" s="151"/>
      <c r="EA343" s="151"/>
      <c r="EB343" s="151"/>
      <c r="EC343" s="151"/>
      <c r="ED343" s="151"/>
      <c r="EE343" s="151"/>
      <c r="EF343" s="151"/>
      <c r="EG343" s="151"/>
      <c r="EH343" s="151"/>
      <c r="EI343" s="151"/>
      <c r="EJ343" s="151"/>
      <c r="EK343" s="151"/>
      <c r="EL343" s="151"/>
      <c r="EM343" s="151"/>
      <c r="EN343" s="151"/>
      <c r="EO343" s="151"/>
      <c r="EP343" s="151"/>
      <c r="EQ343" s="151"/>
      <c r="ER343" s="151"/>
      <c r="ES343" s="151"/>
      <c r="ET343" s="151"/>
      <c r="EU343" s="151"/>
      <c r="EV343" s="151"/>
      <c r="EW343" s="151"/>
      <c r="EX343" s="151"/>
      <c r="EY343" s="151"/>
      <c r="EZ343" s="151"/>
      <c r="FA343" s="151"/>
    </row>
    <row r="344" spans="1:157" s="162" customFormat="1" ht="18" customHeight="1" x14ac:dyDescent="0.25">
      <c r="A344" s="27">
        <v>3</v>
      </c>
      <c r="B344" s="89" t="s">
        <v>447</v>
      </c>
      <c r="C344" s="29">
        <f>IF(L344&gt;=401.41,401.41,IF(L344&lt;401.41,L344))</f>
        <v>77.316363636363633</v>
      </c>
      <c r="D344" s="30">
        <f>+L344-C344</f>
        <v>0</v>
      </c>
      <c r="E344" s="31">
        <f>+C344/13.3803</f>
        <v>5.7783729539968185</v>
      </c>
      <c r="F344" s="32">
        <f>+ENCOLAJE!AK31</f>
        <v>0</v>
      </c>
      <c r="G344" s="32"/>
      <c r="H344" s="32">
        <f>+ENCOLAJE!BU31</f>
        <v>77.316363636363633</v>
      </c>
      <c r="I344" s="32"/>
      <c r="J344" s="32"/>
      <c r="K344" s="65"/>
      <c r="L344" s="34">
        <f>+F344+G344+H344+I344+K344+J344</f>
        <v>77.316363636363633</v>
      </c>
      <c r="M344" s="35">
        <v>0</v>
      </c>
      <c r="N344" s="36">
        <f>+L344-M344</f>
        <v>77.316363636363633</v>
      </c>
      <c r="O344" s="37">
        <v>0</v>
      </c>
      <c r="P344" s="37">
        <v>0</v>
      </c>
      <c r="Q344" s="33"/>
      <c r="R344" s="33"/>
      <c r="S344" s="39"/>
      <c r="T344" s="35"/>
      <c r="U344" s="40">
        <f>N344+Q344+R344+S344+T344</f>
        <v>77.316363636363633</v>
      </c>
      <c r="V344" s="39"/>
      <c r="W344" s="35"/>
      <c r="X344" s="42"/>
      <c r="Y344" s="43"/>
      <c r="Z344" s="55"/>
      <c r="AA344" s="40">
        <f>+W344+V344+X344+Y344+Z344</f>
        <v>0</v>
      </c>
      <c r="AB344" s="36">
        <f>+U344-AA344</f>
        <v>77.316363636363633</v>
      </c>
      <c r="AC344" s="79"/>
      <c r="AD344" s="78"/>
      <c r="AE344" s="67"/>
      <c r="AF344" s="46">
        <f>+AB344-AC344-AD344-AE344</f>
        <v>77.316363636363633</v>
      </c>
      <c r="AG344" s="151"/>
      <c r="AH344" s="151"/>
      <c r="AI344" s="151"/>
      <c r="AJ344" s="151"/>
      <c r="AK344" s="151"/>
      <c r="AL344" s="151"/>
      <c r="AM344" s="151"/>
      <c r="AN344" s="151"/>
      <c r="AO344" s="151"/>
      <c r="AP344" s="151"/>
      <c r="AQ344" s="151"/>
      <c r="AR344" s="151"/>
      <c r="AS344" s="151"/>
      <c r="AT344" s="151"/>
      <c r="AU344" s="151"/>
      <c r="AV344" s="151"/>
      <c r="AW344" s="151"/>
      <c r="AX344" s="151"/>
      <c r="AY344" s="151"/>
      <c r="AZ344" s="151"/>
      <c r="BA344" s="151"/>
      <c r="BB344" s="151"/>
      <c r="BC344" s="151"/>
      <c r="BD344" s="151"/>
      <c r="BE344" s="151"/>
      <c r="BF344" s="151"/>
      <c r="BG344" s="151"/>
      <c r="BH344" s="151"/>
      <c r="BI344" s="151"/>
      <c r="BJ344" s="151"/>
      <c r="BK344" s="151"/>
      <c r="BL344" s="151"/>
      <c r="BM344" s="151"/>
      <c r="BN344" s="151"/>
      <c r="BO344" s="151"/>
      <c r="BP344" s="151"/>
      <c r="BQ344" s="151"/>
      <c r="BR344" s="151"/>
      <c r="BS344" s="151"/>
      <c r="BT344" s="151"/>
      <c r="BU344" s="151"/>
      <c r="BV344" s="151"/>
      <c r="BW344" s="151"/>
      <c r="BX344" s="151"/>
      <c r="BY344" s="151"/>
      <c r="BZ344" s="151"/>
      <c r="CA344" s="151"/>
      <c r="CB344" s="151"/>
      <c r="CC344" s="151"/>
      <c r="CD344" s="151"/>
      <c r="CE344" s="151"/>
      <c r="CF344" s="151"/>
      <c r="CG344" s="151"/>
      <c r="CH344" s="151"/>
      <c r="CI344" s="151"/>
      <c r="CJ344" s="151"/>
      <c r="CK344" s="151"/>
      <c r="CL344" s="151"/>
      <c r="CM344" s="151"/>
      <c r="CN344" s="151"/>
      <c r="CO344" s="151"/>
      <c r="CP344" s="151"/>
      <c r="CQ344" s="151"/>
      <c r="CR344" s="151"/>
      <c r="CS344" s="151"/>
      <c r="CT344" s="151"/>
      <c r="CU344" s="151"/>
      <c r="CV344" s="151"/>
      <c r="CW344" s="151"/>
      <c r="CX344" s="151"/>
      <c r="CY344" s="151"/>
      <c r="CZ344" s="151"/>
      <c r="DA344" s="151"/>
      <c r="DB344" s="151"/>
      <c r="DC344" s="151"/>
      <c r="DD344" s="151"/>
      <c r="DE344" s="151"/>
      <c r="DF344" s="151"/>
      <c r="DG344" s="151"/>
      <c r="DH344" s="151"/>
      <c r="DI344" s="151"/>
      <c r="DJ344" s="151"/>
      <c r="DK344" s="151"/>
      <c r="DL344" s="151"/>
      <c r="DM344" s="151"/>
      <c r="DN344" s="151"/>
      <c r="DO344" s="151"/>
      <c r="DP344" s="151"/>
      <c r="DQ344" s="151"/>
      <c r="DR344" s="151"/>
      <c r="DS344" s="151"/>
      <c r="DT344" s="151"/>
      <c r="DU344" s="151"/>
      <c r="DV344" s="151"/>
      <c r="DW344" s="151"/>
      <c r="DX344" s="151"/>
      <c r="DY344" s="151"/>
      <c r="DZ344" s="151"/>
      <c r="EA344" s="151"/>
      <c r="EB344" s="151"/>
      <c r="EC344" s="151"/>
      <c r="ED344" s="151"/>
      <c r="EE344" s="151"/>
      <c r="EF344" s="151"/>
      <c r="EG344" s="151"/>
      <c r="EH344" s="151"/>
      <c r="EI344" s="151"/>
      <c r="EJ344" s="151"/>
      <c r="EK344" s="151"/>
      <c r="EL344" s="151"/>
      <c r="EM344" s="151"/>
      <c r="EN344" s="151"/>
      <c r="EO344" s="151"/>
      <c r="EP344" s="151"/>
      <c r="EQ344" s="151"/>
      <c r="ER344" s="151"/>
      <c r="ES344" s="151"/>
      <c r="ET344" s="151"/>
      <c r="EU344" s="151"/>
      <c r="EV344" s="151"/>
      <c r="EW344" s="151"/>
      <c r="EX344" s="151"/>
      <c r="EY344" s="151"/>
      <c r="EZ344" s="151"/>
      <c r="FA344" s="151"/>
    </row>
    <row r="345" spans="1:157" ht="18" customHeight="1" thickBot="1" x14ac:dyDescent="0.3">
      <c r="A345" s="27">
        <v>4</v>
      </c>
      <c r="B345" s="89" t="s">
        <v>448</v>
      </c>
      <c r="C345" s="29">
        <f>IF(L345&gt;=401.41,401.41,IF(L345&lt;401.41,L345))</f>
        <v>77</v>
      </c>
      <c r="D345" s="30">
        <f>+L345-C345</f>
        <v>0</v>
      </c>
      <c r="E345" s="31">
        <f>+C345/13.3803</f>
        <v>5.7547289672129924</v>
      </c>
      <c r="F345" s="32">
        <f>+ENCOLAJE!AK33</f>
        <v>0</v>
      </c>
      <c r="G345" s="32"/>
      <c r="H345" s="32">
        <f>+ENCOLAJE!BU33</f>
        <v>77</v>
      </c>
      <c r="I345" s="32"/>
      <c r="J345" s="32"/>
      <c r="K345" s="33"/>
      <c r="L345" s="34">
        <f>+F345+G345+H345+I345+K345+J345</f>
        <v>77</v>
      </c>
      <c r="M345" s="35">
        <v>0</v>
      </c>
      <c r="N345" s="36">
        <f>+L345-M345</f>
        <v>77</v>
      </c>
      <c r="O345" s="37">
        <v>0</v>
      </c>
      <c r="P345" s="37">
        <v>0</v>
      </c>
      <c r="Q345" s="33">
        <f>+O345+P345</f>
        <v>0</v>
      </c>
      <c r="R345" s="53"/>
      <c r="S345" s="39"/>
      <c r="T345" s="35"/>
      <c r="U345" s="40">
        <f>N345+Q345+R345+S345+T345</f>
        <v>77</v>
      </c>
      <c r="V345" s="39"/>
      <c r="W345" s="35"/>
      <c r="X345" s="42"/>
      <c r="Y345" s="43"/>
      <c r="Z345" s="44"/>
      <c r="AA345" s="40">
        <f>+W345+V345+X345+Y345+Z345</f>
        <v>0</v>
      </c>
      <c r="AB345" s="36">
        <f>+U345-AA345</f>
        <v>77</v>
      </c>
      <c r="AC345" s="79"/>
      <c r="AD345" s="79"/>
      <c r="AE345" s="68"/>
      <c r="AF345" s="46">
        <f>+AB345-AC345-AD345-AE345</f>
        <v>77</v>
      </c>
    </row>
    <row r="346" spans="1:157" s="57" customFormat="1" ht="18" customHeight="1" thickBot="1" x14ac:dyDescent="0.3">
      <c r="A346" s="1300" t="s">
        <v>218</v>
      </c>
      <c r="B346" s="1301"/>
      <c r="C346" s="110">
        <f>SUM(C342:C345)</f>
        <v>472.31772727272727</v>
      </c>
      <c r="D346" s="110">
        <f>SUM(D342:D345)</f>
        <v>0</v>
      </c>
      <c r="E346" s="110"/>
      <c r="F346" s="111">
        <f t="shared" ref="F346:AF346" si="406">SUM(F342:F345)</f>
        <v>73</v>
      </c>
      <c r="G346" s="111">
        <f t="shared" si="406"/>
        <v>0</v>
      </c>
      <c r="H346" s="111">
        <f t="shared" si="406"/>
        <v>399.31772727272727</v>
      </c>
      <c r="I346" s="111">
        <f t="shared" si="406"/>
        <v>0</v>
      </c>
      <c r="J346" s="111">
        <f t="shared" si="406"/>
        <v>0</v>
      </c>
      <c r="K346" s="111">
        <f t="shared" si="406"/>
        <v>0</v>
      </c>
      <c r="L346" s="1045">
        <f t="shared" si="406"/>
        <v>472.31772727272727</v>
      </c>
      <c r="M346" s="1045">
        <f t="shared" si="406"/>
        <v>0</v>
      </c>
      <c r="N346" s="1045">
        <f t="shared" si="406"/>
        <v>472.31772727272727</v>
      </c>
      <c r="O346" s="1045">
        <f t="shared" si="406"/>
        <v>0</v>
      </c>
      <c r="P346" s="1045">
        <f t="shared" si="406"/>
        <v>0</v>
      </c>
      <c r="Q346" s="1045">
        <f t="shared" si="406"/>
        <v>0</v>
      </c>
      <c r="R346" s="1045">
        <f t="shared" si="406"/>
        <v>0</v>
      </c>
      <c r="S346" s="1045">
        <f t="shared" si="406"/>
        <v>0</v>
      </c>
      <c r="T346" s="1045">
        <f t="shared" si="406"/>
        <v>0</v>
      </c>
      <c r="U346" s="1045">
        <f t="shared" si="406"/>
        <v>472.31772727272727</v>
      </c>
      <c r="V346" s="1045">
        <f t="shared" si="406"/>
        <v>0</v>
      </c>
      <c r="W346" s="1045">
        <f t="shared" si="406"/>
        <v>0</v>
      </c>
      <c r="X346" s="1045">
        <f t="shared" si="406"/>
        <v>0</v>
      </c>
      <c r="Y346" s="1045">
        <f t="shared" si="406"/>
        <v>0</v>
      </c>
      <c r="Z346" s="1045">
        <f t="shared" si="406"/>
        <v>0</v>
      </c>
      <c r="AA346" s="1045">
        <f t="shared" si="406"/>
        <v>0</v>
      </c>
      <c r="AB346" s="1046">
        <f t="shared" si="406"/>
        <v>472.31772727272727</v>
      </c>
      <c r="AC346" s="1045">
        <f t="shared" si="406"/>
        <v>0</v>
      </c>
      <c r="AD346" s="1045">
        <f t="shared" si="406"/>
        <v>0</v>
      </c>
      <c r="AE346" s="1045">
        <f t="shared" si="406"/>
        <v>0</v>
      </c>
      <c r="AF346" s="1046">
        <f t="shared" si="406"/>
        <v>472.31772727272727</v>
      </c>
    </row>
    <row r="347" spans="1:157" ht="18" customHeight="1" x14ac:dyDescent="0.25"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</row>
    <row r="348" spans="1:157" ht="18" customHeight="1" x14ac:dyDescent="0.25">
      <c r="C348" s="82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</row>
    <row r="349" spans="1:157" ht="20.25" hidden="1" customHeight="1" x14ac:dyDescent="0.25">
      <c r="C349" s="54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</row>
    <row r="350" spans="1:157" ht="18" hidden="1" customHeight="1" x14ac:dyDescent="0.25">
      <c r="D350" s="80">
        <f>D337+D338+D339</f>
        <v>49121.160609522842</v>
      </c>
      <c r="E350" s="57" t="s">
        <v>380</v>
      </c>
      <c r="O350" s="54"/>
      <c r="U350" s="172"/>
      <c r="V350" s="172"/>
      <c r="AC350" s="54"/>
      <c r="AD350" s="173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</row>
    <row r="351" spans="1:157" ht="18" hidden="1" customHeight="1" x14ac:dyDescent="0.25">
      <c r="D351" s="80">
        <f>D350*9.45%</f>
        <v>4641.9496775999078</v>
      </c>
      <c r="E351" s="57" t="s">
        <v>381</v>
      </c>
      <c r="U351" s="172"/>
      <c r="V351" s="172"/>
      <c r="AB351" s="82"/>
      <c r="AC351" s="82"/>
      <c r="AF351" s="174"/>
    </row>
    <row r="352" spans="1:157" hidden="1" x14ac:dyDescent="0.25">
      <c r="D352" s="165">
        <f>D350-D351</f>
        <v>44479.210931922935</v>
      </c>
      <c r="E352" t="s">
        <v>244</v>
      </c>
      <c r="P352" s="54"/>
      <c r="U352" s="172"/>
      <c r="V352" s="172"/>
    </row>
    <row r="353" spans="4:161" hidden="1" x14ac:dyDescent="0.25">
      <c r="D353" s="285">
        <v>1257.77</v>
      </c>
      <c r="E353" t="s">
        <v>382</v>
      </c>
      <c r="G353" s="175" t="s">
        <v>245</v>
      </c>
      <c r="M353" s="175"/>
      <c r="U353" s="172"/>
      <c r="V353" s="172"/>
    </row>
    <row r="354" spans="4:161" hidden="1" x14ac:dyDescent="0.25">
      <c r="D354" s="286">
        <f>+D352+D353</f>
        <v>45736.980931922932</v>
      </c>
      <c r="E354" t="s">
        <v>383</v>
      </c>
      <c r="U354" s="172"/>
      <c r="V354" s="172"/>
      <c r="AA354" s="54"/>
    </row>
    <row r="355" spans="4:161" hidden="1" outlineLevel="1" x14ac:dyDescent="0.25">
      <c r="D355" s="80">
        <f>D354*12%</f>
        <v>5488.4377118307511</v>
      </c>
      <c r="E355" t="s">
        <v>246</v>
      </c>
      <c r="F355" s="57"/>
      <c r="G355" s="176" t="s">
        <v>244</v>
      </c>
      <c r="H355" s="176" t="s">
        <v>246</v>
      </c>
      <c r="I355" s="176" t="s">
        <v>247</v>
      </c>
      <c r="J355" s="176"/>
      <c r="K355" s="176"/>
      <c r="L355" s="176" t="s">
        <v>248</v>
      </c>
      <c r="M355" s="176" t="s">
        <v>386</v>
      </c>
      <c r="N355" s="177" t="s">
        <v>249</v>
      </c>
      <c r="O355" s="1312" t="s">
        <v>250</v>
      </c>
      <c r="P355" s="1312"/>
      <c r="Q355" s="1312"/>
      <c r="R355" s="1312"/>
      <c r="S355" s="178" t="s">
        <v>251</v>
      </c>
      <c r="T355" s="179" t="s">
        <v>252</v>
      </c>
      <c r="U355" s="179" t="s">
        <v>253</v>
      </c>
      <c r="AA355" s="180"/>
      <c r="AD355"/>
      <c r="AE355" s="5"/>
      <c r="AF355" s="1"/>
      <c r="FA355"/>
    </row>
    <row r="356" spans="4:161" hidden="1" outlineLevel="1" x14ac:dyDescent="0.25">
      <c r="D356" s="80">
        <f>D354+D355</f>
        <v>51225.418643753685</v>
      </c>
      <c r="E356" t="s">
        <v>257</v>
      </c>
      <c r="G356" s="182">
        <v>3456.67</v>
      </c>
      <c r="H356" s="183">
        <f>G356*12%</f>
        <v>414.80039999999997</v>
      </c>
      <c r="I356" s="182">
        <f>+G356+H356</f>
        <v>3871.4704000000002</v>
      </c>
      <c r="J356" s="182"/>
      <c r="K356" s="182"/>
      <c r="L356" s="183">
        <f>+H356</f>
        <v>414.80039999999997</v>
      </c>
      <c r="M356" s="184">
        <f>+G356*2.75%</f>
        <v>95.058425</v>
      </c>
      <c r="N356" s="185">
        <f>+I356-L356-M356</f>
        <v>3361.6115749999999</v>
      </c>
      <c r="O356" s="1311"/>
      <c r="P356" s="1311"/>
      <c r="Q356" s="1311"/>
      <c r="R356" s="1311"/>
      <c r="S356" s="186"/>
      <c r="T356" s="187"/>
      <c r="U356" s="188"/>
      <c r="X356" s="54"/>
      <c r="AD356"/>
      <c r="AE356" s="5"/>
      <c r="AF356" s="1"/>
      <c r="FA356"/>
    </row>
    <row r="357" spans="4:161" hidden="1" outlineLevel="1" x14ac:dyDescent="0.25">
      <c r="D357" s="80">
        <f>D355*100%</f>
        <v>5488.4377118307511</v>
      </c>
      <c r="E357" s="181" t="s">
        <v>254</v>
      </c>
      <c r="G357" s="182">
        <v>4568.32</v>
      </c>
      <c r="H357" s="183">
        <f>G357*12%</f>
        <v>548.19839999999999</v>
      </c>
      <c r="I357" s="182">
        <f t="shared" ref="I357:I367" si="407">+G357+H357</f>
        <v>5116.5183999999999</v>
      </c>
      <c r="J357" s="182"/>
      <c r="K357" s="182"/>
      <c r="L357" s="183">
        <f t="shared" ref="L357:L367" si="408">+H357</f>
        <v>548.19839999999999</v>
      </c>
      <c r="M357" s="184">
        <f t="shared" ref="M357:M367" si="409">+G357*2.75%</f>
        <v>125.6288</v>
      </c>
      <c r="N357" s="185">
        <f>+I357-L357-M357</f>
        <v>4442.6911999999993</v>
      </c>
      <c r="O357" s="1311"/>
      <c r="P357" s="1311"/>
      <c r="Q357" s="1311"/>
      <c r="R357" s="1311"/>
      <c r="S357" s="186"/>
      <c r="T357" s="187"/>
      <c r="U357" s="188"/>
      <c r="AD357"/>
      <c r="AE357" s="5"/>
      <c r="AF357" s="1"/>
      <c r="FA357"/>
    </row>
    <row r="358" spans="4:161" hidden="1" outlineLevel="1" x14ac:dyDescent="0.25">
      <c r="D358" s="287">
        <f>D354*2.75%</f>
        <v>1257.7669756278806</v>
      </c>
      <c r="E358" s="181" t="s">
        <v>384</v>
      </c>
      <c r="G358" s="182">
        <v>3385.65</v>
      </c>
      <c r="H358" s="183">
        <f>G358*12%</f>
        <v>406.27800000000002</v>
      </c>
      <c r="I358" s="182">
        <f t="shared" si="407"/>
        <v>3791.9279999999999</v>
      </c>
      <c r="J358" s="182"/>
      <c r="K358" s="182"/>
      <c r="L358" s="183">
        <f t="shared" si="408"/>
        <v>406.27800000000002</v>
      </c>
      <c r="M358" s="184">
        <f t="shared" si="409"/>
        <v>93.105375000000009</v>
      </c>
      <c r="N358" s="185">
        <f t="shared" ref="N358:N367" si="410">+I358-L358-M358</f>
        <v>3292.5446249999995</v>
      </c>
      <c r="O358" s="1311"/>
      <c r="P358" s="1311"/>
      <c r="Q358" s="1311"/>
      <c r="R358" s="1311"/>
      <c r="S358" s="186"/>
      <c r="T358" s="187"/>
      <c r="U358" s="188"/>
      <c r="AD358"/>
      <c r="AE358" s="5"/>
      <c r="AF358" s="1"/>
      <c r="FA358"/>
    </row>
    <row r="359" spans="4:161" hidden="1" outlineLevel="1" x14ac:dyDescent="0.25">
      <c r="D359" s="190">
        <f>+D356-D357-D358</f>
        <v>44479.213956295054</v>
      </c>
      <c r="E359" t="s">
        <v>385</v>
      </c>
      <c r="G359" s="182">
        <v>4082</v>
      </c>
      <c r="H359" s="183">
        <f>G359*12%</f>
        <v>489.84</v>
      </c>
      <c r="I359" s="182">
        <f t="shared" si="407"/>
        <v>4571.84</v>
      </c>
      <c r="J359" s="182"/>
      <c r="K359" s="182"/>
      <c r="L359" s="183">
        <f t="shared" si="408"/>
        <v>489.84</v>
      </c>
      <c r="M359" s="184">
        <f t="shared" si="409"/>
        <v>112.255</v>
      </c>
      <c r="N359" s="185">
        <f t="shared" si="410"/>
        <v>3969.7449999999999</v>
      </c>
      <c r="O359" s="1311"/>
      <c r="P359" s="1311"/>
      <c r="Q359" s="1311"/>
      <c r="R359" s="1311"/>
      <c r="S359" s="186"/>
      <c r="T359" s="187"/>
      <c r="U359" s="188"/>
      <c r="AD359"/>
      <c r="AE359" s="5"/>
      <c r="AF359" s="1"/>
      <c r="FA359"/>
    </row>
    <row r="360" spans="4:161" hidden="1" outlineLevel="1" x14ac:dyDescent="0.25">
      <c r="G360" s="182">
        <v>4610.43</v>
      </c>
      <c r="H360" s="183">
        <f>+G360*12%</f>
        <v>553.25160000000005</v>
      </c>
      <c r="I360" s="182">
        <f t="shared" si="407"/>
        <v>5163.6815999999999</v>
      </c>
      <c r="J360" s="182"/>
      <c r="K360" s="182"/>
      <c r="L360" s="183">
        <f t="shared" si="408"/>
        <v>553.25160000000005</v>
      </c>
      <c r="M360" s="184">
        <f t="shared" si="409"/>
        <v>126.78682500000001</v>
      </c>
      <c r="N360" s="185">
        <f t="shared" si="410"/>
        <v>4483.6431750000002</v>
      </c>
      <c r="O360" s="1311"/>
      <c r="P360" s="1311"/>
      <c r="Q360" s="1311"/>
      <c r="R360" s="1311"/>
      <c r="S360" s="186"/>
      <c r="T360" s="187"/>
      <c r="U360" s="188"/>
      <c r="AD360"/>
      <c r="AE360" s="5"/>
      <c r="AF360" s="1"/>
      <c r="FB360" s="1"/>
      <c r="FC360" s="1"/>
      <c r="FD360" s="1"/>
    </row>
    <row r="361" spans="4:161" hidden="1" outlineLevel="1" x14ac:dyDescent="0.25">
      <c r="G361" s="182">
        <v>3789</v>
      </c>
      <c r="H361" s="183">
        <f>+G361*12%</f>
        <v>454.68</v>
      </c>
      <c r="I361" s="182">
        <f t="shared" si="407"/>
        <v>4243.68</v>
      </c>
      <c r="J361" s="182"/>
      <c r="K361" s="182"/>
      <c r="L361" s="183">
        <f t="shared" si="408"/>
        <v>454.68</v>
      </c>
      <c r="M361" s="184">
        <f t="shared" si="409"/>
        <v>104.19750000000001</v>
      </c>
      <c r="N361" s="185">
        <f t="shared" si="410"/>
        <v>3684.8025000000002</v>
      </c>
      <c r="O361" s="1313"/>
      <c r="P361" s="1314"/>
      <c r="Q361" s="1314"/>
      <c r="R361" s="1315"/>
      <c r="S361" s="186"/>
      <c r="T361" s="187"/>
      <c r="U361" s="188"/>
      <c r="AD361"/>
      <c r="AE361" s="5"/>
      <c r="AF361" s="1"/>
      <c r="FB361" s="1"/>
      <c r="FC361" s="1"/>
      <c r="FD361" s="1"/>
    </row>
    <row r="362" spans="4:161" hidden="1" outlineLevel="1" x14ac:dyDescent="0.25">
      <c r="G362" s="182">
        <v>3789</v>
      </c>
      <c r="H362" s="183">
        <f t="shared" ref="H362:H365" si="411">+G362*12%</f>
        <v>454.68</v>
      </c>
      <c r="I362" s="182">
        <f t="shared" ref="I362:I365" si="412">+G362+H362</f>
        <v>4243.68</v>
      </c>
      <c r="J362" s="182"/>
      <c r="K362" s="182"/>
      <c r="L362" s="183">
        <f t="shared" si="408"/>
        <v>454.68</v>
      </c>
      <c r="M362" s="184">
        <f t="shared" si="409"/>
        <v>104.19750000000001</v>
      </c>
      <c r="N362" s="185">
        <f t="shared" si="410"/>
        <v>3684.8025000000002</v>
      </c>
      <c r="O362" s="1313"/>
      <c r="P362" s="1314"/>
      <c r="Q362" s="1314"/>
      <c r="R362" s="1315"/>
      <c r="S362" s="186"/>
      <c r="T362" s="187"/>
      <c r="U362" s="188"/>
      <c r="AD362"/>
      <c r="AE362" s="5"/>
      <c r="AF362" s="1"/>
      <c r="FB362" s="1"/>
      <c r="FC362" s="1"/>
      <c r="FD362" s="1"/>
    </row>
    <row r="363" spans="4:161" hidden="1" outlineLevel="1" x14ac:dyDescent="0.25">
      <c r="G363" s="182">
        <v>4152</v>
      </c>
      <c r="H363" s="183">
        <f t="shared" si="411"/>
        <v>498.24</v>
      </c>
      <c r="I363" s="182">
        <f t="shared" si="412"/>
        <v>4650.24</v>
      </c>
      <c r="J363" s="182"/>
      <c r="K363" s="182"/>
      <c r="L363" s="183">
        <f t="shared" si="408"/>
        <v>498.24</v>
      </c>
      <c r="M363" s="184">
        <f t="shared" si="409"/>
        <v>114.18</v>
      </c>
      <c r="N363" s="185">
        <f t="shared" si="410"/>
        <v>4037.82</v>
      </c>
      <c r="O363" s="1313"/>
      <c r="P363" s="1314"/>
      <c r="Q363" s="1314"/>
      <c r="R363" s="1315"/>
      <c r="S363" s="186"/>
      <c r="T363" s="187"/>
      <c r="U363" s="188"/>
      <c r="AD363"/>
      <c r="AE363" s="5"/>
      <c r="AF363" s="1"/>
      <c r="FB363" s="1"/>
      <c r="FC363" s="1"/>
      <c r="FD363" s="1"/>
    </row>
    <row r="364" spans="4:161" hidden="1" outlineLevel="1" x14ac:dyDescent="0.25">
      <c r="G364" s="182">
        <v>3209.01</v>
      </c>
      <c r="H364" s="183">
        <f t="shared" si="411"/>
        <v>385.08120000000002</v>
      </c>
      <c r="I364" s="182">
        <f t="shared" si="412"/>
        <v>3594.0912000000003</v>
      </c>
      <c r="J364" s="182"/>
      <c r="K364" s="182"/>
      <c r="L364" s="183">
        <f t="shared" si="408"/>
        <v>385.08120000000002</v>
      </c>
      <c r="M364" s="184">
        <f t="shared" si="409"/>
        <v>88.247775000000004</v>
      </c>
      <c r="N364" s="185">
        <f t="shared" si="410"/>
        <v>3120.7622250000004</v>
      </c>
      <c r="O364" s="1313"/>
      <c r="P364" s="1314"/>
      <c r="Q364" s="1314"/>
      <c r="R364" s="1315"/>
      <c r="S364" s="186"/>
      <c r="T364" s="187"/>
      <c r="U364" s="188"/>
      <c r="AD364"/>
      <c r="AE364" s="5"/>
      <c r="AF364" s="1"/>
      <c r="FB364" s="1"/>
      <c r="FC364" s="1"/>
      <c r="FD364" s="1"/>
    </row>
    <row r="365" spans="4:161" hidden="1" outlineLevel="1" x14ac:dyDescent="0.25">
      <c r="E365" s="54"/>
      <c r="G365" s="182">
        <v>3461.25</v>
      </c>
      <c r="H365" s="183">
        <f t="shared" si="411"/>
        <v>415.34999999999997</v>
      </c>
      <c r="I365" s="182">
        <f t="shared" si="412"/>
        <v>3876.6</v>
      </c>
      <c r="J365" s="182"/>
      <c r="K365" s="182"/>
      <c r="L365" s="183">
        <f t="shared" si="408"/>
        <v>415.34999999999997</v>
      </c>
      <c r="M365" s="184">
        <f t="shared" si="409"/>
        <v>95.184375000000003</v>
      </c>
      <c r="N365" s="185">
        <f t="shared" si="410"/>
        <v>3366.0656250000002</v>
      </c>
      <c r="O365" s="1311"/>
      <c r="P365" s="1311"/>
      <c r="Q365" s="1311"/>
      <c r="R365" s="1311"/>
      <c r="S365" s="186"/>
      <c r="T365" s="187"/>
      <c r="U365" s="188"/>
      <c r="AD365"/>
      <c r="AE365" s="5"/>
      <c r="AF365" s="1"/>
      <c r="FB365" s="1"/>
      <c r="FC365" s="1"/>
      <c r="FD365" s="1"/>
    </row>
    <row r="366" spans="4:161" hidden="1" outlineLevel="1" x14ac:dyDescent="0.25">
      <c r="D366" s="54">
        <f>+D354-G368</f>
        <v>9.3192292843014002E-4</v>
      </c>
      <c r="G366" s="182">
        <v>3852.72</v>
      </c>
      <c r="H366" s="183">
        <f>+G366*12%</f>
        <v>462.32639999999998</v>
      </c>
      <c r="I366" s="182">
        <f t="shared" si="407"/>
        <v>4315.0464000000002</v>
      </c>
      <c r="J366" s="182"/>
      <c r="K366" s="182"/>
      <c r="L366" s="183">
        <f t="shared" si="408"/>
        <v>462.32639999999998</v>
      </c>
      <c r="M366" s="184">
        <f t="shared" si="409"/>
        <v>105.9498</v>
      </c>
      <c r="N366" s="185">
        <f t="shared" si="410"/>
        <v>3746.7702000000004</v>
      </c>
      <c r="O366" s="1311"/>
      <c r="P366" s="1311"/>
      <c r="Q366" s="1311"/>
      <c r="R366" s="1311"/>
      <c r="S366" s="186"/>
      <c r="T366" s="187"/>
      <c r="U366" s="188"/>
      <c r="AD366"/>
      <c r="AE366" s="5"/>
      <c r="AF366" s="1"/>
      <c r="FB366" s="1"/>
      <c r="FC366" s="1"/>
      <c r="FD366" s="1"/>
    </row>
    <row r="367" spans="4:161" hidden="1" outlineLevel="1" x14ac:dyDescent="0.25">
      <c r="G367" s="182">
        <v>3380.93</v>
      </c>
      <c r="H367" s="183">
        <f>+G367*12%</f>
        <v>405.71159999999998</v>
      </c>
      <c r="I367" s="182">
        <f t="shared" si="407"/>
        <v>3786.6415999999999</v>
      </c>
      <c r="J367" s="182"/>
      <c r="K367" s="182"/>
      <c r="L367" s="183">
        <f t="shared" si="408"/>
        <v>405.71159999999998</v>
      </c>
      <c r="M367" s="184">
        <f t="shared" si="409"/>
        <v>92.975574999999992</v>
      </c>
      <c r="N367" s="185">
        <f t="shared" si="410"/>
        <v>3287.9544249999999</v>
      </c>
      <c r="O367" s="282"/>
      <c r="P367" s="283"/>
      <c r="Q367" s="283"/>
      <c r="R367" s="284"/>
      <c r="S367" s="186"/>
      <c r="T367" s="187"/>
      <c r="U367" s="188"/>
      <c r="AD367"/>
      <c r="AE367"/>
      <c r="FB367" s="1"/>
      <c r="FC367" s="1"/>
      <c r="FD367" s="1"/>
      <c r="FE367" s="1"/>
    </row>
    <row r="368" spans="4:161" hidden="1" outlineLevel="1" x14ac:dyDescent="0.25">
      <c r="G368" s="191">
        <f>SUM(G356:G367)</f>
        <v>45736.98</v>
      </c>
      <c r="H368" s="191">
        <f>SUM(H356:H367)</f>
        <v>5488.4375999999993</v>
      </c>
      <c r="I368" s="191">
        <f>SUM(I356:I367)</f>
        <v>51225.417600000001</v>
      </c>
      <c r="J368" s="191"/>
      <c r="K368" s="191"/>
      <c r="L368" s="1292">
        <f>SUM(L356:L367)</f>
        <v>5488.4375999999993</v>
      </c>
      <c r="M368" s="1293">
        <f>SUM(M356:M367)</f>
        <v>1257.7669500000002</v>
      </c>
      <c r="N368" s="1290">
        <f>SUM(N356:N367)</f>
        <v>44479.213050000006</v>
      </c>
      <c r="O368" s="1291"/>
      <c r="P368" s="1291"/>
      <c r="Q368" s="1291"/>
      <c r="R368" s="1291"/>
      <c r="S368" s="1291"/>
      <c r="T368" s="1291"/>
      <c r="U368" s="189"/>
      <c r="FB368" s="1"/>
      <c r="FC368" s="1"/>
      <c r="FD368" s="1"/>
      <c r="FE368" s="1"/>
    </row>
    <row r="369" spans="7:161" hidden="1" outlineLevel="1" x14ac:dyDescent="0.25">
      <c r="FB369" s="1"/>
      <c r="FC369" s="1"/>
      <c r="FD369" s="1"/>
      <c r="FE369" s="1"/>
    </row>
    <row r="370" spans="7:161" hidden="1" outlineLevel="1" x14ac:dyDescent="0.25">
      <c r="G370" s="1294" t="s">
        <v>871</v>
      </c>
      <c r="K370" s="52"/>
      <c r="FB370" s="1"/>
      <c r="FC370" s="1"/>
      <c r="FD370" s="1"/>
    </row>
    <row r="371" spans="7:161" hidden="1" outlineLevel="1" x14ac:dyDescent="0.25">
      <c r="FB371" s="1"/>
    </row>
    <row r="372" spans="7:161" hidden="1" outlineLevel="1" x14ac:dyDescent="0.25">
      <c r="G372" s="54"/>
      <c r="FB372" s="1"/>
    </row>
    <row r="373" spans="7:161" hidden="1" collapsed="1" x14ac:dyDescent="0.25"/>
    <row r="374" spans="7:161" hidden="1" x14ac:dyDescent="0.25">
      <c r="N374" s="54"/>
    </row>
    <row r="433" spans="17:17" x14ac:dyDescent="0.25">
      <c r="Q433">
        <f>1338*12%</f>
        <v>160.56</v>
      </c>
    </row>
  </sheetData>
  <mergeCells count="32">
    <mergeCell ref="F256:G256"/>
    <mergeCell ref="H256:I256"/>
    <mergeCell ref="A334:B334"/>
    <mergeCell ref="O359:R359"/>
    <mergeCell ref="O360:R360"/>
    <mergeCell ref="A270:B270"/>
    <mergeCell ref="A328:B328"/>
    <mergeCell ref="A304:B304"/>
    <mergeCell ref="O365:R365"/>
    <mergeCell ref="O366:R366"/>
    <mergeCell ref="A346:B346"/>
    <mergeCell ref="O355:R355"/>
    <mergeCell ref="O356:R356"/>
    <mergeCell ref="O357:R357"/>
    <mergeCell ref="O358:R358"/>
    <mergeCell ref="O361:R361"/>
    <mergeCell ref="O362:R362"/>
    <mergeCell ref="O363:R363"/>
    <mergeCell ref="O364:R364"/>
    <mergeCell ref="A23:B23"/>
    <mergeCell ref="A1:AF1"/>
    <mergeCell ref="F3:G3"/>
    <mergeCell ref="H3:I3"/>
    <mergeCell ref="A254:B254"/>
    <mergeCell ref="A65:B65"/>
    <mergeCell ref="A204:B204"/>
    <mergeCell ref="A239:B239"/>
    <mergeCell ref="A76:B76"/>
    <mergeCell ref="A134:B134"/>
    <mergeCell ref="A160:B160"/>
    <mergeCell ref="A194:B194"/>
    <mergeCell ref="A218:B21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N147"/>
  <sheetViews>
    <sheetView zoomScale="80" zoomScaleNormal="80" workbookViewId="0">
      <pane xSplit="2" ySplit="1" topLeftCell="CL2" activePane="bottomRight" state="frozen"/>
      <selection pane="topRight" activeCell="C1" sqref="C1"/>
      <selection pane="bottomLeft" activeCell="A7" sqref="A7"/>
      <selection pane="bottomRight" activeCell="AV1" sqref="AV1:BA1048576"/>
    </sheetView>
  </sheetViews>
  <sheetFormatPr baseColWidth="10" defaultRowHeight="15" x14ac:dyDescent="0.25"/>
  <cols>
    <col min="1" max="1" width="5.28515625" style="192" customWidth="1"/>
    <col min="2" max="2" width="56.28515625" style="192" customWidth="1"/>
    <col min="3" max="3" width="27.42578125" style="192" customWidth="1"/>
    <col min="4" max="4" width="18.140625" style="197" hidden="1" customWidth="1"/>
    <col min="5" max="5" width="36.42578125" style="197" hidden="1" customWidth="1"/>
    <col min="6" max="8" width="11.42578125" style="192" customWidth="1"/>
    <col min="9" max="11" width="11.42578125" style="195" customWidth="1"/>
    <col min="12" max="14" width="11.42578125" style="193" customWidth="1"/>
    <col min="15" max="20" width="11.42578125" style="195" customWidth="1"/>
    <col min="21" max="26" width="11.42578125" style="193" customWidth="1"/>
    <col min="27" max="35" width="11.42578125" style="194" customWidth="1"/>
    <col min="36" max="47" width="11.42578125" style="193" customWidth="1"/>
    <col min="48" max="53" width="11.42578125" style="193" hidden="1" customWidth="1"/>
    <col min="54" max="54" width="20.7109375" style="192" customWidth="1"/>
    <col min="55" max="55" width="18.42578125" style="192" customWidth="1"/>
    <col min="56" max="56" width="18.85546875" style="192" customWidth="1"/>
    <col min="57" max="57" width="9.5703125" style="196" customWidth="1"/>
    <col min="58" max="58" width="20" style="192" customWidth="1"/>
    <col min="59" max="84" width="11.5703125" style="192" customWidth="1"/>
    <col min="85" max="85" width="11.28515625" style="192" customWidth="1"/>
    <col min="86" max="97" width="11.5703125" style="192" customWidth="1"/>
    <col min="98" max="98" width="20.85546875" style="195" customWidth="1"/>
    <col min="99" max="99" width="19.7109375" style="192" customWidth="1"/>
    <col min="100" max="100" width="18.140625" style="192" customWidth="1"/>
    <col min="101" max="101" width="9.5703125" style="192" customWidth="1"/>
    <col min="102" max="102" width="19.85546875" style="195" customWidth="1"/>
    <col min="103" max="103" width="20.85546875" style="195" customWidth="1"/>
    <col min="104" max="104" width="19.42578125" style="195" customWidth="1"/>
    <col min="105" max="105" width="20.42578125" style="195" customWidth="1"/>
    <col min="106" max="106" width="22" style="195" customWidth="1"/>
    <col min="107" max="107" width="73.5703125" style="192" customWidth="1"/>
    <col min="108" max="108" width="13" style="398" customWidth="1"/>
    <col min="109" max="148" width="11.42578125" style="398"/>
    <col min="149" max="16384" width="11.42578125" style="192"/>
  </cols>
  <sheetData>
    <row r="1" spans="1:148" ht="11.25" customHeight="1" thickTop="1" x14ac:dyDescent="0.25">
      <c r="A1" s="1399" t="s">
        <v>488</v>
      </c>
      <c r="B1" s="1400"/>
      <c r="C1" s="1400"/>
      <c r="D1" s="1400"/>
      <c r="E1" s="1400"/>
      <c r="F1" s="392"/>
      <c r="G1" s="393"/>
      <c r="H1" s="393"/>
      <c r="I1" s="394"/>
      <c r="J1" s="394"/>
      <c r="K1" s="394"/>
      <c r="L1" s="393"/>
      <c r="M1" s="393"/>
      <c r="N1" s="395"/>
      <c r="O1" s="394"/>
      <c r="P1" s="394"/>
      <c r="Q1" s="394"/>
      <c r="R1" s="394"/>
      <c r="S1" s="394"/>
      <c r="T1" s="394"/>
      <c r="U1" s="393"/>
      <c r="V1" s="393"/>
      <c r="W1" s="393"/>
      <c r="X1" s="393"/>
      <c r="Y1" s="393"/>
      <c r="Z1" s="395"/>
      <c r="AA1" s="396"/>
      <c r="AB1" s="396"/>
      <c r="AC1" s="396"/>
      <c r="AD1" s="396"/>
      <c r="AE1" s="396"/>
      <c r="AF1" s="396"/>
      <c r="AG1" s="396"/>
      <c r="AH1" s="396"/>
      <c r="AI1" s="396"/>
      <c r="AJ1" s="393"/>
      <c r="AK1" s="393"/>
      <c r="AL1" s="393"/>
      <c r="AM1" s="393"/>
      <c r="AN1" s="393"/>
      <c r="AO1" s="393"/>
      <c r="AP1" s="393"/>
      <c r="AQ1" s="393"/>
      <c r="AR1" s="393"/>
      <c r="AS1" s="393"/>
      <c r="AT1" s="393"/>
      <c r="AU1" s="393"/>
      <c r="AV1" s="393"/>
      <c r="AW1" s="393"/>
      <c r="AX1" s="393"/>
      <c r="AY1" s="393"/>
      <c r="AZ1" s="393"/>
      <c r="BA1" s="393"/>
      <c r="BB1" s="1405" t="s">
        <v>489</v>
      </c>
      <c r="BC1" s="1406"/>
      <c r="BD1" s="1406"/>
      <c r="BE1" s="1406"/>
      <c r="BF1" s="1407"/>
      <c r="BG1" s="397"/>
      <c r="BH1" s="393"/>
      <c r="BI1" s="393"/>
      <c r="BJ1" s="393"/>
      <c r="BK1" s="393"/>
      <c r="BL1" s="393"/>
      <c r="BM1" s="393"/>
      <c r="BN1" s="393"/>
      <c r="BO1" s="393"/>
      <c r="BP1" s="393"/>
      <c r="BQ1" s="393"/>
      <c r="BR1" s="393"/>
      <c r="BS1" s="393"/>
      <c r="BT1" s="393"/>
      <c r="BU1" s="393"/>
      <c r="BV1" s="393"/>
      <c r="BW1" s="393"/>
      <c r="BX1" s="393"/>
      <c r="BY1" s="393"/>
      <c r="BZ1" s="393"/>
      <c r="CA1" s="393"/>
      <c r="CB1" s="393"/>
      <c r="CC1" s="393"/>
      <c r="CD1" s="393"/>
      <c r="CE1" s="393"/>
      <c r="CF1" s="393"/>
      <c r="CG1" s="393"/>
      <c r="CH1" s="393"/>
      <c r="CI1" s="393"/>
      <c r="CJ1" s="393"/>
      <c r="CK1" s="393"/>
      <c r="CL1" s="393"/>
      <c r="CM1" s="393"/>
      <c r="CN1" s="393"/>
      <c r="CO1" s="393"/>
      <c r="CP1" s="393"/>
      <c r="CQ1" s="393"/>
      <c r="CR1" s="393"/>
      <c r="CS1" s="393"/>
      <c r="CT1" s="1414" t="s">
        <v>490</v>
      </c>
      <c r="CU1" s="1415"/>
      <c r="CV1" s="1415"/>
      <c r="CW1" s="1415"/>
      <c r="CX1" s="1416"/>
      <c r="CY1" s="1386" t="s">
        <v>491</v>
      </c>
      <c r="CZ1" s="1387"/>
      <c r="DA1" s="1387"/>
      <c r="DB1" s="1388"/>
    </row>
    <row r="2" spans="1:148" ht="11.25" customHeight="1" x14ac:dyDescent="0.25">
      <c r="A2" s="1401"/>
      <c r="B2" s="1402"/>
      <c r="C2" s="1402"/>
      <c r="D2" s="1402"/>
      <c r="E2" s="1402"/>
      <c r="F2" s="399"/>
      <c r="G2" s="193"/>
      <c r="H2" s="193"/>
      <c r="I2" s="400"/>
      <c r="J2" s="400"/>
      <c r="K2" s="401"/>
      <c r="N2" s="402"/>
      <c r="O2" s="403"/>
      <c r="P2" s="400"/>
      <c r="Q2" s="400"/>
      <c r="R2" s="400"/>
      <c r="S2" s="400"/>
      <c r="T2" s="400"/>
      <c r="Y2" s="402"/>
      <c r="Z2" s="402"/>
      <c r="AB2" s="404"/>
      <c r="AD2" s="401"/>
      <c r="BB2" s="1408"/>
      <c r="BC2" s="1409"/>
      <c r="BD2" s="1409"/>
      <c r="BE2" s="1409"/>
      <c r="BF2" s="1410"/>
      <c r="BG2" s="405"/>
      <c r="BH2" s="406"/>
      <c r="BI2" s="193"/>
      <c r="BJ2" s="193"/>
      <c r="BK2" s="193"/>
      <c r="BL2" s="193"/>
      <c r="BM2" s="193"/>
      <c r="BN2" s="407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408"/>
      <c r="CD2" s="193"/>
      <c r="CE2" s="193"/>
      <c r="CF2" s="408"/>
      <c r="CG2" s="193"/>
      <c r="CH2" s="402"/>
      <c r="CI2" s="193"/>
      <c r="CJ2" s="193"/>
      <c r="CK2" s="193"/>
      <c r="CL2" s="193"/>
      <c r="CM2" s="193"/>
      <c r="CN2" s="193"/>
      <c r="CO2" s="409"/>
      <c r="CP2" s="193"/>
      <c r="CQ2" s="193"/>
      <c r="CR2" s="193"/>
      <c r="CS2" s="193"/>
      <c r="CT2" s="1417"/>
      <c r="CU2" s="1418"/>
      <c r="CV2" s="1418"/>
      <c r="CW2" s="1418"/>
      <c r="CX2" s="1419"/>
      <c r="CY2" s="1389"/>
      <c r="CZ2" s="1390"/>
      <c r="DA2" s="1390"/>
      <c r="DB2" s="1391"/>
    </row>
    <row r="3" spans="1:148" ht="13.5" customHeight="1" x14ac:dyDescent="0.25">
      <c r="A3" s="1401"/>
      <c r="B3" s="1402"/>
      <c r="C3" s="1402"/>
      <c r="D3" s="1402"/>
      <c r="E3" s="1402"/>
      <c r="F3" s="1065"/>
      <c r="G3" s="421"/>
      <c r="H3" s="421"/>
      <c r="I3" s="1066"/>
      <c r="J3" s="410"/>
      <c r="K3" s="400"/>
      <c r="L3" s="421"/>
      <c r="M3" s="421"/>
      <c r="N3" s="1067"/>
      <c r="O3" s="421"/>
      <c r="P3" s="403"/>
      <c r="Q3" s="400"/>
      <c r="R3" s="412"/>
      <c r="S3" s="403"/>
      <c r="T3" s="400"/>
      <c r="V3" s="411"/>
      <c r="Z3" s="407"/>
      <c r="AA3" s="400"/>
      <c r="AB3" s="413"/>
      <c r="AC3" s="414"/>
      <c r="AD3" s="414"/>
      <c r="AE3" s="414"/>
      <c r="AF3" s="411"/>
      <c r="AG3" s="414"/>
      <c r="AH3" s="414"/>
      <c r="AI3" s="411"/>
      <c r="AJ3" s="414"/>
      <c r="AK3" s="415"/>
      <c r="AL3" s="416"/>
      <c r="AO3" s="411"/>
      <c r="AS3" s="406"/>
      <c r="AU3" s="406"/>
      <c r="AX3" s="406"/>
      <c r="BA3" s="406"/>
      <c r="BB3" s="1408"/>
      <c r="BC3" s="1409"/>
      <c r="BD3" s="1409"/>
      <c r="BE3" s="1409"/>
      <c r="BF3" s="1410"/>
      <c r="BG3" s="417"/>
      <c r="BH3" s="415"/>
      <c r="BI3" s="415"/>
      <c r="BJ3" s="415"/>
      <c r="BK3" s="415"/>
      <c r="BL3" s="193"/>
      <c r="BM3" s="193"/>
      <c r="BN3" s="193"/>
      <c r="BO3" s="418"/>
      <c r="BP3" s="193"/>
      <c r="BQ3" s="193"/>
      <c r="BR3" s="406"/>
      <c r="BS3" s="193"/>
      <c r="BT3" s="193"/>
      <c r="BU3" s="193"/>
      <c r="BV3" s="406"/>
      <c r="BW3" s="411"/>
      <c r="BX3" s="193"/>
      <c r="BY3" s="193"/>
      <c r="BZ3" s="193"/>
      <c r="CA3" s="415"/>
      <c r="CB3" s="193"/>
      <c r="CC3" s="408"/>
      <c r="CD3" s="193"/>
      <c r="CE3" s="193"/>
      <c r="CF3" s="419"/>
      <c r="CG3" s="193"/>
      <c r="CH3" s="419"/>
      <c r="CI3" s="415"/>
      <c r="CJ3" s="418"/>
      <c r="CK3" s="193"/>
      <c r="CL3" s="193"/>
      <c r="CM3" s="193"/>
      <c r="CN3" s="193"/>
      <c r="CO3" s="411"/>
      <c r="CP3" s="193"/>
      <c r="CQ3" s="411"/>
      <c r="CR3" s="193"/>
      <c r="CS3" s="193"/>
      <c r="CT3" s="1417"/>
      <c r="CU3" s="1418"/>
      <c r="CV3" s="1418"/>
      <c r="CW3" s="1418"/>
      <c r="CX3" s="1419"/>
      <c r="CY3" s="1389"/>
      <c r="CZ3" s="1390"/>
      <c r="DA3" s="1390"/>
      <c r="DB3" s="1391"/>
    </row>
    <row r="4" spans="1:148" ht="18" customHeight="1" thickBot="1" x14ac:dyDescent="0.3">
      <c r="A4" s="1403"/>
      <c r="B4" s="1404"/>
      <c r="C4" s="1404"/>
      <c r="D4" s="1404"/>
      <c r="E4" s="1404"/>
      <c r="F4" s="420"/>
      <c r="G4" s="414"/>
      <c r="H4" s="414"/>
      <c r="I4" s="414"/>
      <c r="J4" s="414"/>
      <c r="K4" s="414"/>
      <c r="L4" s="421"/>
      <c r="N4" s="402"/>
      <c r="O4" s="414"/>
      <c r="P4" s="415"/>
      <c r="Q4" s="400"/>
      <c r="R4" s="400"/>
      <c r="S4" s="400"/>
      <c r="T4" s="400"/>
      <c r="X4" s="421"/>
      <c r="Z4" s="402"/>
      <c r="AM4" s="414"/>
      <c r="AN4" s="414"/>
      <c r="AO4" s="414"/>
      <c r="AP4" s="414"/>
      <c r="AQ4" s="414"/>
      <c r="AR4" s="414"/>
      <c r="AS4" s="414"/>
      <c r="BB4" s="1411"/>
      <c r="BC4" s="1412"/>
      <c r="BD4" s="1412"/>
      <c r="BE4" s="1412"/>
      <c r="BF4" s="1413"/>
      <c r="BG4" s="405"/>
      <c r="BH4" s="193"/>
      <c r="BI4" s="193"/>
      <c r="BJ4" s="193"/>
      <c r="BK4" s="193"/>
      <c r="BL4" s="193"/>
      <c r="BM4" s="193"/>
      <c r="BN4" s="193"/>
      <c r="BO4" s="415"/>
      <c r="BP4" s="193"/>
      <c r="BQ4" s="193"/>
      <c r="BR4" s="193"/>
      <c r="BS4" s="411"/>
      <c r="BT4" s="193"/>
      <c r="BU4" s="193"/>
      <c r="BV4" s="193"/>
      <c r="BW4" s="406"/>
      <c r="BX4" s="193"/>
      <c r="BY4" s="193"/>
      <c r="BZ4" s="193"/>
      <c r="CA4" s="193"/>
      <c r="CB4" s="193"/>
      <c r="CC4" s="422"/>
      <c r="CD4" s="193"/>
      <c r="CE4" s="193"/>
      <c r="CF4" s="423"/>
      <c r="CG4" s="193"/>
      <c r="CH4" s="408"/>
      <c r="CI4" s="408"/>
      <c r="CJ4" s="193"/>
      <c r="CK4" s="193"/>
      <c r="CL4" s="193"/>
      <c r="CM4" s="193"/>
      <c r="CN4" s="193"/>
      <c r="CO4" s="193"/>
      <c r="CP4" s="193"/>
      <c r="CQ4" s="193"/>
      <c r="CR4" s="193"/>
      <c r="CS4" s="193"/>
      <c r="CT4" s="1420"/>
      <c r="CU4" s="1421"/>
      <c r="CV4" s="1421"/>
      <c r="CW4" s="1421"/>
      <c r="CX4" s="1422"/>
      <c r="CY4" s="1392"/>
      <c r="CZ4" s="1393"/>
      <c r="DA4" s="1393"/>
      <c r="DB4" s="1394"/>
    </row>
    <row r="5" spans="1:148" s="195" customFormat="1" ht="19.5" customHeight="1" x14ac:dyDescent="0.2">
      <c r="A5" s="1395" t="s">
        <v>255</v>
      </c>
      <c r="B5" s="1397" t="s">
        <v>492</v>
      </c>
      <c r="C5" s="1366" t="s">
        <v>493</v>
      </c>
      <c r="D5" s="1368" t="s">
        <v>494</v>
      </c>
      <c r="E5" s="1370" t="s">
        <v>495</v>
      </c>
      <c r="F5" s="1353" t="s">
        <v>496</v>
      </c>
      <c r="G5" s="1354"/>
      <c r="H5" s="1355"/>
      <c r="I5" s="1353" t="s">
        <v>497</v>
      </c>
      <c r="J5" s="1354"/>
      <c r="K5" s="1355"/>
      <c r="L5" s="1353" t="s">
        <v>498</v>
      </c>
      <c r="M5" s="1354"/>
      <c r="N5" s="1355"/>
      <c r="O5" s="1353" t="s">
        <v>499</v>
      </c>
      <c r="P5" s="1354"/>
      <c r="Q5" s="1355"/>
      <c r="R5" s="1353" t="s">
        <v>500</v>
      </c>
      <c r="S5" s="1354"/>
      <c r="T5" s="1355"/>
      <c r="U5" s="1353" t="s">
        <v>501</v>
      </c>
      <c r="V5" s="1354"/>
      <c r="W5" s="1355"/>
      <c r="X5" s="1353" t="s">
        <v>502</v>
      </c>
      <c r="Y5" s="1354"/>
      <c r="Z5" s="1355"/>
      <c r="AA5" s="1353" t="s">
        <v>503</v>
      </c>
      <c r="AB5" s="1354"/>
      <c r="AC5" s="1355"/>
      <c r="AD5" s="1353" t="s">
        <v>504</v>
      </c>
      <c r="AE5" s="1354"/>
      <c r="AF5" s="1355"/>
      <c r="AG5" s="1353" t="s">
        <v>505</v>
      </c>
      <c r="AH5" s="1354"/>
      <c r="AI5" s="1355"/>
      <c r="AJ5" s="1353" t="s">
        <v>506</v>
      </c>
      <c r="AK5" s="1354"/>
      <c r="AL5" s="1355"/>
      <c r="AM5" s="1353" t="s">
        <v>507</v>
      </c>
      <c r="AN5" s="1354"/>
      <c r="AO5" s="1355"/>
      <c r="AP5" s="1353" t="s">
        <v>508</v>
      </c>
      <c r="AQ5" s="1354"/>
      <c r="AR5" s="1355"/>
      <c r="AS5" s="1353" t="s">
        <v>509</v>
      </c>
      <c r="AT5" s="1354"/>
      <c r="AU5" s="1355"/>
      <c r="AV5" s="1353"/>
      <c r="AW5" s="1354"/>
      <c r="AX5" s="1355"/>
      <c r="AY5" s="1353"/>
      <c r="AZ5" s="1354"/>
      <c r="BA5" s="1355"/>
      <c r="BB5" s="1356" t="s">
        <v>510</v>
      </c>
      <c r="BC5" s="1358" t="s">
        <v>511</v>
      </c>
      <c r="BD5" s="1358" t="s">
        <v>512</v>
      </c>
      <c r="BE5" s="1347" t="s">
        <v>22</v>
      </c>
      <c r="BF5" s="1360" t="s">
        <v>513</v>
      </c>
      <c r="BG5" s="1340" t="s">
        <v>514</v>
      </c>
      <c r="BH5" s="1341"/>
      <c r="BI5" s="1342"/>
      <c r="BJ5" s="1340" t="s">
        <v>515</v>
      </c>
      <c r="BK5" s="1341"/>
      <c r="BL5" s="1342"/>
      <c r="BM5" s="1340" t="s">
        <v>516</v>
      </c>
      <c r="BN5" s="1341"/>
      <c r="BO5" s="1342"/>
      <c r="BP5" s="1340" t="s">
        <v>517</v>
      </c>
      <c r="BQ5" s="1341"/>
      <c r="BR5" s="1342"/>
      <c r="BS5" s="1340" t="s">
        <v>518</v>
      </c>
      <c r="BT5" s="1341"/>
      <c r="BU5" s="1342"/>
      <c r="BV5" s="1340" t="s">
        <v>519</v>
      </c>
      <c r="BW5" s="1341"/>
      <c r="BX5" s="1342"/>
      <c r="BY5" s="1340" t="s">
        <v>520</v>
      </c>
      <c r="BZ5" s="1341"/>
      <c r="CA5" s="1342"/>
      <c r="CB5" s="1340" t="s">
        <v>521</v>
      </c>
      <c r="CC5" s="1341"/>
      <c r="CD5" s="1342"/>
      <c r="CE5" s="1340" t="s">
        <v>522</v>
      </c>
      <c r="CF5" s="1341"/>
      <c r="CG5" s="1342"/>
      <c r="CH5" s="1340" t="s">
        <v>523</v>
      </c>
      <c r="CI5" s="1341"/>
      <c r="CJ5" s="1342"/>
      <c r="CK5" s="1340" t="s">
        <v>524</v>
      </c>
      <c r="CL5" s="1341"/>
      <c r="CM5" s="1342"/>
      <c r="CN5" s="1340" t="s">
        <v>525</v>
      </c>
      <c r="CO5" s="1341"/>
      <c r="CP5" s="1342"/>
      <c r="CQ5" s="1340" t="s">
        <v>526</v>
      </c>
      <c r="CR5" s="1341"/>
      <c r="CS5" s="1342"/>
      <c r="CT5" s="1343" t="s">
        <v>510</v>
      </c>
      <c r="CU5" s="1345" t="s">
        <v>511</v>
      </c>
      <c r="CV5" s="1345" t="s">
        <v>512</v>
      </c>
      <c r="CW5" s="1347" t="s">
        <v>22</v>
      </c>
      <c r="CX5" s="1349" t="s">
        <v>513</v>
      </c>
      <c r="CY5" s="1351" t="s">
        <v>256</v>
      </c>
      <c r="CZ5" s="1322" t="s">
        <v>511</v>
      </c>
      <c r="DA5" s="1324" t="s">
        <v>512</v>
      </c>
      <c r="DB5" s="1326" t="s">
        <v>257</v>
      </c>
      <c r="DD5" s="424"/>
      <c r="DE5" s="424"/>
      <c r="DF5" s="424"/>
      <c r="DG5" s="424"/>
      <c r="DH5" s="424"/>
      <c r="DI5" s="424"/>
      <c r="DJ5" s="424"/>
      <c r="DK5" s="424"/>
      <c r="DL5" s="424"/>
      <c r="DM5" s="424"/>
      <c r="DN5" s="424"/>
      <c r="DO5" s="424"/>
      <c r="DP5" s="424"/>
      <c r="DQ5" s="424"/>
      <c r="DR5" s="424"/>
      <c r="DS5" s="424"/>
      <c r="DT5" s="424"/>
      <c r="DU5" s="424"/>
      <c r="DV5" s="424"/>
      <c r="DW5" s="424"/>
      <c r="DX5" s="424"/>
      <c r="DY5" s="424"/>
      <c r="DZ5" s="424"/>
      <c r="EA5" s="424"/>
      <c r="EB5" s="424"/>
      <c r="EC5" s="424"/>
      <c r="ED5" s="424"/>
      <c r="EE5" s="424"/>
      <c r="EF5" s="424"/>
      <c r="EG5" s="424"/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</row>
    <row r="6" spans="1:148" ht="25.5" customHeight="1" thickBot="1" x14ac:dyDescent="0.3">
      <c r="A6" s="1396"/>
      <c r="B6" s="1398"/>
      <c r="C6" s="1367"/>
      <c r="D6" s="1369"/>
      <c r="E6" s="1371"/>
      <c r="F6" s="425" t="s">
        <v>527</v>
      </c>
      <c r="G6" s="426" t="s">
        <v>258</v>
      </c>
      <c r="H6" s="427" t="s">
        <v>528</v>
      </c>
      <c r="I6" s="426" t="s">
        <v>527</v>
      </c>
      <c r="J6" s="426" t="s">
        <v>258</v>
      </c>
      <c r="K6" s="427" t="s">
        <v>528</v>
      </c>
      <c r="L6" s="426" t="s">
        <v>527</v>
      </c>
      <c r="M6" s="426" t="s">
        <v>258</v>
      </c>
      <c r="N6" s="427" t="s">
        <v>528</v>
      </c>
      <c r="O6" s="426" t="s">
        <v>527</v>
      </c>
      <c r="P6" s="426" t="s">
        <v>258</v>
      </c>
      <c r="Q6" s="427" t="s">
        <v>528</v>
      </c>
      <c r="R6" s="426" t="s">
        <v>527</v>
      </c>
      <c r="S6" s="426" t="s">
        <v>258</v>
      </c>
      <c r="T6" s="427" t="s">
        <v>528</v>
      </c>
      <c r="U6" s="426" t="s">
        <v>527</v>
      </c>
      <c r="V6" s="426" t="s">
        <v>258</v>
      </c>
      <c r="W6" s="427" t="s">
        <v>528</v>
      </c>
      <c r="X6" s="426" t="s">
        <v>527</v>
      </c>
      <c r="Y6" s="426" t="s">
        <v>258</v>
      </c>
      <c r="Z6" s="427" t="s">
        <v>528</v>
      </c>
      <c r="AA6" s="426" t="s">
        <v>527</v>
      </c>
      <c r="AB6" s="426" t="s">
        <v>258</v>
      </c>
      <c r="AC6" s="427" t="s">
        <v>528</v>
      </c>
      <c r="AD6" s="426" t="s">
        <v>527</v>
      </c>
      <c r="AE6" s="426" t="s">
        <v>258</v>
      </c>
      <c r="AF6" s="427" t="s">
        <v>528</v>
      </c>
      <c r="AG6" s="426" t="s">
        <v>527</v>
      </c>
      <c r="AH6" s="426" t="s">
        <v>258</v>
      </c>
      <c r="AI6" s="427" t="s">
        <v>528</v>
      </c>
      <c r="AJ6" s="426" t="s">
        <v>527</v>
      </c>
      <c r="AK6" s="426" t="s">
        <v>258</v>
      </c>
      <c r="AL6" s="427" t="s">
        <v>528</v>
      </c>
      <c r="AM6" s="426" t="s">
        <v>527</v>
      </c>
      <c r="AN6" s="426" t="s">
        <v>258</v>
      </c>
      <c r="AO6" s="427" t="s">
        <v>528</v>
      </c>
      <c r="AP6" s="426" t="s">
        <v>527</v>
      </c>
      <c r="AQ6" s="426" t="s">
        <v>258</v>
      </c>
      <c r="AR6" s="427" t="s">
        <v>528</v>
      </c>
      <c r="AS6" s="426" t="s">
        <v>527</v>
      </c>
      <c r="AT6" s="426" t="s">
        <v>258</v>
      </c>
      <c r="AU6" s="427" t="s">
        <v>528</v>
      </c>
      <c r="AV6" s="426" t="s">
        <v>527</v>
      </c>
      <c r="AW6" s="426" t="s">
        <v>258</v>
      </c>
      <c r="AX6" s="427" t="s">
        <v>528</v>
      </c>
      <c r="AY6" s="426" t="s">
        <v>527</v>
      </c>
      <c r="AZ6" s="426" t="s">
        <v>258</v>
      </c>
      <c r="BA6" s="427" t="s">
        <v>528</v>
      </c>
      <c r="BB6" s="1357"/>
      <c r="BC6" s="1359"/>
      <c r="BD6" s="1359"/>
      <c r="BE6" s="1348"/>
      <c r="BF6" s="1361"/>
      <c r="BG6" s="428" t="s">
        <v>527</v>
      </c>
      <c r="BH6" s="428" t="s">
        <v>258</v>
      </c>
      <c r="BI6" s="429" t="s">
        <v>528</v>
      </c>
      <c r="BJ6" s="428" t="s">
        <v>527</v>
      </c>
      <c r="BK6" s="428" t="s">
        <v>258</v>
      </c>
      <c r="BL6" s="429" t="s">
        <v>528</v>
      </c>
      <c r="BM6" s="428" t="s">
        <v>527</v>
      </c>
      <c r="BN6" s="428" t="s">
        <v>258</v>
      </c>
      <c r="BO6" s="429" t="s">
        <v>528</v>
      </c>
      <c r="BP6" s="428" t="s">
        <v>527</v>
      </c>
      <c r="BQ6" s="428" t="s">
        <v>258</v>
      </c>
      <c r="BR6" s="429" t="s">
        <v>528</v>
      </c>
      <c r="BS6" s="428" t="s">
        <v>527</v>
      </c>
      <c r="BT6" s="428" t="s">
        <v>258</v>
      </c>
      <c r="BU6" s="429" t="s">
        <v>528</v>
      </c>
      <c r="BV6" s="428" t="s">
        <v>527</v>
      </c>
      <c r="BW6" s="428" t="s">
        <v>258</v>
      </c>
      <c r="BX6" s="429" t="s">
        <v>528</v>
      </c>
      <c r="BY6" s="428" t="s">
        <v>527</v>
      </c>
      <c r="BZ6" s="428" t="s">
        <v>258</v>
      </c>
      <c r="CA6" s="429" t="s">
        <v>528</v>
      </c>
      <c r="CB6" s="428" t="s">
        <v>527</v>
      </c>
      <c r="CC6" s="428" t="s">
        <v>258</v>
      </c>
      <c r="CD6" s="429" t="s">
        <v>528</v>
      </c>
      <c r="CE6" s="428" t="s">
        <v>527</v>
      </c>
      <c r="CF6" s="428" t="s">
        <v>258</v>
      </c>
      <c r="CG6" s="429" t="s">
        <v>528</v>
      </c>
      <c r="CH6" s="428" t="s">
        <v>527</v>
      </c>
      <c r="CI6" s="428" t="s">
        <v>258</v>
      </c>
      <c r="CJ6" s="429" t="s">
        <v>528</v>
      </c>
      <c r="CK6" s="428" t="s">
        <v>527</v>
      </c>
      <c r="CL6" s="428" t="s">
        <v>258</v>
      </c>
      <c r="CM6" s="429" t="s">
        <v>528</v>
      </c>
      <c r="CN6" s="428" t="s">
        <v>527</v>
      </c>
      <c r="CO6" s="428" t="s">
        <v>258</v>
      </c>
      <c r="CP6" s="429" t="s">
        <v>528</v>
      </c>
      <c r="CQ6" s="428" t="s">
        <v>527</v>
      </c>
      <c r="CR6" s="428" t="s">
        <v>258</v>
      </c>
      <c r="CS6" s="429" t="s">
        <v>528</v>
      </c>
      <c r="CT6" s="1344"/>
      <c r="CU6" s="1346"/>
      <c r="CV6" s="1346"/>
      <c r="CW6" s="1348"/>
      <c r="CX6" s="1350"/>
      <c r="CY6" s="1352"/>
      <c r="CZ6" s="1323"/>
      <c r="DA6" s="1325"/>
      <c r="DB6" s="1327"/>
    </row>
    <row r="7" spans="1:148" s="452" customFormat="1" ht="15.75" x14ac:dyDescent="0.25">
      <c r="A7" s="430">
        <v>1</v>
      </c>
      <c r="B7" s="431" t="s">
        <v>46</v>
      </c>
      <c r="C7" s="432" t="s">
        <v>529</v>
      </c>
      <c r="D7" s="433"/>
      <c r="E7" s="434"/>
      <c r="F7" s="435">
        <v>11378.37</v>
      </c>
      <c r="G7" s="436">
        <f t="shared" ref="G7:G12" si="0">+F7*0.0035</f>
        <v>39.824295000000006</v>
      </c>
      <c r="H7" s="436"/>
      <c r="I7" s="437">
        <v>9683.619999999999</v>
      </c>
      <c r="J7" s="436">
        <f t="shared" ref="J7:J12" si="1">+I7*0.0035</f>
        <v>33.892669999999995</v>
      </c>
      <c r="K7" s="436"/>
      <c r="L7" s="435">
        <v>15254</v>
      </c>
      <c r="M7" s="436">
        <f t="shared" ref="M7:M12" si="2">+L7*0.0035</f>
        <v>53.389000000000003</v>
      </c>
      <c r="N7" s="436"/>
      <c r="O7" s="435">
        <v>0</v>
      </c>
      <c r="P7" s="436">
        <f t="shared" ref="P7:P12" si="3">+O7*0.0035</f>
        <v>0</v>
      </c>
      <c r="Q7" s="436"/>
      <c r="R7" s="435">
        <v>10997.34</v>
      </c>
      <c r="S7" s="436">
        <f>+R7*0.0035</f>
        <v>38.490690000000001</v>
      </c>
      <c r="T7" s="436"/>
      <c r="U7" s="437">
        <v>8380.25</v>
      </c>
      <c r="V7" s="436">
        <f t="shared" ref="V7:V12" si="4">+U7*0.0035</f>
        <v>29.330874999999999</v>
      </c>
      <c r="W7" s="436"/>
      <c r="X7" s="437">
        <v>6018.95</v>
      </c>
      <c r="Y7" s="436">
        <f t="shared" ref="Y7:Y12" si="5">+X7*0.0035</f>
        <v>21.066324999999999</v>
      </c>
      <c r="Z7" s="436"/>
      <c r="AA7" s="435">
        <v>7872.55</v>
      </c>
      <c r="AB7" s="436">
        <f t="shared" ref="AB7:AB12" si="6">+AA7*0.0035</f>
        <v>27.553925</v>
      </c>
      <c r="AC7" s="436"/>
      <c r="AD7" s="437">
        <v>15764.41</v>
      </c>
      <c r="AE7" s="436">
        <f t="shared" ref="AE7:AE12" si="7">+AD7*0.0035</f>
        <v>55.175435</v>
      </c>
      <c r="AF7" s="436"/>
      <c r="AG7" s="435">
        <v>0</v>
      </c>
      <c r="AH7" s="436">
        <f t="shared" ref="AH7:AH12" si="8">+AG7*0.0035</f>
        <v>0</v>
      </c>
      <c r="AI7" s="436"/>
      <c r="AJ7" s="435">
        <v>11545.34</v>
      </c>
      <c r="AK7" s="436">
        <f t="shared" ref="AK7:AK12" si="9">+AJ7*0.0035</f>
        <v>40.40869</v>
      </c>
      <c r="AL7" s="436"/>
      <c r="AM7" s="435">
        <v>0</v>
      </c>
      <c r="AN7" s="436">
        <f>+AM7*0.0035</f>
        <v>0</v>
      </c>
      <c r="AO7" s="436">
        <v>20</v>
      </c>
      <c r="AP7" s="435">
        <v>0</v>
      </c>
      <c r="AQ7" s="436">
        <f t="shared" ref="AQ7:AQ12" si="10">+AP7*0.0035</f>
        <v>0</v>
      </c>
      <c r="AR7" s="436"/>
      <c r="AS7" s="437">
        <v>13201.08</v>
      </c>
      <c r="AT7" s="436">
        <f t="shared" ref="AT7:AT12" si="11">+AS7*0.0035</f>
        <v>46.203780000000002</v>
      </c>
      <c r="AU7" s="436"/>
      <c r="AV7" s="435"/>
      <c r="AW7" s="436">
        <f t="shared" ref="AW7:AW12" si="12">+AV7*0.0035</f>
        <v>0</v>
      </c>
      <c r="AX7" s="436"/>
      <c r="AY7" s="435"/>
      <c r="AZ7" s="436">
        <f t="shared" ref="AZ7:AZ12" si="13">+AY7*0.0035</f>
        <v>0</v>
      </c>
      <c r="BA7" s="436"/>
      <c r="BB7" s="438">
        <f t="shared" ref="BB7:BD15" si="14">+F7+I7+L7+O7+R7+U7+X7+AA7+AD7+AG7+AJ7+AM7+AP7+AS7+AV7+AY7</f>
        <v>110095.91</v>
      </c>
      <c r="BC7" s="439">
        <f t="shared" si="14"/>
        <v>385.33568499999996</v>
      </c>
      <c r="BD7" s="440">
        <f t="shared" si="14"/>
        <v>20</v>
      </c>
      <c r="BE7" s="441"/>
      <c r="BF7" s="442">
        <f t="shared" ref="BF7:BF15" si="15">+BC7+BD7-BE7</f>
        <v>405.33568499999996</v>
      </c>
      <c r="BG7" s="435">
        <v>5590.75</v>
      </c>
      <c r="BH7" s="436">
        <f t="shared" ref="BH7:BH12" si="16">+BG7*0.0035</f>
        <v>19.567625</v>
      </c>
      <c r="BI7" s="436"/>
      <c r="BJ7" s="435">
        <v>0</v>
      </c>
      <c r="BK7" s="436">
        <f t="shared" ref="BK7:BK12" si="17">+BJ7*0.0035</f>
        <v>0</v>
      </c>
      <c r="BL7" s="436"/>
      <c r="BM7" s="435">
        <v>7777.15</v>
      </c>
      <c r="BN7" s="436">
        <f>+BM7*0.0035</f>
        <v>27.220025</v>
      </c>
      <c r="BO7" s="436"/>
      <c r="BP7" s="435">
        <v>7895.73</v>
      </c>
      <c r="BQ7" s="436">
        <f>+BP7*0.0035</f>
        <v>27.635054999999998</v>
      </c>
      <c r="BR7" s="436"/>
      <c r="BS7" s="435">
        <v>0</v>
      </c>
      <c r="BT7" s="436">
        <f t="shared" ref="BT7:BT12" si="18">+BS7*0.0035</f>
        <v>0</v>
      </c>
      <c r="BU7" s="436"/>
      <c r="BV7" s="435">
        <v>6079.55</v>
      </c>
      <c r="BW7" s="436">
        <f t="shared" ref="BW7:BW12" si="19">+BV7*0.0035</f>
        <v>21.278425000000002</v>
      </c>
      <c r="BX7" s="436"/>
      <c r="BY7" s="435">
        <v>0</v>
      </c>
      <c r="BZ7" s="436">
        <f t="shared" ref="BZ7:BZ12" si="20">+BY7*0.0035</f>
        <v>0</v>
      </c>
      <c r="CA7" s="436"/>
      <c r="CB7" s="435">
        <v>0</v>
      </c>
      <c r="CC7" s="436">
        <f t="shared" ref="CC7:CC12" si="21">+CB7*0.0035</f>
        <v>0</v>
      </c>
      <c r="CD7" s="436"/>
      <c r="CE7" s="435">
        <v>8627.51</v>
      </c>
      <c r="CF7" s="436">
        <f t="shared" ref="CF7:CF12" si="22">+CE7*0.0035</f>
        <v>30.196285000000003</v>
      </c>
      <c r="CG7" s="436"/>
      <c r="CH7" s="435">
        <v>0</v>
      </c>
      <c r="CI7" s="436">
        <f t="shared" ref="CI7:CI12" si="23">+CH7*0.0035</f>
        <v>0</v>
      </c>
      <c r="CJ7" s="436"/>
      <c r="CK7" s="435">
        <v>0</v>
      </c>
      <c r="CL7" s="436">
        <f t="shared" ref="CL7:CL12" si="24">+CK7*0.0035</f>
        <v>0</v>
      </c>
      <c r="CM7" s="436"/>
      <c r="CN7" s="435">
        <v>0</v>
      </c>
      <c r="CO7" s="436">
        <f t="shared" ref="CO7:CO12" si="25">+CN7*0.0035</f>
        <v>0</v>
      </c>
      <c r="CP7" s="436"/>
      <c r="CQ7" s="435">
        <v>0</v>
      </c>
      <c r="CR7" s="436">
        <f t="shared" ref="CR7:CR12" si="26">+CQ7*0.0035</f>
        <v>0</v>
      </c>
      <c r="CS7" s="436"/>
      <c r="CT7" s="443">
        <f t="shared" ref="CT7:CU15" si="27">BG7+BJ7+BM7+BP7+BS7+BV7+BY7+CB7+CH7+CK7+CN7+CQ7+CE7</f>
        <v>35970.689999999995</v>
      </c>
      <c r="CU7" s="444">
        <f t="shared" si="27"/>
        <v>125.897415</v>
      </c>
      <c r="CV7" s="445">
        <f t="shared" ref="CV7:CV15" si="28">+BI7+BL7+BO7+BR7+BU7+BX7+CA7+CD7+CG7+CJ7+CM7+CP7+CS7</f>
        <v>0</v>
      </c>
      <c r="CW7" s="446"/>
      <c r="CX7" s="447">
        <f t="shared" ref="CX7:CX15" si="29">+CU7+CV7-CW7</f>
        <v>125.897415</v>
      </c>
      <c r="CY7" s="448">
        <f t="shared" ref="CY7:DA15" si="30">+BB7+CT7</f>
        <v>146066.6</v>
      </c>
      <c r="CZ7" s="449">
        <f t="shared" si="30"/>
        <v>511.23309999999992</v>
      </c>
      <c r="DA7" s="450">
        <f t="shared" si="30"/>
        <v>20</v>
      </c>
      <c r="DB7" s="451">
        <f t="shared" ref="DB7:DB15" si="31">+CZ7+DA7</f>
        <v>531.23309999999992</v>
      </c>
      <c r="DD7" s="453"/>
      <c r="DE7" s="453"/>
      <c r="DF7" s="453"/>
      <c r="DG7" s="453"/>
      <c r="DH7" s="453"/>
      <c r="DI7" s="453"/>
      <c r="DJ7" s="453"/>
      <c r="DK7" s="453"/>
      <c r="DL7" s="453"/>
      <c r="DM7" s="453"/>
      <c r="DN7" s="453"/>
      <c r="DO7" s="453"/>
      <c r="DP7" s="453"/>
      <c r="DQ7" s="453"/>
      <c r="DR7" s="453"/>
      <c r="DS7" s="453"/>
      <c r="DT7" s="453"/>
      <c r="DU7" s="453"/>
      <c r="DV7" s="453"/>
      <c r="DW7" s="453"/>
      <c r="DX7" s="453"/>
      <c r="DY7" s="453"/>
      <c r="DZ7" s="453"/>
      <c r="EA7" s="453"/>
      <c r="EB7" s="453"/>
      <c r="EC7" s="453"/>
      <c r="ED7" s="453"/>
      <c r="EE7" s="453"/>
      <c r="EF7" s="453"/>
      <c r="EG7" s="453"/>
      <c r="EH7" s="453"/>
      <c r="EI7" s="453"/>
      <c r="EJ7" s="453"/>
      <c r="EK7" s="453"/>
      <c r="EL7" s="453"/>
      <c r="EM7" s="453"/>
      <c r="EN7" s="453"/>
      <c r="EO7" s="453"/>
      <c r="EP7" s="453"/>
      <c r="EQ7" s="453"/>
      <c r="ER7" s="453"/>
    </row>
    <row r="8" spans="1:148" ht="15.75" customHeight="1" x14ac:dyDescent="0.25">
      <c r="A8" s="454">
        <f>+A7+1</f>
        <v>2</v>
      </c>
      <c r="B8" s="455" t="s">
        <v>49</v>
      </c>
      <c r="C8" s="456" t="s">
        <v>529</v>
      </c>
      <c r="D8" s="457"/>
      <c r="E8" s="458"/>
      <c r="F8" s="459">
        <v>0</v>
      </c>
      <c r="G8" s="460">
        <f t="shared" si="0"/>
        <v>0</v>
      </c>
      <c r="H8" s="460">
        <v>20</v>
      </c>
      <c r="I8" s="459">
        <v>10491.619999999999</v>
      </c>
      <c r="J8" s="460">
        <f t="shared" si="1"/>
        <v>36.720669999999998</v>
      </c>
      <c r="K8" s="460"/>
      <c r="L8" s="459">
        <v>13725</v>
      </c>
      <c r="M8" s="460">
        <f t="shared" si="2"/>
        <v>48.037500000000001</v>
      </c>
      <c r="N8" s="460"/>
      <c r="O8" s="459">
        <v>0</v>
      </c>
      <c r="P8" s="460">
        <f t="shared" si="3"/>
        <v>0</v>
      </c>
      <c r="Q8" s="460"/>
      <c r="R8" s="459">
        <v>10269.35</v>
      </c>
      <c r="S8" s="460">
        <f>+R8*0.0035</f>
        <v>35.942725000000003</v>
      </c>
      <c r="T8" s="460"/>
      <c r="U8" s="460">
        <v>7115.23</v>
      </c>
      <c r="V8" s="460">
        <f t="shared" si="4"/>
        <v>24.903305</v>
      </c>
      <c r="W8" s="460"/>
      <c r="X8" s="460">
        <v>5956.95</v>
      </c>
      <c r="Y8" s="460">
        <f t="shared" si="5"/>
        <v>20.849325</v>
      </c>
      <c r="Z8" s="460"/>
      <c r="AA8" s="459">
        <v>0</v>
      </c>
      <c r="AB8" s="460">
        <f t="shared" si="6"/>
        <v>0</v>
      </c>
      <c r="AC8" s="460">
        <v>20</v>
      </c>
      <c r="AD8" s="459">
        <v>15942.41</v>
      </c>
      <c r="AE8" s="460">
        <f t="shared" si="7"/>
        <v>55.798434999999998</v>
      </c>
      <c r="AF8" s="460"/>
      <c r="AG8" s="459">
        <v>0</v>
      </c>
      <c r="AH8" s="460">
        <f t="shared" si="8"/>
        <v>0</v>
      </c>
      <c r="AI8" s="460"/>
      <c r="AJ8" s="459">
        <v>10588.34</v>
      </c>
      <c r="AK8" s="460">
        <f t="shared" si="9"/>
        <v>37.059190000000001</v>
      </c>
      <c r="AL8" s="461"/>
      <c r="AM8" s="462">
        <v>9423.5400000000009</v>
      </c>
      <c r="AN8" s="460">
        <f>+AM8*0.0035</f>
        <v>32.982390000000002</v>
      </c>
      <c r="AO8" s="460"/>
      <c r="AP8" s="459">
        <v>0</v>
      </c>
      <c r="AQ8" s="460">
        <f t="shared" si="10"/>
        <v>0</v>
      </c>
      <c r="AR8" s="460"/>
      <c r="AS8" s="462">
        <v>14840.08</v>
      </c>
      <c r="AT8" s="460">
        <f t="shared" si="11"/>
        <v>51.940280000000001</v>
      </c>
      <c r="AU8" s="460"/>
      <c r="AV8" s="459"/>
      <c r="AW8" s="460">
        <f t="shared" si="12"/>
        <v>0</v>
      </c>
      <c r="AX8" s="460"/>
      <c r="AY8" s="459"/>
      <c r="AZ8" s="460">
        <f t="shared" si="13"/>
        <v>0</v>
      </c>
      <c r="BA8" s="460"/>
      <c r="BB8" s="463">
        <f t="shared" si="14"/>
        <v>98352.52</v>
      </c>
      <c r="BC8" s="464">
        <f t="shared" si="14"/>
        <v>344.23382000000004</v>
      </c>
      <c r="BD8" s="465">
        <f t="shared" si="14"/>
        <v>40</v>
      </c>
      <c r="BE8" s="466"/>
      <c r="BF8" s="467">
        <f t="shared" si="15"/>
        <v>384.23382000000004</v>
      </c>
      <c r="BG8" s="459">
        <v>5590.77</v>
      </c>
      <c r="BH8" s="460">
        <f t="shared" si="16"/>
        <v>19.567695000000001</v>
      </c>
      <c r="BI8" s="460"/>
      <c r="BJ8" s="459">
        <v>0</v>
      </c>
      <c r="BK8" s="460">
        <f t="shared" si="17"/>
        <v>0</v>
      </c>
      <c r="BL8" s="460"/>
      <c r="BM8" s="468">
        <v>37108.31</v>
      </c>
      <c r="BN8" s="461">
        <f>+BM8*0.02/29</f>
        <v>25.591937931034483</v>
      </c>
      <c r="BO8" s="460"/>
      <c r="BP8" s="459">
        <v>8347.73</v>
      </c>
      <c r="BQ8" s="460">
        <f>+BP8*0.0035</f>
        <v>29.217054999999998</v>
      </c>
      <c r="BR8" s="460"/>
      <c r="BS8" s="459">
        <v>3309.84</v>
      </c>
      <c r="BT8" s="460">
        <f t="shared" si="18"/>
        <v>11.584440000000001</v>
      </c>
      <c r="BU8" s="460"/>
      <c r="BV8" s="459">
        <v>6969.55</v>
      </c>
      <c r="BW8" s="460">
        <f t="shared" si="19"/>
        <v>24.393425000000001</v>
      </c>
      <c r="BX8" s="460"/>
      <c r="BY8" s="459">
        <v>1931.09</v>
      </c>
      <c r="BZ8" s="460">
        <f t="shared" si="20"/>
        <v>6.7588150000000002</v>
      </c>
      <c r="CA8" s="460"/>
      <c r="CB8" s="459">
        <v>0</v>
      </c>
      <c r="CC8" s="460">
        <f t="shared" si="21"/>
        <v>0</v>
      </c>
      <c r="CD8" s="460"/>
      <c r="CE8" s="459">
        <v>0</v>
      </c>
      <c r="CF8" s="460">
        <f t="shared" si="22"/>
        <v>0</v>
      </c>
      <c r="CG8" s="460"/>
      <c r="CH8" s="459">
        <v>0</v>
      </c>
      <c r="CI8" s="460">
        <f t="shared" si="23"/>
        <v>0</v>
      </c>
      <c r="CJ8" s="460"/>
      <c r="CK8" s="459">
        <v>0</v>
      </c>
      <c r="CL8" s="460">
        <f t="shared" si="24"/>
        <v>0</v>
      </c>
      <c r="CM8" s="460"/>
      <c r="CN8" s="459">
        <v>0</v>
      </c>
      <c r="CO8" s="460">
        <f t="shared" si="25"/>
        <v>0</v>
      </c>
      <c r="CP8" s="460"/>
      <c r="CQ8" s="459">
        <v>0</v>
      </c>
      <c r="CR8" s="460">
        <f t="shared" si="26"/>
        <v>0</v>
      </c>
      <c r="CS8" s="460"/>
      <c r="CT8" s="469">
        <f t="shared" si="27"/>
        <v>63257.289999999994</v>
      </c>
      <c r="CU8" s="470">
        <f t="shared" si="27"/>
        <v>117.11336793103447</v>
      </c>
      <c r="CV8" s="471">
        <f t="shared" si="28"/>
        <v>0</v>
      </c>
      <c r="CW8" s="472"/>
      <c r="CX8" s="473">
        <f t="shared" si="29"/>
        <v>117.11336793103447</v>
      </c>
      <c r="CY8" s="474">
        <f t="shared" si="30"/>
        <v>161609.81</v>
      </c>
      <c r="CZ8" s="475">
        <f t="shared" si="30"/>
        <v>461.34718793103451</v>
      </c>
      <c r="DA8" s="476">
        <f t="shared" si="30"/>
        <v>40</v>
      </c>
      <c r="DB8" s="477">
        <f t="shared" si="31"/>
        <v>501.34718793103451</v>
      </c>
    </row>
    <row r="9" spans="1:148" ht="16.5" thickBot="1" x14ac:dyDescent="0.3">
      <c r="A9" s="454">
        <f>+A8+1</f>
        <v>3</v>
      </c>
      <c r="B9" s="478" t="s">
        <v>32</v>
      </c>
      <c r="C9" s="479" t="s">
        <v>529</v>
      </c>
      <c r="D9" s="480" t="s">
        <v>530</v>
      </c>
      <c r="E9" s="481" t="s">
        <v>531</v>
      </c>
      <c r="F9" s="482">
        <v>10422.370000000001</v>
      </c>
      <c r="G9" s="483">
        <f t="shared" si="0"/>
        <v>36.478295000000003</v>
      </c>
      <c r="H9" s="483"/>
      <c r="I9" s="484">
        <v>8366.630000000001</v>
      </c>
      <c r="J9" s="483">
        <f t="shared" si="1"/>
        <v>29.283205000000006</v>
      </c>
      <c r="K9" s="483"/>
      <c r="L9" s="482">
        <v>13995</v>
      </c>
      <c r="M9" s="483">
        <f t="shared" si="2"/>
        <v>48.982500000000002</v>
      </c>
      <c r="N9" s="483"/>
      <c r="O9" s="482">
        <v>0</v>
      </c>
      <c r="P9" s="483">
        <f t="shared" si="3"/>
        <v>0</v>
      </c>
      <c r="Q9" s="483"/>
      <c r="R9" s="482">
        <v>9084.34</v>
      </c>
      <c r="S9" s="483">
        <f>+R9*0.0035</f>
        <v>31.795190000000002</v>
      </c>
      <c r="T9" s="483"/>
      <c r="U9" s="482">
        <v>0</v>
      </c>
      <c r="V9" s="483">
        <f t="shared" si="4"/>
        <v>0</v>
      </c>
      <c r="W9" s="483">
        <v>20</v>
      </c>
      <c r="X9" s="482">
        <v>0</v>
      </c>
      <c r="Y9" s="483">
        <f t="shared" si="5"/>
        <v>0</v>
      </c>
      <c r="Z9" s="483">
        <v>20</v>
      </c>
      <c r="AA9" s="482">
        <v>6716.55</v>
      </c>
      <c r="AB9" s="483">
        <f t="shared" si="6"/>
        <v>23.507925</v>
      </c>
      <c r="AC9" s="483"/>
      <c r="AD9" s="484">
        <v>14893.41</v>
      </c>
      <c r="AE9" s="483">
        <f t="shared" si="7"/>
        <v>52.126935000000003</v>
      </c>
      <c r="AF9" s="483"/>
      <c r="AG9" s="482">
        <v>0</v>
      </c>
      <c r="AH9" s="483">
        <f t="shared" si="8"/>
        <v>0</v>
      </c>
      <c r="AI9" s="483"/>
      <c r="AJ9" s="482">
        <v>10850.34</v>
      </c>
      <c r="AK9" s="483">
        <f t="shared" si="9"/>
        <v>37.976190000000003</v>
      </c>
      <c r="AL9" s="485"/>
      <c r="AM9" s="484">
        <v>8256.5400000000009</v>
      </c>
      <c r="AN9" s="483">
        <f>+AM9*0.0035</f>
        <v>28.897890000000004</v>
      </c>
      <c r="AO9" s="483"/>
      <c r="AP9" s="482">
        <v>0</v>
      </c>
      <c r="AQ9" s="483">
        <f t="shared" si="10"/>
        <v>0</v>
      </c>
      <c r="AR9" s="483"/>
      <c r="AS9" s="484">
        <v>13386.08</v>
      </c>
      <c r="AT9" s="483">
        <f t="shared" si="11"/>
        <v>46.851280000000003</v>
      </c>
      <c r="AU9" s="483"/>
      <c r="AV9" s="482"/>
      <c r="AW9" s="483">
        <f t="shared" si="12"/>
        <v>0</v>
      </c>
      <c r="AX9" s="483"/>
      <c r="AY9" s="482"/>
      <c r="AZ9" s="483">
        <f t="shared" si="13"/>
        <v>0</v>
      </c>
      <c r="BA9" s="483"/>
      <c r="BB9" s="486">
        <f t="shared" si="14"/>
        <v>95971.26</v>
      </c>
      <c r="BC9" s="487">
        <f t="shared" si="14"/>
        <v>335.8994100000001</v>
      </c>
      <c r="BD9" s="488">
        <f t="shared" si="14"/>
        <v>40</v>
      </c>
      <c r="BE9" s="489"/>
      <c r="BF9" s="490">
        <f t="shared" si="15"/>
        <v>375.8994100000001</v>
      </c>
      <c r="BG9" s="491">
        <v>5590.77</v>
      </c>
      <c r="BH9" s="492">
        <f t="shared" si="16"/>
        <v>19.567695000000001</v>
      </c>
      <c r="BI9" s="492"/>
      <c r="BJ9" s="493">
        <v>0</v>
      </c>
      <c r="BK9" s="492">
        <f t="shared" si="17"/>
        <v>0</v>
      </c>
      <c r="BL9" s="492"/>
      <c r="BM9" s="493">
        <v>7762.16</v>
      </c>
      <c r="BN9" s="492">
        <f>+BM9*0.0035</f>
        <v>27.167560000000002</v>
      </c>
      <c r="BO9" s="492"/>
      <c r="BP9" s="493">
        <v>8498.73</v>
      </c>
      <c r="BQ9" s="492">
        <f>+BP9*0.0035</f>
        <v>29.745555</v>
      </c>
      <c r="BR9" s="492"/>
      <c r="BS9" s="493">
        <v>0</v>
      </c>
      <c r="BT9" s="492">
        <f t="shared" si="18"/>
        <v>0</v>
      </c>
      <c r="BU9" s="492"/>
      <c r="BV9" s="493">
        <v>7348.55</v>
      </c>
      <c r="BW9" s="492">
        <f t="shared" si="19"/>
        <v>25.719925</v>
      </c>
      <c r="BX9" s="492"/>
      <c r="BY9" s="493">
        <v>1931.09</v>
      </c>
      <c r="BZ9" s="492">
        <f t="shared" si="20"/>
        <v>6.7588150000000002</v>
      </c>
      <c r="CA9" s="492"/>
      <c r="CB9" s="493">
        <v>0</v>
      </c>
      <c r="CC9" s="492">
        <f t="shared" si="21"/>
        <v>0</v>
      </c>
      <c r="CD9" s="492"/>
      <c r="CE9" s="493">
        <v>7660.51</v>
      </c>
      <c r="CF9" s="492">
        <f t="shared" si="22"/>
        <v>26.811785</v>
      </c>
      <c r="CG9" s="492"/>
      <c r="CH9" s="493">
        <v>0</v>
      </c>
      <c r="CI9" s="492">
        <f t="shared" si="23"/>
        <v>0</v>
      </c>
      <c r="CJ9" s="492"/>
      <c r="CK9" s="493">
        <v>0</v>
      </c>
      <c r="CL9" s="492">
        <f t="shared" si="24"/>
        <v>0</v>
      </c>
      <c r="CM9" s="492"/>
      <c r="CN9" s="493">
        <v>0</v>
      </c>
      <c r="CO9" s="492">
        <f t="shared" si="25"/>
        <v>0</v>
      </c>
      <c r="CP9" s="492"/>
      <c r="CQ9" s="493">
        <v>0</v>
      </c>
      <c r="CR9" s="492">
        <f t="shared" si="26"/>
        <v>0</v>
      </c>
      <c r="CS9" s="494"/>
      <c r="CT9" s="495">
        <f t="shared" si="27"/>
        <v>38791.81</v>
      </c>
      <c r="CU9" s="496">
        <f t="shared" si="27"/>
        <v>135.77133500000002</v>
      </c>
      <c r="CV9" s="497">
        <f t="shared" si="28"/>
        <v>0</v>
      </c>
      <c r="CW9" s="489"/>
      <c r="CX9" s="498">
        <f t="shared" si="29"/>
        <v>135.77133500000002</v>
      </c>
      <c r="CY9" s="499">
        <f t="shared" si="30"/>
        <v>134763.07</v>
      </c>
      <c r="CZ9" s="500">
        <f t="shared" si="30"/>
        <v>471.67074500000012</v>
      </c>
      <c r="DA9" s="501">
        <f t="shared" si="30"/>
        <v>40</v>
      </c>
      <c r="DB9" s="502">
        <f t="shared" si="31"/>
        <v>511.67074500000012</v>
      </c>
    </row>
    <row r="10" spans="1:148" s="452" customFormat="1" ht="15.75" customHeight="1" x14ac:dyDescent="0.25">
      <c r="A10" s="454">
        <f>+A9+1</f>
        <v>4</v>
      </c>
      <c r="B10" s="503" t="s">
        <v>45</v>
      </c>
      <c r="C10" s="504" t="s">
        <v>532</v>
      </c>
      <c r="D10" s="505" t="s">
        <v>533</v>
      </c>
      <c r="E10" s="506" t="s">
        <v>534</v>
      </c>
      <c r="F10" s="507">
        <v>0</v>
      </c>
      <c r="G10" s="436">
        <f t="shared" si="0"/>
        <v>0</v>
      </c>
      <c r="H10" s="436">
        <v>25</v>
      </c>
      <c r="I10" s="507">
        <v>5087.62</v>
      </c>
      <c r="J10" s="436">
        <f t="shared" si="1"/>
        <v>17.80667</v>
      </c>
      <c r="K10" s="436">
        <f>25-J10</f>
        <v>7.1933299999999996</v>
      </c>
      <c r="L10" s="507">
        <v>5610.59</v>
      </c>
      <c r="M10" s="436">
        <f t="shared" si="2"/>
        <v>19.637065</v>
      </c>
      <c r="N10" s="436">
        <f>36.33-M10</f>
        <v>16.692934999999999</v>
      </c>
      <c r="O10" s="507">
        <v>0</v>
      </c>
      <c r="P10" s="436">
        <f t="shared" si="3"/>
        <v>0</v>
      </c>
      <c r="Q10" s="436"/>
      <c r="R10" s="508">
        <v>10997.34</v>
      </c>
      <c r="S10" s="509">
        <f>+R10*0.0065/2</f>
        <v>35.741354999999999</v>
      </c>
      <c r="T10" s="436"/>
      <c r="U10" s="507">
        <v>7799.23</v>
      </c>
      <c r="V10" s="436">
        <f t="shared" si="4"/>
        <v>27.297304999999998</v>
      </c>
      <c r="W10" s="436"/>
      <c r="X10" s="507">
        <v>7999.93</v>
      </c>
      <c r="Y10" s="436">
        <f t="shared" si="5"/>
        <v>27.999755</v>
      </c>
      <c r="Z10" s="436"/>
      <c r="AA10" s="507">
        <v>8566.56</v>
      </c>
      <c r="AB10" s="436">
        <f t="shared" si="6"/>
        <v>29.982959999999999</v>
      </c>
      <c r="AC10" s="436"/>
      <c r="AD10" s="437">
        <v>19351.39</v>
      </c>
      <c r="AE10" s="436">
        <f t="shared" si="7"/>
        <v>67.729865000000004</v>
      </c>
      <c r="AF10" s="436"/>
      <c r="AG10" s="507">
        <v>0</v>
      </c>
      <c r="AH10" s="436">
        <f t="shared" si="8"/>
        <v>0</v>
      </c>
      <c r="AI10" s="436"/>
      <c r="AJ10" s="507">
        <v>12609.34</v>
      </c>
      <c r="AK10" s="436">
        <f t="shared" si="9"/>
        <v>44.132690000000004</v>
      </c>
      <c r="AL10" s="509"/>
      <c r="AM10" s="507">
        <v>10939.52</v>
      </c>
      <c r="AN10" s="436">
        <f>+AM10*0.0035</f>
        <v>38.288319999999999</v>
      </c>
      <c r="AO10" s="436"/>
      <c r="AP10" s="507">
        <v>0</v>
      </c>
      <c r="AQ10" s="436">
        <f t="shared" si="10"/>
        <v>0</v>
      </c>
      <c r="AR10" s="436"/>
      <c r="AS10" s="437">
        <v>16702.080000000002</v>
      </c>
      <c r="AT10" s="436">
        <f t="shared" si="11"/>
        <v>58.457280000000004</v>
      </c>
      <c r="AU10" s="436"/>
      <c r="AV10" s="507"/>
      <c r="AW10" s="436">
        <f t="shared" si="12"/>
        <v>0</v>
      </c>
      <c r="AX10" s="436"/>
      <c r="AY10" s="507"/>
      <c r="AZ10" s="436">
        <f t="shared" si="13"/>
        <v>0</v>
      </c>
      <c r="BA10" s="436"/>
      <c r="BB10" s="438">
        <f t="shared" si="14"/>
        <v>105663.6</v>
      </c>
      <c r="BC10" s="439">
        <f t="shared" si="14"/>
        <v>367.07326500000005</v>
      </c>
      <c r="BD10" s="440">
        <f t="shared" si="14"/>
        <v>48.886265000000002</v>
      </c>
      <c r="BE10" s="441"/>
      <c r="BF10" s="442">
        <f t="shared" si="15"/>
        <v>415.95953000000003</v>
      </c>
      <c r="BG10" s="507">
        <v>5590.77</v>
      </c>
      <c r="BH10" s="436">
        <f t="shared" si="16"/>
        <v>19.567695000000001</v>
      </c>
      <c r="BI10" s="436"/>
      <c r="BJ10" s="507">
        <v>0</v>
      </c>
      <c r="BK10" s="436">
        <f t="shared" si="17"/>
        <v>0</v>
      </c>
      <c r="BL10" s="436"/>
      <c r="BM10" s="507">
        <v>12355</v>
      </c>
      <c r="BN10" s="436">
        <f>+BM10*0.0035</f>
        <v>43.2425</v>
      </c>
      <c r="BO10" s="436"/>
      <c r="BP10" s="507">
        <v>10021.73</v>
      </c>
      <c r="BQ10" s="436">
        <f>+BP10*0.0035</f>
        <v>35.076054999999997</v>
      </c>
      <c r="BR10" s="436"/>
      <c r="BS10" s="507">
        <v>3309.84</v>
      </c>
      <c r="BT10" s="436">
        <f t="shared" si="18"/>
        <v>11.584440000000001</v>
      </c>
      <c r="BU10" s="436"/>
      <c r="BV10" s="507">
        <v>8555.5400000000009</v>
      </c>
      <c r="BW10" s="436">
        <f t="shared" si="19"/>
        <v>29.944390000000002</v>
      </c>
      <c r="BX10" s="436"/>
      <c r="BY10" s="507">
        <v>1931.09</v>
      </c>
      <c r="BZ10" s="436">
        <f t="shared" si="20"/>
        <v>6.7588150000000002</v>
      </c>
      <c r="CA10" s="436"/>
      <c r="CB10" s="507">
        <v>0</v>
      </c>
      <c r="CC10" s="436">
        <f t="shared" si="21"/>
        <v>0</v>
      </c>
      <c r="CD10" s="436"/>
      <c r="CE10" s="507">
        <v>9856.51</v>
      </c>
      <c r="CF10" s="436">
        <f t="shared" si="22"/>
        <v>34.497785</v>
      </c>
      <c r="CG10" s="436"/>
      <c r="CH10" s="507">
        <v>0</v>
      </c>
      <c r="CI10" s="436">
        <f t="shared" si="23"/>
        <v>0</v>
      </c>
      <c r="CJ10" s="436"/>
      <c r="CK10" s="507">
        <v>0</v>
      </c>
      <c r="CL10" s="436">
        <f t="shared" si="24"/>
        <v>0</v>
      </c>
      <c r="CM10" s="436"/>
      <c r="CN10" s="507">
        <v>0</v>
      </c>
      <c r="CO10" s="436">
        <f t="shared" si="25"/>
        <v>0</v>
      </c>
      <c r="CP10" s="436"/>
      <c r="CQ10" s="507">
        <v>0</v>
      </c>
      <c r="CR10" s="436">
        <f t="shared" si="26"/>
        <v>0</v>
      </c>
      <c r="CS10" s="436"/>
      <c r="CT10" s="443">
        <f t="shared" si="27"/>
        <v>51620.480000000003</v>
      </c>
      <c r="CU10" s="444">
        <f t="shared" si="27"/>
        <v>180.67167999999998</v>
      </c>
      <c r="CV10" s="445">
        <f t="shared" si="28"/>
        <v>0</v>
      </c>
      <c r="CW10" s="446"/>
      <c r="CX10" s="447">
        <f t="shared" si="29"/>
        <v>180.67167999999998</v>
      </c>
      <c r="CY10" s="448">
        <f t="shared" si="30"/>
        <v>157284.08000000002</v>
      </c>
      <c r="CZ10" s="449">
        <f t="shared" si="30"/>
        <v>547.74494500000003</v>
      </c>
      <c r="DA10" s="450">
        <f t="shared" si="30"/>
        <v>48.886265000000002</v>
      </c>
      <c r="DB10" s="451">
        <f t="shared" si="31"/>
        <v>596.63121000000001</v>
      </c>
      <c r="DD10" s="453"/>
      <c r="DE10" s="453"/>
      <c r="DF10" s="453"/>
      <c r="DG10" s="453"/>
      <c r="DH10" s="453"/>
      <c r="DI10" s="453"/>
      <c r="DJ10" s="453"/>
      <c r="DK10" s="453"/>
      <c r="DL10" s="453"/>
      <c r="DM10" s="453"/>
      <c r="DN10" s="453"/>
      <c r="DO10" s="453"/>
      <c r="DP10" s="453"/>
      <c r="DQ10" s="453"/>
      <c r="DR10" s="453"/>
      <c r="DS10" s="453"/>
      <c r="DT10" s="453"/>
      <c r="DU10" s="453"/>
      <c r="DV10" s="453"/>
      <c r="DW10" s="453"/>
      <c r="DX10" s="453"/>
      <c r="DY10" s="453"/>
      <c r="DZ10" s="453"/>
      <c r="EA10" s="453"/>
      <c r="EB10" s="453"/>
      <c r="EC10" s="453"/>
      <c r="ED10" s="453"/>
      <c r="EE10" s="453"/>
      <c r="EF10" s="453"/>
      <c r="EG10" s="453"/>
      <c r="EH10" s="453"/>
      <c r="EI10" s="453"/>
      <c r="EJ10" s="453"/>
      <c r="EK10" s="453"/>
      <c r="EL10" s="453"/>
      <c r="EM10" s="453"/>
      <c r="EN10" s="453"/>
      <c r="EO10" s="453"/>
      <c r="EP10" s="453"/>
      <c r="EQ10" s="453"/>
      <c r="ER10" s="453"/>
    </row>
    <row r="11" spans="1:148" ht="15.75" customHeight="1" x14ac:dyDescent="0.25">
      <c r="A11" s="454">
        <f>+A10+1</f>
        <v>5</v>
      </c>
      <c r="B11" s="510" t="s">
        <v>34</v>
      </c>
      <c r="C11" s="511" t="s">
        <v>532</v>
      </c>
      <c r="D11" s="512"/>
      <c r="E11" s="513"/>
      <c r="F11" s="493">
        <v>11821.35</v>
      </c>
      <c r="G11" s="514">
        <f t="shared" si="0"/>
        <v>41.374725000000005</v>
      </c>
      <c r="H11" s="514"/>
      <c r="I11" s="515">
        <v>7931.62</v>
      </c>
      <c r="J11" s="514">
        <f t="shared" si="1"/>
        <v>27.760670000000001</v>
      </c>
      <c r="K11" s="514"/>
      <c r="L11" s="493">
        <v>13425</v>
      </c>
      <c r="M11" s="514">
        <f t="shared" si="2"/>
        <v>46.987500000000004</v>
      </c>
      <c r="N11" s="514"/>
      <c r="O11" s="493">
        <v>0</v>
      </c>
      <c r="P11" s="514">
        <f t="shared" si="3"/>
        <v>0</v>
      </c>
      <c r="Q11" s="514"/>
      <c r="R11" s="493">
        <v>11472.34</v>
      </c>
      <c r="S11" s="514">
        <f>+R11*0.0035</f>
        <v>40.153190000000002</v>
      </c>
      <c r="T11" s="515"/>
      <c r="U11" s="515">
        <v>6185.23</v>
      </c>
      <c r="V11" s="514">
        <f t="shared" si="4"/>
        <v>21.648305000000001</v>
      </c>
      <c r="W11" s="514"/>
      <c r="X11" s="515">
        <v>6192.95</v>
      </c>
      <c r="Y11" s="514">
        <f t="shared" si="5"/>
        <v>21.675325000000001</v>
      </c>
      <c r="Z11" s="514"/>
      <c r="AA11" s="493">
        <v>0</v>
      </c>
      <c r="AB11" s="514">
        <f t="shared" si="6"/>
        <v>0</v>
      </c>
      <c r="AC11" s="514">
        <v>20</v>
      </c>
      <c r="AD11" s="493">
        <v>15688.41</v>
      </c>
      <c r="AE11" s="514">
        <f t="shared" si="7"/>
        <v>54.909435000000002</v>
      </c>
      <c r="AF11" s="514"/>
      <c r="AG11" s="493">
        <v>0</v>
      </c>
      <c r="AH11" s="514">
        <f t="shared" si="8"/>
        <v>0</v>
      </c>
      <c r="AI11" s="514"/>
      <c r="AJ11" s="493">
        <v>10228.34</v>
      </c>
      <c r="AK11" s="514">
        <f t="shared" si="9"/>
        <v>35.799190000000003</v>
      </c>
      <c r="AL11" s="514"/>
      <c r="AM11" s="516">
        <v>10939.52</v>
      </c>
      <c r="AN11" s="517">
        <f>+AM11*0.0065/2</f>
        <v>35.553440000000002</v>
      </c>
      <c r="AO11" s="514"/>
      <c r="AP11" s="493">
        <v>0</v>
      </c>
      <c r="AQ11" s="514">
        <f t="shared" si="10"/>
        <v>0</v>
      </c>
      <c r="AR11" s="514">
        <v>20</v>
      </c>
      <c r="AS11" s="515">
        <v>14577.08</v>
      </c>
      <c r="AT11" s="514">
        <f t="shared" si="11"/>
        <v>51.019780000000004</v>
      </c>
      <c r="AU11" s="514"/>
      <c r="AV11" s="493"/>
      <c r="AW11" s="514">
        <f t="shared" si="12"/>
        <v>0</v>
      </c>
      <c r="AX11" s="514"/>
      <c r="AY11" s="493"/>
      <c r="AZ11" s="514">
        <f t="shared" si="13"/>
        <v>0</v>
      </c>
      <c r="BA11" s="514"/>
      <c r="BB11" s="463">
        <f t="shared" si="14"/>
        <v>108461.84</v>
      </c>
      <c r="BC11" s="464">
        <f t="shared" si="14"/>
        <v>376.88156000000004</v>
      </c>
      <c r="BD11" s="465">
        <f t="shared" si="14"/>
        <v>40</v>
      </c>
      <c r="BE11" s="466"/>
      <c r="BF11" s="467">
        <f t="shared" si="15"/>
        <v>416.88156000000004</v>
      </c>
      <c r="BG11" s="493">
        <v>0</v>
      </c>
      <c r="BH11" s="514">
        <f t="shared" si="16"/>
        <v>0</v>
      </c>
      <c r="BI11" s="514">
        <v>20</v>
      </c>
      <c r="BJ11" s="493">
        <v>0</v>
      </c>
      <c r="BK11" s="514">
        <f t="shared" si="17"/>
        <v>0</v>
      </c>
      <c r="BL11" s="514"/>
      <c r="BM11" s="493">
        <v>10923</v>
      </c>
      <c r="BN11" s="514">
        <f>+BM11*0.0035</f>
        <v>38.230499999999999</v>
      </c>
      <c r="BO11" s="514"/>
      <c r="BP11" s="493">
        <v>8533.73</v>
      </c>
      <c r="BQ11" s="514">
        <f>+BP11*0.0035</f>
        <v>29.868054999999998</v>
      </c>
      <c r="BR11" s="514"/>
      <c r="BS11" s="493">
        <v>3309.84</v>
      </c>
      <c r="BT11" s="514">
        <f t="shared" si="18"/>
        <v>11.584440000000001</v>
      </c>
      <c r="BU11" s="514"/>
      <c r="BV11" s="493">
        <v>0</v>
      </c>
      <c r="BW11" s="514">
        <f t="shared" si="19"/>
        <v>0</v>
      </c>
      <c r="BX11" s="514">
        <v>20</v>
      </c>
      <c r="BY11" s="493">
        <v>0</v>
      </c>
      <c r="BZ11" s="514">
        <f t="shared" si="20"/>
        <v>0</v>
      </c>
      <c r="CA11" s="514">
        <v>20</v>
      </c>
      <c r="CB11" s="493">
        <v>0</v>
      </c>
      <c r="CC11" s="514">
        <f t="shared" si="21"/>
        <v>0</v>
      </c>
      <c r="CD11" s="514"/>
      <c r="CE11" s="493">
        <v>8301.51</v>
      </c>
      <c r="CF11" s="514">
        <f t="shared" si="22"/>
        <v>29.055285000000001</v>
      </c>
      <c r="CG11" s="514"/>
      <c r="CH11" s="493">
        <v>0</v>
      </c>
      <c r="CI11" s="514">
        <f t="shared" si="23"/>
        <v>0</v>
      </c>
      <c r="CJ11" s="514"/>
      <c r="CK11" s="493">
        <v>0</v>
      </c>
      <c r="CL11" s="514">
        <f t="shared" si="24"/>
        <v>0</v>
      </c>
      <c r="CM11" s="514"/>
      <c r="CN11" s="493">
        <v>0</v>
      </c>
      <c r="CO11" s="514">
        <f t="shared" si="25"/>
        <v>0</v>
      </c>
      <c r="CP11" s="514"/>
      <c r="CQ11" s="493">
        <v>0</v>
      </c>
      <c r="CR11" s="514">
        <f t="shared" si="26"/>
        <v>0</v>
      </c>
      <c r="CS11" s="514"/>
      <c r="CT11" s="469">
        <f t="shared" si="27"/>
        <v>31068.080000000002</v>
      </c>
      <c r="CU11" s="470">
        <f t="shared" si="27"/>
        <v>108.73828</v>
      </c>
      <c r="CV11" s="471">
        <f t="shared" si="28"/>
        <v>60</v>
      </c>
      <c r="CW11" s="472"/>
      <c r="CX11" s="473">
        <f t="shared" si="29"/>
        <v>168.73828</v>
      </c>
      <c r="CY11" s="474">
        <f t="shared" si="30"/>
        <v>139529.91999999998</v>
      </c>
      <c r="CZ11" s="475">
        <f t="shared" si="30"/>
        <v>485.61984000000007</v>
      </c>
      <c r="DA11" s="476">
        <f t="shared" si="30"/>
        <v>100</v>
      </c>
      <c r="DB11" s="477">
        <f t="shared" si="31"/>
        <v>585.61984000000007</v>
      </c>
    </row>
    <row r="12" spans="1:148" ht="16.5" thickBot="1" x14ac:dyDescent="0.3">
      <c r="A12" s="454">
        <f>+A11+1</f>
        <v>6</v>
      </c>
      <c r="B12" s="518" t="s">
        <v>36</v>
      </c>
      <c r="C12" s="519" t="s">
        <v>532</v>
      </c>
      <c r="D12" s="512"/>
      <c r="E12" s="513"/>
      <c r="F12" s="493">
        <v>10979.37</v>
      </c>
      <c r="G12" s="514">
        <f t="shared" si="0"/>
        <v>38.427795000000003</v>
      </c>
      <c r="H12" s="514"/>
      <c r="I12" s="493">
        <v>0</v>
      </c>
      <c r="J12" s="514">
        <f t="shared" si="1"/>
        <v>0</v>
      </c>
      <c r="K12" s="514">
        <v>20</v>
      </c>
      <c r="L12" s="493">
        <v>0</v>
      </c>
      <c r="M12" s="514">
        <f t="shared" si="2"/>
        <v>0</v>
      </c>
      <c r="N12" s="514">
        <v>20</v>
      </c>
      <c r="O12" s="493">
        <v>0</v>
      </c>
      <c r="P12" s="514">
        <f t="shared" si="3"/>
        <v>0</v>
      </c>
      <c r="Q12" s="514">
        <v>20</v>
      </c>
      <c r="R12" s="493">
        <v>9295.34</v>
      </c>
      <c r="S12" s="514">
        <f>+R12*0.0035</f>
        <v>32.53369</v>
      </c>
      <c r="T12" s="514"/>
      <c r="U12" s="515">
        <v>8249.23</v>
      </c>
      <c r="V12" s="514">
        <f t="shared" si="4"/>
        <v>28.872305000000001</v>
      </c>
      <c r="W12" s="514"/>
      <c r="X12" s="493">
        <v>6976.95</v>
      </c>
      <c r="Y12" s="514">
        <f t="shared" si="5"/>
        <v>24.419325000000001</v>
      </c>
      <c r="Z12" s="514"/>
      <c r="AA12" s="493">
        <v>6386.55</v>
      </c>
      <c r="AB12" s="514">
        <f t="shared" si="6"/>
        <v>22.352925000000003</v>
      </c>
      <c r="AC12" s="514"/>
      <c r="AD12" s="515">
        <v>13160.41</v>
      </c>
      <c r="AE12" s="514">
        <f t="shared" si="7"/>
        <v>46.061435000000003</v>
      </c>
      <c r="AF12" s="514"/>
      <c r="AG12" s="493">
        <v>0</v>
      </c>
      <c r="AH12" s="514">
        <f t="shared" si="8"/>
        <v>0</v>
      </c>
      <c r="AI12" s="514"/>
      <c r="AJ12" s="493">
        <v>8782.34</v>
      </c>
      <c r="AK12" s="514">
        <f t="shared" si="9"/>
        <v>30.738189999999999</v>
      </c>
      <c r="AL12" s="514"/>
      <c r="AM12" s="493">
        <v>7440.54</v>
      </c>
      <c r="AN12" s="514">
        <f>+AM12*0.0035</f>
        <v>26.041889999999999</v>
      </c>
      <c r="AO12" s="514"/>
      <c r="AP12" s="493">
        <v>0</v>
      </c>
      <c r="AQ12" s="514">
        <f t="shared" si="10"/>
        <v>0</v>
      </c>
      <c r="AR12" s="514"/>
      <c r="AS12" s="515">
        <v>9806.09</v>
      </c>
      <c r="AT12" s="514">
        <f t="shared" si="11"/>
        <v>34.321314999999998</v>
      </c>
      <c r="AU12" s="514">
        <f>56-AT12</f>
        <v>21.678685000000002</v>
      </c>
      <c r="AV12" s="493"/>
      <c r="AW12" s="514">
        <f t="shared" si="12"/>
        <v>0</v>
      </c>
      <c r="AX12" s="514"/>
      <c r="AY12" s="493"/>
      <c r="AZ12" s="514">
        <f t="shared" si="13"/>
        <v>0</v>
      </c>
      <c r="BA12" s="514"/>
      <c r="BB12" s="486">
        <f t="shared" si="14"/>
        <v>81076.819999999992</v>
      </c>
      <c r="BC12" s="487">
        <f t="shared" si="14"/>
        <v>283.76886999999999</v>
      </c>
      <c r="BD12" s="488">
        <f t="shared" si="14"/>
        <v>81.678685000000002</v>
      </c>
      <c r="BE12" s="489"/>
      <c r="BF12" s="490">
        <f t="shared" si="15"/>
        <v>365.44755499999997</v>
      </c>
      <c r="BG12" s="493">
        <v>5590.77</v>
      </c>
      <c r="BH12" s="514">
        <f t="shared" si="16"/>
        <v>19.567695000000001</v>
      </c>
      <c r="BI12" s="514"/>
      <c r="BJ12" s="493">
        <v>0</v>
      </c>
      <c r="BK12" s="514">
        <f t="shared" si="17"/>
        <v>0</v>
      </c>
      <c r="BL12" s="514"/>
      <c r="BM12" s="493">
        <v>10544</v>
      </c>
      <c r="BN12" s="514">
        <f>+BM12*0.0035</f>
        <v>36.904000000000003</v>
      </c>
      <c r="BO12" s="514"/>
      <c r="BP12" s="520">
        <v>42210.15</v>
      </c>
      <c r="BQ12" s="517">
        <f>+BP12*0.02/34</f>
        <v>24.829500000000003</v>
      </c>
      <c r="BR12" s="514"/>
      <c r="BS12" s="493">
        <v>3309.85</v>
      </c>
      <c r="BT12" s="514">
        <f t="shared" si="18"/>
        <v>11.584474999999999</v>
      </c>
      <c r="BU12" s="514"/>
      <c r="BV12" s="493">
        <v>8452.5499999999993</v>
      </c>
      <c r="BW12" s="514">
        <f t="shared" si="19"/>
        <v>29.583924999999997</v>
      </c>
      <c r="BX12" s="514"/>
      <c r="BY12" s="493">
        <v>1931.09</v>
      </c>
      <c r="BZ12" s="514">
        <f t="shared" si="20"/>
        <v>6.7588150000000002</v>
      </c>
      <c r="CA12" s="514"/>
      <c r="CB12" s="493">
        <v>0</v>
      </c>
      <c r="CC12" s="514">
        <f t="shared" si="21"/>
        <v>0</v>
      </c>
      <c r="CD12" s="514"/>
      <c r="CE12" s="493">
        <v>10973.52</v>
      </c>
      <c r="CF12" s="514">
        <f t="shared" si="22"/>
        <v>38.407320000000006</v>
      </c>
      <c r="CG12" s="514"/>
      <c r="CH12" s="493">
        <v>0</v>
      </c>
      <c r="CI12" s="514">
        <f t="shared" si="23"/>
        <v>0</v>
      </c>
      <c r="CJ12" s="514"/>
      <c r="CK12" s="493">
        <v>0</v>
      </c>
      <c r="CL12" s="514">
        <f t="shared" si="24"/>
        <v>0</v>
      </c>
      <c r="CM12" s="514"/>
      <c r="CN12" s="493">
        <v>0</v>
      </c>
      <c r="CO12" s="514">
        <f t="shared" si="25"/>
        <v>0</v>
      </c>
      <c r="CP12" s="514"/>
      <c r="CQ12" s="493">
        <v>0</v>
      </c>
      <c r="CR12" s="514">
        <f t="shared" si="26"/>
        <v>0</v>
      </c>
      <c r="CS12" s="514"/>
      <c r="CT12" s="495">
        <f t="shared" si="27"/>
        <v>83011.929999999993</v>
      </c>
      <c r="CU12" s="496">
        <f t="shared" si="27"/>
        <v>167.63573</v>
      </c>
      <c r="CV12" s="497">
        <f t="shared" si="28"/>
        <v>0</v>
      </c>
      <c r="CW12" s="489"/>
      <c r="CX12" s="498">
        <f t="shared" si="29"/>
        <v>167.63573</v>
      </c>
      <c r="CY12" s="499">
        <f t="shared" si="30"/>
        <v>164088.75</v>
      </c>
      <c r="CZ12" s="500">
        <f t="shared" si="30"/>
        <v>451.40459999999996</v>
      </c>
      <c r="DA12" s="501">
        <f t="shared" si="30"/>
        <v>81.678685000000002</v>
      </c>
      <c r="DB12" s="502">
        <f t="shared" si="31"/>
        <v>533.08328499999993</v>
      </c>
    </row>
    <row r="13" spans="1:148" s="452" customFormat="1" ht="16.5" customHeight="1" thickBot="1" x14ac:dyDescent="0.3">
      <c r="A13" s="454">
        <f t="shared" ref="A13:A15" si="32">+A12+1</f>
        <v>7</v>
      </c>
      <c r="B13" s="521" t="s">
        <v>35</v>
      </c>
      <c r="C13" s="522" t="s">
        <v>535</v>
      </c>
      <c r="D13" s="523" t="s">
        <v>536</v>
      </c>
      <c r="E13" s="524" t="s">
        <v>537</v>
      </c>
      <c r="F13" s="507">
        <v>0</v>
      </c>
      <c r="G13" s="525">
        <f>+F13*0.0065/2</f>
        <v>0</v>
      </c>
      <c r="H13" s="526">
        <v>25</v>
      </c>
      <c r="I13" s="507">
        <v>5087.62</v>
      </c>
      <c r="J13" s="525">
        <f>+I13*0.0065/2</f>
        <v>16.534765</v>
      </c>
      <c r="K13" s="436">
        <f>25-J13</f>
        <v>8.4652349999999998</v>
      </c>
      <c r="L13" s="507">
        <v>5610.59</v>
      </c>
      <c r="M13" s="525">
        <f>+L13*0.0065/2</f>
        <v>18.234417499999999</v>
      </c>
      <c r="N13" s="436">
        <f>36.33-M13</f>
        <v>18.095582499999999</v>
      </c>
      <c r="O13" s="507">
        <v>0</v>
      </c>
      <c r="P13" s="525">
        <f>+O13*0.0065/2</f>
        <v>0</v>
      </c>
      <c r="Q13" s="526"/>
      <c r="R13" s="507">
        <v>11472.34</v>
      </c>
      <c r="S13" s="525">
        <f>+R13*0.0065/2</f>
        <v>37.285105000000001</v>
      </c>
      <c r="T13" s="526"/>
      <c r="U13" s="507">
        <v>7799.23</v>
      </c>
      <c r="V13" s="525">
        <f>+U13*0.0065/2</f>
        <v>25.347497499999996</v>
      </c>
      <c r="W13" s="526"/>
      <c r="X13" s="507">
        <v>7999.93</v>
      </c>
      <c r="Y13" s="525">
        <f>+X13*0.0065/2</f>
        <v>25.999772499999999</v>
      </c>
      <c r="Z13" s="526"/>
      <c r="AA13" s="507">
        <v>8566.56</v>
      </c>
      <c r="AB13" s="525">
        <f>+AA13*0.0065/2</f>
        <v>27.841319999999996</v>
      </c>
      <c r="AC13" s="526"/>
      <c r="AD13" s="527">
        <v>19351.39</v>
      </c>
      <c r="AE13" s="525">
        <f>+AD13*0.0065/2</f>
        <v>62.892017499999994</v>
      </c>
      <c r="AF13" s="526"/>
      <c r="AG13" s="507">
        <v>0</v>
      </c>
      <c r="AH13" s="525">
        <f>+AG13*0.0065/2</f>
        <v>0</v>
      </c>
      <c r="AI13" s="526"/>
      <c r="AJ13" s="507">
        <v>12609.34</v>
      </c>
      <c r="AK13" s="525">
        <f>+AJ13*0.0065/2</f>
        <v>40.980354999999996</v>
      </c>
      <c r="AL13" s="525"/>
      <c r="AM13" s="507">
        <v>10939.52</v>
      </c>
      <c r="AN13" s="525">
        <f>+AM13*0.0065/2</f>
        <v>35.553440000000002</v>
      </c>
      <c r="AO13" s="526"/>
      <c r="AP13" s="507">
        <v>0</v>
      </c>
      <c r="AQ13" s="525">
        <f>+AP13*0.0065/2</f>
        <v>0</v>
      </c>
      <c r="AR13" s="526">
        <v>20</v>
      </c>
      <c r="AS13" s="527">
        <v>16702.080000000002</v>
      </c>
      <c r="AT13" s="525">
        <f>+AS13*0.0065/2</f>
        <v>54.281760000000006</v>
      </c>
      <c r="AU13" s="526"/>
      <c r="AV13" s="507"/>
      <c r="AW13" s="525">
        <f>+AV13*0.0065/2</f>
        <v>0</v>
      </c>
      <c r="AX13" s="526"/>
      <c r="AY13" s="507"/>
      <c r="AZ13" s="525">
        <f>+AY13*0.0065/2</f>
        <v>0</v>
      </c>
      <c r="BA13" s="526"/>
      <c r="BB13" s="438">
        <f t="shared" si="14"/>
        <v>106138.6</v>
      </c>
      <c r="BC13" s="439">
        <f t="shared" si="14"/>
        <v>344.95044999999999</v>
      </c>
      <c r="BD13" s="440">
        <f t="shared" si="14"/>
        <v>71.560817499999999</v>
      </c>
      <c r="BE13" s="441"/>
      <c r="BF13" s="442">
        <f t="shared" si="15"/>
        <v>416.51126749999997</v>
      </c>
      <c r="BG13" s="507">
        <v>5590.77</v>
      </c>
      <c r="BH13" s="525">
        <f>+BG13*0.0065/2</f>
        <v>18.170002499999999</v>
      </c>
      <c r="BI13" s="526"/>
      <c r="BJ13" s="507">
        <v>0</v>
      </c>
      <c r="BK13" s="525">
        <f>+BJ13*0.0065/2</f>
        <v>0</v>
      </c>
      <c r="BL13" s="526"/>
      <c r="BM13" s="507">
        <v>12355</v>
      </c>
      <c r="BN13" s="525">
        <f>+BM13*0.0065/2</f>
        <v>40.153749999999995</v>
      </c>
      <c r="BO13" s="526"/>
      <c r="BP13" s="507">
        <v>10021.73</v>
      </c>
      <c r="BQ13" s="525">
        <f>+BP13*0.0065/2</f>
        <v>32.570622499999999</v>
      </c>
      <c r="BR13" s="526"/>
      <c r="BS13" s="507">
        <v>3309.84</v>
      </c>
      <c r="BT13" s="525">
        <f>+BS13*0.0065/2</f>
        <v>10.75698</v>
      </c>
      <c r="BU13" s="526"/>
      <c r="BV13" s="507">
        <v>8555.5400000000009</v>
      </c>
      <c r="BW13" s="525">
        <f>+BV13*0.0065/2</f>
        <v>27.805505</v>
      </c>
      <c r="BX13" s="526"/>
      <c r="BY13" s="507">
        <v>0</v>
      </c>
      <c r="BZ13" s="525">
        <f>+BY13*0.0065/2</f>
        <v>0</v>
      </c>
      <c r="CA13" s="526">
        <v>20</v>
      </c>
      <c r="CB13" s="507">
        <v>0</v>
      </c>
      <c r="CC13" s="525">
        <f>+CB13*0.0065/2</f>
        <v>0</v>
      </c>
      <c r="CD13" s="526"/>
      <c r="CE13" s="507">
        <v>9856.51</v>
      </c>
      <c r="CF13" s="525">
        <f>+CE13*0.0065/2</f>
        <v>32.033657499999997</v>
      </c>
      <c r="CG13" s="526"/>
      <c r="CH13" s="507">
        <v>0</v>
      </c>
      <c r="CI13" s="525">
        <f>+CH13*0.0065/2</f>
        <v>0</v>
      </c>
      <c r="CJ13" s="526"/>
      <c r="CK13" s="507">
        <v>0</v>
      </c>
      <c r="CL13" s="525">
        <f>+CK13*0.0065/2</f>
        <v>0</v>
      </c>
      <c r="CM13" s="526"/>
      <c r="CN13" s="507">
        <v>0</v>
      </c>
      <c r="CO13" s="525">
        <f>+CN13*0.0065/2</f>
        <v>0</v>
      </c>
      <c r="CP13" s="526"/>
      <c r="CQ13" s="507">
        <v>0</v>
      </c>
      <c r="CR13" s="525">
        <f>+CQ13*0.0065/2</f>
        <v>0</v>
      </c>
      <c r="CS13" s="526"/>
      <c r="CT13" s="443">
        <f t="shared" si="27"/>
        <v>49689.390000000007</v>
      </c>
      <c r="CU13" s="444">
        <f t="shared" si="27"/>
        <v>161.49051750000001</v>
      </c>
      <c r="CV13" s="445">
        <f t="shared" si="28"/>
        <v>20</v>
      </c>
      <c r="CW13" s="446"/>
      <c r="CX13" s="447">
        <f t="shared" si="29"/>
        <v>181.49051750000001</v>
      </c>
      <c r="CY13" s="448">
        <f t="shared" si="30"/>
        <v>155827.99000000002</v>
      </c>
      <c r="CZ13" s="449">
        <f t="shared" si="30"/>
        <v>506.4409675</v>
      </c>
      <c r="DA13" s="450">
        <f t="shared" si="30"/>
        <v>91.560817499999999</v>
      </c>
      <c r="DB13" s="451">
        <f t="shared" si="31"/>
        <v>598.00178500000004</v>
      </c>
      <c r="DD13" s="528"/>
      <c r="DE13" s="528"/>
      <c r="DF13" s="453"/>
      <c r="DG13" s="453"/>
      <c r="DH13" s="453"/>
      <c r="DI13" s="453"/>
      <c r="DJ13" s="453"/>
      <c r="DK13" s="453"/>
      <c r="DL13" s="453"/>
      <c r="DM13" s="453"/>
      <c r="DN13" s="453"/>
      <c r="DO13" s="453"/>
      <c r="DP13" s="453"/>
      <c r="DQ13" s="453"/>
      <c r="DR13" s="453"/>
      <c r="DS13" s="453"/>
      <c r="DT13" s="453"/>
      <c r="DU13" s="453"/>
      <c r="DV13" s="453"/>
      <c r="DW13" s="453"/>
      <c r="DX13" s="453"/>
      <c r="DY13" s="453"/>
      <c r="DZ13" s="453"/>
      <c r="EA13" s="453"/>
      <c r="EB13" s="453"/>
      <c r="EC13" s="453"/>
      <c r="ED13" s="453"/>
      <c r="EE13" s="453"/>
      <c r="EF13" s="453"/>
      <c r="EG13" s="453"/>
      <c r="EH13" s="453"/>
      <c r="EI13" s="453"/>
      <c r="EJ13" s="453"/>
      <c r="EK13" s="453"/>
      <c r="EL13" s="453"/>
      <c r="EM13" s="453"/>
      <c r="EN13" s="453"/>
      <c r="EO13" s="453"/>
      <c r="EP13" s="453"/>
      <c r="EQ13" s="453"/>
      <c r="ER13" s="453"/>
    </row>
    <row r="14" spans="1:148" s="452" customFormat="1" ht="15.75" customHeight="1" thickBot="1" x14ac:dyDescent="0.3">
      <c r="A14" s="454">
        <f t="shared" si="32"/>
        <v>8</v>
      </c>
      <c r="B14" s="539" t="s">
        <v>51</v>
      </c>
      <c r="C14" s="540" t="s">
        <v>538</v>
      </c>
      <c r="D14" s="505" t="s">
        <v>539</v>
      </c>
      <c r="E14" s="506" t="s">
        <v>540</v>
      </c>
      <c r="F14" s="435">
        <v>0</v>
      </c>
      <c r="G14" s="525">
        <f>+F14*0.0065/2</f>
        <v>0</v>
      </c>
      <c r="H14" s="436">
        <v>20</v>
      </c>
      <c r="I14" s="435">
        <v>10491.619999999999</v>
      </c>
      <c r="J14" s="525">
        <f>+I14*0.0065/2</f>
        <v>34.097764999999995</v>
      </c>
      <c r="K14" s="436"/>
      <c r="L14" s="435">
        <v>13725</v>
      </c>
      <c r="M14" s="525">
        <f>+L14*0.0065/2</f>
        <v>44.606249999999996</v>
      </c>
      <c r="N14" s="436"/>
      <c r="O14" s="435">
        <v>0</v>
      </c>
      <c r="P14" s="525">
        <f>+O14*0.0065/2</f>
        <v>0</v>
      </c>
      <c r="Q14" s="436"/>
      <c r="R14" s="435">
        <v>10269.35</v>
      </c>
      <c r="S14" s="525">
        <f>+R14*0.0065/2</f>
        <v>33.375387500000002</v>
      </c>
      <c r="T14" s="436"/>
      <c r="U14" s="525">
        <v>7115.23</v>
      </c>
      <c r="V14" s="525">
        <f>+U14*0.0065/2</f>
        <v>23.124497499999997</v>
      </c>
      <c r="W14" s="436"/>
      <c r="X14" s="436">
        <v>5956.95</v>
      </c>
      <c r="Y14" s="525">
        <f>+X14*0.0065/2</f>
        <v>19.360087499999999</v>
      </c>
      <c r="Z14" s="436"/>
      <c r="AA14" s="435">
        <v>0</v>
      </c>
      <c r="AB14" s="525">
        <f>+AA14*0.0065/2</f>
        <v>0</v>
      </c>
      <c r="AC14" s="436">
        <v>20</v>
      </c>
      <c r="AD14" s="435">
        <v>15942.41</v>
      </c>
      <c r="AE14" s="525">
        <f>+AD14*0.0065/2</f>
        <v>51.812832499999999</v>
      </c>
      <c r="AF14" s="436"/>
      <c r="AG14" s="435">
        <v>0</v>
      </c>
      <c r="AH14" s="525">
        <f>+AG14*0.0065/2</f>
        <v>0</v>
      </c>
      <c r="AI14" s="436"/>
      <c r="AJ14" s="435">
        <v>10588.34</v>
      </c>
      <c r="AK14" s="525">
        <f>+AJ14*0.0065/2</f>
        <v>34.412104999999997</v>
      </c>
      <c r="AL14" s="525"/>
      <c r="AM14" s="527">
        <v>9423.5400000000009</v>
      </c>
      <c r="AN14" s="525">
        <f>+AM14*0.0065/2</f>
        <v>30.626505000000002</v>
      </c>
      <c r="AO14" s="436"/>
      <c r="AP14" s="435">
        <v>0</v>
      </c>
      <c r="AQ14" s="525">
        <f>+AP14*0.0065/2</f>
        <v>0</v>
      </c>
      <c r="AR14" s="436">
        <v>20</v>
      </c>
      <c r="AS14" s="437">
        <v>14840.08</v>
      </c>
      <c r="AT14" s="525">
        <f>+AS14*0.0065/2</f>
        <v>48.230259999999994</v>
      </c>
      <c r="AU14" s="436"/>
      <c r="AV14" s="435"/>
      <c r="AW14" s="525">
        <f>+AV14*0.0065/2</f>
        <v>0</v>
      </c>
      <c r="AX14" s="436"/>
      <c r="AY14" s="435"/>
      <c r="AZ14" s="525">
        <f>+AY14*0.0065/2</f>
        <v>0</v>
      </c>
      <c r="BA14" s="436"/>
      <c r="BB14" s="438">
        <f t="shared" si="14"/>
        <v>98352.52</v>
      </c>
      <c r="BC14" s="439">
        <f t="shared" si="14"/>
        <v>319.64569</v>
      </c>
      <c r="BD14" s="440">
        <f t="shared" si="14"/>
        <v>60</v>
      </c>
      <c r="BE14" s="441"/>
      <c r="BF14" s="442">
        <f t="shared" si="15"/>
        <v>379.64569</v>
      </c>
      <c r="BG14" s="435">
        <v>5590.77</v>
      </c>
      <c r="BH14" s="525">
        <f>+BG14*0.0065/2</f>
        <v>18.170002499999999</v>
      </c>
      <c r="BI14" s="436"/>
      <c r="BJ14" s="435">
        <v>0</v>
      </c>
      <c r="BK14" s="525">
        <f>+BJ14*0.0065/2</f>
        <v>0</v>
      </c>
      <c r="BL14" s="436"/>
      <c r="BM14" s="541">
        <v>37108.31</v>
      </c>
      <c r="BN14" s="525">
        <f>+BM14*0.02/29</f>
        <v>25.591937931034483</v>
      </c>
      <c r="BO14" s="436"/>
      <c r="BP14" s="435">
        <v>8347.73</v>
      </c>
      <c r="BQ14" s="525">
        <f>+BP14*0.0065/2</f>
        <v>27.130122499999999</v>
      </c>
      <c r="BR14" s="436"/>
      <c r="BS14" s="435">
        <v>3309.84</v>
      </c>
      <c r="BT14" s="436">
        <f>+BS14*0.0035</f>
        <v>11.584440000000001</v>
      </c>
      <c r="BU14" s="436"/>
      <c r="BV14" s="435">
        <v>6969.55</v>
      </c>
      <c r="BW14" s="525">
        <f>+BV14*0.0065/2</f>
        <v>22.651037500000001</v>
      </c>
      <c r="BX14" s="436"/>
      <c r="BY14" s="435">
        <v>1931.09</v>
      </c>
      <c r="BZ14" s="525">
        <f>+BY14*0.0065/2</f>
        <v>6.2760424999999991</v>
      </c>
      <c r="CA14" s="436"/>
      <c r="CB14" s="435">
        <v>0</v>
      </c>
      <c r="CC14" s="525">
        <f>+CB14*0.0065/2</f>
        <v>0</v>
      </c>
      <c r="CD14" s="436"/>
      <c r="CE14" s="435">
        <v>0</v>
      </c>
      <c r="CF14" s="525">
        <f>+CE14*0.0065/2</f>
        <v>0</v>
      </c>
      <c r="CG14" s="436"/>
      <c r="CH14" s="435">
        <v>0</v>
      </c>
      <c r="CI14" s="525">
        <f>+CH14*0.0065/2</f>
        <v>0</v>
      </c>
      <c r="CJ14" s="436"/>
      <c r="CK14" s="435">
        <v>0</v>
      </c>
      <c r="CL14" s="525">
        <f>+CK14*0.0065/2</f>
        <v>0</v>
      </c>
      <c r="CM14" s="436"/>
      <c r="CN14" s="435">
        <v>0</v>
      </c>
      <c r="CO14" s="525">
        <f>+CN14*0.0065/2</f>
        <v>0</v>
      </c>
      <c r="CP14" s="436"/>
      <c r="CQ14" s="435">
        <v>0</v>
      </c>
      <c r="CR14" s="525">
        <f>+CQ14*0.0065/2</f>
        <v>0</v>
      </c>
      <c r="CS14" s="436"/>
      <c r="CT14" s="443">
        <f t="shared" si="27"/>
        <v>63257.289999999994</v>
      </c>
      <c r="CU14" s="444">
        <f t="shared" si="27"/>
        <v>111.40358293103448</v>
      </c>
      <c r="CV14" s="445">
        <f t="shared" si="28"/>
        <v>0</v>
      </c>
      <c r="CW14" s="446"/>
      <c r="CX14" s="447">
        <f t="shared" si="29"/>
        <v>111.40358293103448</v>
      </c>
      <c r="CY14" s="448">
        <f t="shared" si="30"/>
        <v>161609.81</v>
      </c>
      <c r="CZ14" s="449">
        <f t="shared" si="30"/>
        <v>431.04927293103447</v>
      </c>
      <c r="DA14" s="450">
        <f t="shared" si="30"/>
        <v>60</v>
      </c>
      <c r="DB14" s="451">
        <f t="shared" si="31"/>
        <v>491.04927293103447</v>
      </c>
      <c r="DD14" s="453"/>
      <c r="DE14" s="453"/>
      <c r="DF14" s="453"/>
      <c r="DG14" s="453"/>
      <c r="DH14" s="453"/>
      <c r="DI14" s="453"/>
      <c r="DJ14" s="453"/>
      <c r="DK14" s="453"/>
      <c r="DL14" s="453"/>
      <c r="DM14" s="453"/>
      <c r="DN14" s="453"/>
      <c r="DO14" s="453"/>
      <c r="DP14" s="453"/>
      <c r="DQ14" s="453"/>
      <c r="DR14" s="453"/>
      <c r="DS14" s="453"/>
      <c r="DT14" s="453"/>
      <c r="DU14" s="453"/>
      <c r="DV14" s="453"/>
      <c r="DW14" s="453"/>
      <c r="DX14" s="453"/>
      <c r="DY14" s="453"/>
      <c r="DZ14" s="453"/>
      <c r="EA14" s="453"/>
      <c r="EB14" s="453"/>
      <c r="EC14" s="453"/>
      <c r="ED14" s="453"/>
      <c r="EE14" s="453"/>
      <c r="EF14" s="453"/>
      <c r="EG14" s="453"/>
      <c r="EH14" s="453"/>
      <c r="EI14" s="453"/>
      <c r="EJ14" s="453"/>
      <c r="EK14" s="453"/>
      <c r="EL14" s="453"/>
      <c r="EM14" s="453"/>
      <c r="EN14" s="453"/>
      <c r="EO14" s="453"/>
      <c r="EP14" s="453"/>
      <c r="EQ14" s="453"/>
      <c r="ER14" s="453"/>
    </row>
    <row r="15" spans="1:148" ht="15.75" customHeight="1" thickBot="1" x14ac:dyDescent="0.3">
      <c r="A15" s="454">
        <f t="shared" si="32"/>
        <v>9</v>
      </c>
      <c r="B15" s="1068" t="s">
        <v>48</v>
      </c>
      <c r="C15" s="548" t="s">
        <v>543</v>
      </c>
      <c r="D15" s="549" t="s">
        <v>544</v>
      </c>
      <c r="E15" s="550"/>
      <c r="F15" s="531">
        <v>11378.37</v>
      </c>
      <c r="G15" s="532">
        <f>+F15*0.0065/2</f>
        <v>36.979702500000002</v>
      </c>
      <c r="H15" s="532"/>
      <c r="I15" s="533">
        <v>9683.619999999999</v>
      </c>
      <c r="J15" s="532">
        <f>+I15*0.0065/2</f>
        <v>31.471764999999994</v>
      </c>
      <c r="K15" s="532"/>
      <c r="L15" s="531">
        <v>15254</v>
      </c>
      <c r="M15" s="532">
        <f>+L15*0.0065/2</f>
        <v>49.575499999999998</v>
      </c>
      <c r="N15" s="532"/>
      <c r="O15" s="531">
        <v>0</v>
      </c>
      <c r="P15" s="532">
        <f>+O15*0.0065/2</f>
        <v>0</v>
      </c>
      <c r="Q15" s="532"/>
      <c r="R15" s="531">
        <v>10997.34</v>
      </c>
      <c r="S15" s="532">
        <f>+R15*0.0065/2</f>
        <v>35.741354999999999</v>
      </c>
      <c r="T15" s="532"/>
      <c r="U15" s="533">
        <v>8380.25</v>
      </c>
      <c r="V15" s="532">
        <f>+U15*0.0065/2</f>
        <v>27.235812499999998</v>
      </c>
      <c r="W15" s="532"/>
      <c r="X15" s="533">
        <v>6018.95</v>
      </c>
      <c r="Y15" s="532">
        <f>+X15*0.0065/2</f>
        <v>19.561587499999998</v>
      </c>
      <c r="Z15" s="532"/>
      <c r="AA15" s="531">
        <v>7872.55</v>
      </c>
      <c r="AB15" s="532">
        <f>+AA15*0.0065/2</f>
        <v>25.585787499999999</v>
      </c>
      <c r="AC15" s="532"/>
      <c r="AD15" s="533">
        <v>15764.41</v>
      </c>
      <c r="AE15" s="532">
        <f>+AD15*0.0065/2</f>
        <v>51.234332500000001</v>
      </c>
      <c r="AF15" s="532"/>
      <c r="AG15" s="531">
        <v>0</v>
      </c>
      <c r="AH15" s="532">
        <f>+AG15*0.0065/2</f>
        <v>0</v>
      </c>
      <c r="AI15" s="532"/>
      <c r="AJ15" s="531">
        <v>11545.34</v>
      </c>
      <c r="AK15" s="532">
        <f>+AJ15*0.0065/2</f>
        <v>37.522354999999997</v>
      </c>
      <c r="AL15" s="532"/>
      <c r="AM15" s="531">
        <v>7440.54</v>
      </c>
      <c r="AN15" s="532">
        <f>+AM15*0.0065/2</f>
        <v>24.181754999999999</v>
      </c>
      <c r="AO15" s="532"/>
      <c r="AP15" s="531">
        <v>0</v>
      </c>
      <c r="AQ15" s="532">
        <f>+AP15*0.0065/2</f>
        <v>0</v>
      </c>
      <c r="AR15" s="532"/>
      <c r="AS15" s="533">
        <v>13201.08</v>
      </c>
      <c r="AT15" s="532">
        <f>+AS15*0.0065/2</f>
        <v>42.903509999999997</v>
      </c>
      <c r="AU15" s="532"/>
      <c r="AV15" s="531"/>
      <c r="AW15" s="532">
        <f>+AV15*0.0065/2</f>
        <v>0</v>
      </c>
      <c r="AX15" s="532"/>
      <c r="AY15" s="531"/>
      <c r="AZ15" s="532">
        <f>+AY15*0.0065/2</f>
        <v>0</v>
      </c>
      <c r="BA15" s="532"/>
      <c r="BB15" s="463">
        <f t="shared" si="14"/>
        <v>117536.45</v>
      </c>
      <c r="BC15" s="464">
        <f t="shared" si="14"/>
        <v>381.99346250000002</v>
      </c>
      <c r="BD15" s="465">
        <f t="shared" si="14"/>
        <v>0</v>
      </c>
      <c r="BE15" s="466"/>
      <c r="BF15" s="467">
        <f t="shared" si="15"/>
        <v>381.99346250000002</v>
      </c>
      <c r="BG15" s="531">
        <v>5590.75</v>
      </c>
      <c r="BH15" s="532">
        <f>+BG15*0.0065/2</f>
        <v>18.1699375</v>
      </c>
      <c r="BI15" s="532"/>
      <c r="BJ15" s="531">
        <v>0</v>
      </c>
      <c r="BK15" s="532">
        <f>+BJ15*0.0065/2</f>
        <v>0</v>
      </c>
      <c r="BL15" s="532"/>
      <c r="BM15" s="531">
        <v>7777.15</v>
      </c>
      <c r="BN15" s="532">
        <f>+BM15*0.0065/2</f>
        <v>25.275737499999998</v>
      </c>
      <c r="BO15" s="532"/>
      <c r="BP15" s="531">
        <v>7895.73</v>
      </c>
      <c r="BQ15" s="532">
        <f>+BP15*0.0065/2</f>
        <v>25.661122499999998</v>
      </c>
      <c r="BR15" s="532"/>
      <c r="BS15" s="531">
        <v>3309.84</v>
      </c>
      <c r="BT15" s="532">
        <f>+BS15*0.0065/2</f>
        <v>10.75698</v>
      </c>
      <c r="BU15" s="532"/>
      <c r="BV15" s="531">
        <v>6079.55</v>
      </c>
      <c r="BW15" s="532">
        <f>+BV15*0.0065/2</f>
        <v>19.758537499999999</v>
      </c>
      <c r="BX15" s="532"/>
      <c r="BY15" s="531">
        <v>1931.09</v>
      </c>
      <c r="BZ15" s="532">
        <f>+BY15*0.0065/2</f>
        <v>6.2760424999999991</v>
      </c>
      <c r="CA15" s="532"/>
      <c r="CB15" s="531">
        <v>0</v>
      </c>
      <c r="CC15" s="532">
        <f>+CB15*0.0065/2</f>
        <v>0</v>
      </c>
      <c r="CD15" s="532"/>
      <c r="CE15" s="531">
        <v>8627.51</v>
      </c>
      <c r="CF15" s="532">
        <f>+CE15*0.0065/2</f>
        <v>28.039407499999999</v>
      </c>
      <c r="CG15" s="532"/>
      <c r="CH15" s="531">
        <v>0</v>
      </c>
      <c r="CI15" s="532">
        <f>+CH15*0.0065/2</f>
        <v>0</v>
      </c>
      <c r="CJ15" s="532"/>
      <c r="CK15" s="531">
        <v>0</v>
      </c>
      <c r="CL15" s="532">
        <f>+CK15*0.0065/2</f>
        <v>0</v>
      </c>
      <c r="CM15" s="532"/>
      <c r="CN15" s="531">
        <v>0</v>
      </c>
      <c r="CO15" s="532">
        <f>+CN15*0.0065/2</f>
        <v>0</v>
      </c>
      <c r="CP15" s="532"/>
      <c r="CQ15" s="531">
        <v>0</v>
      </c>
      <c r="CR15" s="532">
        <f>+CQ15*0.0065/2</f>
        <v>0</v>
      </c>
      <c r="CS15" s="532"/>
      <c r="CT15" s="551">
        <f t="shared" si="27"/>
        <v>41211.619999999995</v>
      </c>
      <c r="CU15" s="552">
        <f t="shared" si="27"/>
        <v>133.93776500000001</v>
      </c>
      <c r="CV15" s="553">
        <f t="shared" si="28"/>
        <v>0</v>
      </c>
      <c r="CW15" s="466"/>
      <c r="CX15" s="554">
        <f t="shared" si="29"/>
        <v>133.93776500000001</v>
      </c>
      <c r="CY15" s="555">
        <f t="shared" si="30"/>
        <v>158748.07</v>
      </c>
      <c r="CZ15" s="556">
        <f t="shared" si="30"/>
        <v>515.93122749999998</v>
      </c>
      <c r="DA15" s="557">
        <f t="shared" si="30"/>
        <v>0</v>
      </c>
      <c r="DB15" s="558">
        <f t="shared" si="31"/>
        <v>515.93122749999998</v>
      </c>
      <c r="DC15" s="452"/>
      <c r="DD15" s="453"/>
      <c r="DE15" s="453"/>
    </row>
    <row r="16" spans="1:148" s="571" customFormat="1" ht="23.25" customHeight="1" thickBot="1" x14ac:dyDescent="0.3">
      <c r="A16" s="1328" t="s">
        <v>247</v>
      </c>
      <c r="B16" s="1329"/>
      <c r="C16" s="1329"/>
      <c r="D16" s="1329"/>
      <c r="E16" s="1330"/>
      <c r="F16" s="1331"/>
      <c r="G16" s="1332"/>
      <c r="H16" s="1332"/>
      <c r="I16" s="1332"/>
      <c r="J16" s="1332"/>
      <c r="K16" s="1332"/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  <c r="Y16" s="1332"/>
      <c r="Z16" s="1332"/>
      <c r="AA16" s="1332"/>
      <c r="AB16" s="1332"/>
      <c r="AC16" s="1332"/>
      <c r="AD16" s="1332"/>
      <c r="AE16" s="1332"/>
      <c r="AF16" s="1332"/>
      <c r="AG16" s="1332"/>
      <c r="AH16" s="1332"/>
      <c r="AI16" s="1332"/>
      <c r="AJ16" s="1332"/>
      <c r="AK16" s="1332"/>
      <c r="AL16" s="1332"/>
      <c r="AM16" s="1332"/>
      <c r="AN16" s="1332"/>
      <c r="AO16" s="1332"/>
      <c r="AP16" s="1332"/>
      <c r="AQ16" s="1332"/>
      <c r="AR16" s="1332"/>
      <c r="AS16" s="1332"/>
      <c r="AT16" s="1332"/>
      <c r="AU16" s="1332"/>
      <c r="AV16" s="1332"/>
      <c r="AW16" s="1332"/>
      <c r="AX16" s="1332"/>
      <c r="AY16" s="1332"/>
      <c r="AZ16" s="1332"/>
      <c r="BA16" s="1333"/>
      <c r="BB16" s="559">
        <f>SUM(BB7:BB15)</f>
        <v>921649.5199999999</v>
      </c>
      <c r="BC16" s="560">
        <f>SUM(BC7:BC15)</f>
        <v>3139.7822124999998</v>
      </c>
      <c r="BD16" s="560">
        <f>SUM(BD7:BD15)</f>
        <v>402.12576749999999</v>
      </c>
      <c r="BE16" s="561">
        <f>SUM(BE7:BE15)</f>
        <v>0</v>
      </c>
      <c r="BF16" s="562">
        <f>SUM(BF7:BF15)</f>
        <v>3541.90798</v>
      </c>
      <c r="BG16" s="1374"/>
      <c r="BH16" s="1375"/>
      <c r="BI16" s="1375"/>
      <c r="BJ16" s="1375"/>
      <c r="BK16" s="1375"/>
      <c r="BL16" s="1375"/>
      <c r="BM16" s="1375"/>
      <c r="BN16" s="1375"/>
      <c r="BO16" s="1375"/>
      <c r="BP16" s="1375"/>
      <c r="BQ16" s="1375"/>
      <c r="BR16" s="1375"/>
      <c r="BS16" s="1375"/>
      <c r="BT16" s="1375"/>
      <c r="BU16" s="1375"/>
      <c r="BV16" s="1375"/>
      <c r="BW16" s="1375"/>
      <c r="BX16" s="1375"/>
      <c r="BY16" s="1375"/>
      <c r="BZ16" s="1375"/>
      <c r="CA16" s="1375"/>
      <c r="CB16" s="1375"/>
      <c r="CC16" s="1375"/>
      <c r="CD16" s="1375"/>
      <c r="CE16" s="1375"/>
      <c r="CF16" s="1375"/>
      <c r="CG16" s="1375"/>
      <c r="CH16" s="1375"/>
      <c r="CI16" s="1375"/>
      <c r="CJ16" s="1375"/>
      <c r="CK16" s="1375"/>
      <c r="CL16" s="1375"/>
      <c r="CM16" s="1375"/>
      <c r="CN16" s="1375"/>
      <c r="CO16" s="1375"/>
      <c r="CP16" s="1375"/>
      <c r="CQ16" s="1375"/>
      <c r="CR16" s="1375"/>
      <c r="CS16" s="1376"/>
      <c r="CT16" s="563">
        <f t="shared" ref="CT16:DB16" si="33">SUM(CT7:CT15)</f>
        <v>457878.57999999996</v>
      </c>
      <c r="CU16" s="564">
        <f t="shared" si="33"/>
        <v>1242.659673362069</v>
      </c>
      <c r="CV16" s="564">
        <f t="shared" si="33"/>
        <v>80</v>
      </c>
      <c r="CW16" s="561">
        <f t="shared" si="33"/>
        <v>0</v>
      </c>
      <c r="CX16" s="565">
        <f t="shared" si="33"/>
        <v>1322.6596733620686</v>
      </c>
      <c r="CY16" s="566">
        <f t="shared" si="33"/>
        <v>1379528.1</v>
      </c>
      <c r="CZ16" s="567">
        <f t="shared" si="33"/>
        <v>4382.4418858620693</v>
      </c>
      <c r="DA16" s="568">
        <f t="shared" si="33"/>
        <v>482.12576749999999</v>
      </c>
      <c r="DB16" s="569">
        <f t="shared" si="33"/>
        <v>4864.567653362069</v>
      </c>
      <c r="DC16" s="452"/>
      <c r="DD16" s="893">
        <f>+CZ16+DD17</f>
        <v>7720.2098273011679</v>
      </c>
      <c r="DE16" s="893">
        <f t="shared" ref="DE16" si="34">+DA16+DE17</f>
        <v>1188.54566125</v>
      </c>
      <c r="DF16" s="893">
        <f>+DB16+DF17</f>
        <v>8908.7554885511672</v>
      </c>
      <c r="DG16" s="570"/>
      <c r="DH16" s="570"/>
      <c r="DI16" s="570"/>
      <c r="DJ16" s="570"/>
      <c r="DK16" s="570"/>
      <c r="DL16" s="570"/>
      <c r="DM16" s="570"/>
      <c r="DN16" s="570"/>
      <c r="DO16" s="570"/>
      <c r="DP16" s="570"/>
      <c r="DQ16" s="570"/>
      <c r="DR16" s="570"/>
      <c r="DS16" s="570"/>
      <c r="DT16" s="570"/>
      <c r="DU16" s="570"/>
      <c r="DV16" s="570"/>
      <c r="DW16" s="570"/>
      <c r="DX16" s="570"/>
      <c r="DY16" s="570"/>
      <c r="DZ16" s="570"/>
      <c r="EA16" s="570"/>
      <c r="EB16" s="570"/>
      <c r="EC16" s="570"/>
      <c r="ED16" s="570"/>
      <c r="EE16" s="570"/>
      <c r="EF16" s="570"/>
      <c r="EG16" s="570"/>
      <c r="EH16" s="570"/>
      <c r="EI16" s="570"/>
      <c r="EJ16" s="570"/>
      <c r="EK16" s="570"/>
      <c r="EL16" s="570"/>
      <c r="EM16" s="570"/>
      <c r="EN16" s="570"/>
      <c r="EO16" s="570"/>
      <c r="EP16" s="570"/>
      <c r="EQ16" s="570"/>
      <c r="ER16" s="570"/>
    </row>
    <row r="17" spans="1:148" ht="21.75" customHeight="1" x14ac:dyDescent="0.25">
      <c r="A17" s="1385" t="s">
        <v>255</v>
      </c>
      <c r="B17" s="1384" t="s">
        <v>545</v>
      </c>
      <c r="C17" s="1366" t="s">
        <v>493</v>
      </c>
      <c r="D17" s="1368" t="s">
        <v>494</v>
      </c>
      <c r="E17" s="1370" t="s">
        <v>495</v>
      </c>
      <c r="F17" s="1353" t="s">
        <v>496</v>
      </c>
      <c r="G17" s="1354"/>
      <c r="H17" s="1355"/>
      <c r="I17" s="1353" t="s">
        <v>497</v>
      </c>
      <c r="J17" s="1354"/>
      <c r="K17" s="1355"/>
      <c r="L17" s="1353" t="s">
        <v>498</v>
      </c>
      <c r="M17" s="1354"/>
      <c r="N17" s="1355"/>
      <c r="O17" s="1353" t="s">
        <v>499</v>
      </c>
      <c r="P17" s="1354"/>
      <c r="Q17" s="1355"/>
      <c r="R17" s="1353" t="s">
        <v>500</v>
      </c>
      <c r="S17" s="1354"/>
      <c r="T17" s="1355"/>
      <c r="U17" s="1353" t="s">
        <v>501</v>
      </c>
      <c r="V17" s="1354"/>
      <c r="W17" s="1355"/>
      <c r="X17" s="1353" t="s">
        <v>502</v>
      </c>
      <c r="Y17" s="1354"/>
      <c r="Z17" s="1355"/>
      <c r="AA17" s="1353" t="s">
        <v>503</v>
      </c>
      <c r="AB17" s="1354"/>
      <c r="AC17" s="1355"/>
      <c r="AD17" s="1353" t="s">
        <v>504</v>
      </c>
      <c r="AE17" s="1354"/>
      <c r="AF17" s="1355"/>
      <c r="AG17" s="1353" t="s">
        <v>505</v>
      </c>
      <c r="AH17" s="1354"/>
      <c r="AI17" s="1355"/>
      <c r="AJ17" s="1353" t="s">
        <v>506</v>
      </c>
      <c r="AK17" s="1354"/>
      <c r="AL17" s="1355"/>
      <c r="AM17" s="1353" t="s">
        <v>507</v>
      </c>
      <c r="AN17" s="1354"/>
      <c r="AO17" s="1355"/>
      <c r="AP17" s="1353" t="s">
        <v>508</v>
      </c>
      <c r="AQ17" s="1354"/>
      <c r="AR17" s="1355"/>
      <c r="AS17" s="1353" t="s">
        <v>509</v>
      </c>
      <c r="AT17" s="1354"/>
      <c r="AU17" s="1355"/>
      <c r="AV17" s="1353"/>
      <c r="AW17" s="1354"/>
      <c r="AX17" s="1355"/>
      <c r="AY17" s="1353"/>
      <c r="AZ17" s="1354"/>
      <c r="BA17" s="1355"/>
      <c r="BB17" s="1356" t="s">
        <v>510</v>
      </c>
      <c r="BC17" s="1358" t="s">
        <v>511</v>
      </c>
      <c r="BD17" s="1358" t="s">
        <v>512</v>
      </c>
      <c r="BE17" s="1347" t="s">
        <v>22</v>
      </c>
      <c r="BF17" s="1360" t="s">
        <v>513</v>
      </c>
      <c r="BG17" s="1340" t="s">
        <v>514</v>
      </c>
      <c r="BH17" s="1341"/>
      <c r="BI17" s="1342"/>
      <c r="BJ17" s="1340" t="s">
        <v>515</v>
      </c>
      <c r="BK17" s="1341"/>
      <c r="BL17" s="1342"/>
      <c r="BM17" s="1340" t="s">
        <v>516</v>
      </c>
      <c r="BN17" s="1341"/>
      <c r="BO17" s="1342"/>
      <c r="BP17" s="1340" t="s">
        <v>517</v>
      </c>
      <c r="BQ17" s="1341"/>
      <c r="BR17" s="1342"/>
      <c r="BS17" s="1340" t="s">
        <v>518</v>
      </c>
      <c r="BT17" s="1341"/>
      <c r="BU17" s="1342"/>
      <c r="BV17" s="1340" t="s">
        <v>519</v>
      </c>
      <c r="BW17" s="1341"/>
      <c r="BX17" s="1342"/>
      <c r="BY17" s="1340" t="s">
        <v>520</v>
      </c>
      <c r="BZ17" s="1341"/>
      <c r="CA17" s="1342"/>
      <c r="CB17" s="1340" t="s">
        <v>521</v>
      </c>
      <c r="CC17" s="1341"/>
      <c r="CD17" s="1342"/>
      <c r="CE17" s="1340" t="s">
        <v>522</v>
      </c>
      <c r="CF17" s="1341"/>
      <c r="CG17" s="1342"/>
      <c r="CH17" s="1340" t="s">
        <v>523</v>
      </c>
      <c r="CI17" s="1341"/>
      <c r="CJ17" s="1342"/>
      <c r="CK17" s="1340" t="s">
        <v>524</v>
      </c>
      <c r="CL17" s="1341"/>
      <c r="CM17" s="1342"/>
      <c r="CN17" s="1340" t="s">
        <v>525</v>
      </c>
      <c r="CO17" s="1341"/>
      <c r="CP17" s="1342"/>
      <c r="CQ17" s="1340" t="s">
        <v>526</v>
      </c>
      <c r="CR17" s="1341"/>
      <c r="CS17" s="1342"/>
      <c r="CT17" s="1343" t="s">
        <v>510</v>
      </c>
      <c r="CU17" s="1345" t="s">
        <v>511</v>
      </c>
      <c r="CV17" s="1345" t="s">
        <v>512</v>
      </c>
      <c r="CW17" s="1347" t="s">
        <v>22</v>
      </c>
      <c r="CX17" s="1349" t="s">
        <v>513</v>
      </c>
      <c r="CY17" s="1351" t="s">
        <v>256</v>
      </c>
      <c r="CZ17" s="1322" t="s">
        <v>511</v>
      </c>
      <c r="DA17" s="1324" t="s">
        <v>512</v>
      </c>
      <c r="DB17" s="1326" t="s">
        <v>257</v>
      </c>
      <c r="DC17" s="452"/>
      <c r="DD17" s="1026">
        <v>3337.7679414390986</v>
      </c>
      <c r="DE17" s="1026">
        <v>706.41989375000003</v>
      </c>
      <c r="DF17" s="1026">
        <v>4044.1878351890991</v>
      </c>
    </row>
    <row r="18" spans="1:148" s="452" customFormat="1" ht="30" customHeight="1" thickBot="1" x14ac:dyDescent="0.3">
      <c r="A18" s="1377"/>
      <c r="B18" s="1383"/>
      <c r="C18" s="1367"/>
      <c r="D18" s="1369"/>
      <c r="E18" s="1371"/>
      <c r="F18" s="425" t="s">
        <v>527</v>
      </c>
      <c r="G18" s="426" t="s">
        <v>258</v>
      </c>
      <c r="H18" s="427" t="s">
        <v>528</v>
      </c>
      <c r="I18" s="426" t="s">
        <v>527</v>
      </c>
      <c r="J18" s="426" t="s">
        <v>258</v>
      </c>
      <c r="K18" s="427" t="s">
        <v>528</v>
      </c>
      <c r="L18" s="426" t="s">
        <v>527</v>
      </c>
      <c r="M18" s="426" t="s">
        <v>258</v>
      </c>
      <c r="N18" s="427" t="s">
        <v>528</v>
      </c>
      <c r="O18" s="426" t="s">
        <v>527</v>
      </c>
      <c r="P18" s="426" t="s">
        <v>258</v>
      </c>
      <c r="Q18" s="427" t="s">
        <v>528</v>
      </c>
      <c r="R18" s="426" t="s">
        <v>527</v>
      </c>
      <c r="S18" s="426" t="s">
        <v>258</v>
      </c>
      <c r="T18" s="427" t="s">
        <v>528</v>
      </c>
      <c r="U18" s="426" t="s">
        <v>527</v>
      </c>
      <c r="V18" s="426" t="s">
        <v>258</v>
      </c>
      <c r="W18" s="427" t="s">
        <v>528</v>
      </c>
      <c r="X18" s="426" t="s">
        <v>527</v>
      </c>
      <c r="Y18" s="426" t="s">
        <v>258</v>
      </c>
      <c r="Z18" s="427" t="s">
        <v>528</v>
      </c>
      <c r="AA18" s="426" t="s">
        <v>527</v>
      </c>
      <c r="AB18" s="426" t="s">
        <v>258</v>
      </c>
      <c r="AC18" s="427" t="s">
        <v>528</v>
      </c>
      <c r="AD18" s="426" t="s">
        <v>527</v>
      </c>
      <c r="AE18" s="426" t="s">
        <v>258</v>
      </c>
      <c r="AF18" s="427" t="s">
        <v>528</v>
      </c>
      <c r="AG18" s="426" t="s">
        <v>527</v>
      </c>
      <c r="AH18" s="426" t="s">
        <v>258</v>
      </c>
      <c r="AI18" s="427" t="s">
        <v>528</v>
      </c>
      <c r="AJ18" s="426" t="s">
        <v>527</v>
      </c>
      <c r="AK18" s="426" t="s">
        <v>258</v>
      </c>
      <c r="AL18" s="427" t="s">
        <v>528</v>
      </c>
      <c r="AM18" s="426" t="s">
        <v>527</v>
      </c>
      <c r="AN18" s="426" t="s">
        <v>258</v>
      </c>
      <c r="AO18" s="427" t="s">
        <v>528</v>
      </c>
      <c r="AP18" s="426" t="s">
        <v>527</v>
      </c>
      <c r="AQ18" s="426" t="s">
        <v>258</v>
      </c>
      <c r="AR18" s="427" t="s">
        <v>528</v>
      </c>
      <c r="AS18" s="426" t="s">
        <v>527</v>
      </c>
      <c r="AT18" s="426" t="s">
        <v>258</v>
      </c>
      <c r="AU18" s="427" t="s">
        <v>528</v>
      </c>
      <c r="AV18" s="426" t="s">
        <v>527</v>
      </c>
      <c r="AW18" s="426" t="s">
        <v>258</v>
      </c>
      <c r="AX18" s="427" t="s">
        <v>528</v>
      </c>
      <c r="AY18" s="426" t="s">
        <v>527</v>
      </c>
      <c r="AZ18" s="426" t="s">
        <v>258</v>
      </c>
      <c r="BA18" s="427" t="s">
        <v>528</v>
      </c>
      <c r="BB18" s="1357"/>
      <c r="BC18" s="1359"/>
      <c r="BD18" s="1359"/>
      <c r="BE18" s="1348"/>
      <c r="BF18" s="1361"/>
      <c r="BG18" s="428" t="s">
        <v>527</v>
      </c>
      <c r="BH18" s="428" t="s">
        <v>258</v>
      </c>
      <c r="BI18" s="429" t="s">
        <v>528</v>
      </c>
      <c r="BJ18" s="428" t="s">
        <v>527</v>
      </c>
      <c r="BK18" s="428" t="s">
        <v>258</v>
      </c>
      <c r="BL18" s="429" t="s">
        <v>528</v>
      </c>
      <c r="BM18" s="428" t="s">
        <v>527</v>
      </c>
      <c r="BN18" s="428" t="s">
        <v>258</v>
      </c>
      <c r="BO18" s="429" t="s">
        <v>528</v>
      </c>
      <c r="BP18" s="428" t="s">
        <v>527</v>
      </c>
      <c r="BQ18" s="428" t="s">
        <v>258</v>
      </c>
      <c r="BR18" s="429" t="s">
        <v>528</v>
      </c>
      <c r="BS18" s="428" t="s">
        <v>527</v>
      </c>
      <c r="BT18" s="428" t="s">
        <v>258</v>
      </c>
      <c r="BU18" s="429" t="s">
        <v>528</v>
      </c>
      <c r="BV18" s="428" t="s">
        <v>527</v>
      </c>
      <c r="BW18" s="428" t="s">
        <v>258</v>
      </c>
      <c r="BX18" s="429" t="s">
        <v>528</v>
      </c>
      <c r="BY18" s="428" t="s">
        <v>527</v>
      </c>
      <c r="BZ18" s="428" t="s">
        <v>258</v>
      </c>
      <c r="CA18" s="429" t="s">
        <v>528</v>
      </c>
      <c r="CB18" s="428" t="s">
        <v>527</v>
      </c>
      <c r="CC18" s="428" t="s">
        <v>258</v>
      </c>
      <c r="CD18" s="429" t="s">
        <v>528</v>
      </c>
      <c r="CE18" s="428" t="s">
        <v>527</v>
      </c>
      <c r="CF18" s="428" t="s">
        <v>258</v>
      </c>
      <c r="CG18" s="429" t="s">
        <v>528</v>
      </c>
      <c r="CH18" s="428" t="s">
        <v>527</v>
      </c>
      <c r="CI18" s="428" t="s">
        <v>258</v>
      </c>
      <c r="CJ18" s="429" t="s">
        <v>528</v>
      </c>
      <c r="CK18" s="428" t="s">
        <v>527</v>
      </c>
      <c r="CL18" s="428" t="s">
        <v>258</v>
      </c>
      <c r="CM18" s="429" t="s">
        <v>528</v>
      </c>
      <c r="CN18" s="428" t="s">
        <v>527</v>
      </c>
      <c r="CO18" s="428" t="s">
        <v>258</v>
      </c>
      <c r="CP18" s="429" t="s">
        <v>528</v>
      </c>
      <c r="CQ18" s="428" t="s">
        <v>527</v>
      </c>
      <c r="CR18" s="428" t="s">
        <v>258</v>
      </c>
      <c r="CS18" s="429" t="s">
        <v>528</v>
      </c>
      <c r="CT18" s="1344"/>
      <c r="CU18" s="1346"/>
      <c r="CV18" s="1346"/>
      <c r="CW18" s="1348"/>
      <c r="CX18" s="1350"/>
      <c r="CY18" s="1352"/>
      <c r="CZ18" s="1323"/>
      <c r="DA18" s="1325"/>
      <c r="DB18" s="1327"/>
      <c r="DD18" s="453"/>
      <c r="DE18" s="453"/>
      <c r="DF18" s="893">
        <f>+DB16+DF17</f>
        <v>8908.7554885511672</v>
      </c>
      <c r="DG18" s="453"/>
      <c r="DH18" s="453"/>
      <c r="DI18" s="453"/>
      <c r="DJ18" s="453"/>
      <c r="DK18" s="453"/>
      <c r="DL18" s="453"/>
      <c r="DM18" s="453"/>
      <c r="DN18" s="453"/>
      <c r="DO18" s="453"/>
      <c r="DP18" s="453"/>
      <c r="DQ18" s="453"/>
      <c r="DR18" s="453"/>
      <c r="DS18" s="453"/>
      <c r="DT18" s="453"/>
      <c r="DU18" s="453"/>
      <c r="DV18" s="453"/>
      <c r="DW18" s="453"/>
      <c r="DX18" s="453"/>
      <c r="DY18" s="453"/>
      <c r="DZ18" s="453"/>
      <c r="EA18" s="453"/>
      <c r="EB18" s="453"/>
      <c r="EC18" s="453"/>
      <c r="ED18" s="453"/>
      <c r="EE18" s="453"/>
      <c r="EF18" s="453"/>
      <c r="EG18" s="453"/>
      <c r="EH18" s="453"/>
      <c r="EI18" s="453"/>
      <c r="EJ18" s="453"/>
      <c r="EK18" s="453"/>
      <c r="EL18" s="453"/>
      <c r="EM18" s="453"/>
      <c r="EN18" s="453"/>
      <c r="EO18" s="453"/>
      <c r="EP18" s="453"/>
      <c r="EQ18" s="453"/>
      <c r="ER18" s="453"/>
    </row>
    <row r="19" spans="1:148" s="195" customFormat="1" ht="15.75" customHeight="1" thickBot="1" x14ac:dyDescent="0.3">
      <c r="A19" s="572">
        <f>+A15+1</f>
        <v>10</v>
      </c>
      <c r="B19" s="640" t="s">
        <v>133</v>
      </c>
      <c r="C19" s="1069" t="s">
        <v>546</v>
      </c>
      <c r="D19" s="1070" t="s">
        <v>802</v>
      </c>
      <c r="E19" s="1071" t="s">
        <v>803</v>
      </c>
      <c r="F19" s="579">
        <v>3114.934673366834</v>
      </c>
      <c r="G19" s="517">
        <f>IF(F19&lt;2700,F19*0.007,IF(F19&lt;3200,F19*0.008,IF(F19&lt;3700,F19*0.0097,IF(F19&gt;3699,F19*0.01095,""))))</f>
        <v>24.919477386934673</v>
      </c>
      <c r="H19" s="580"/>
      <c r="I19" s="579">
        <v>3233.6080402010048</v>
      </c>
      <c r="J19" s="517">
        <f>IF(I19&lt;2700,I19*0.007,IF(I19&lt;3200,I19*0.008,IF(I19&lt;3700,I19*0.0097,IF(I19&gt;3699,I19*0.01095,""))))</f>
        <v>31.365997989949747</v>
      </c>
      <c r="K19" s="580"/>
      <c r="L19" s="579">
        <v>3523.5376884422108</v>
      </c>
      <c r="M19" s="517">
        <f>IF(L19&lt;2700,L19*0.007,IF(L19&lt;3200,L19*0.008,IF(L19&lt;3700,L19*0.0097,IF(L19&gt;3699,L19*0.01095,""))))</f>
        <v>34.178315577889443</v>
      </c>
      <c r="N19" s="580"/>
      <c r="O19" s="620"/>
      <c r="P19" s="517">
        <f>IF(O19&lt;2700,O19*0.0097,IF(O19&lt;3200,O19*0.01095,IF(O19&lt;3700,O19*0.0122,IF(O19&gt;3699,O19*0.01345,""))))</f>
        <v>0</v>
      </c>
      <c r="Q19" s="580"/>
      <c r="R19" s="579">
        <v>3653.3065326633164</v>
      </c>
      <c r="S19" s="517">
        <f>IF(R19&lt;2700,R19*0.007,IF(R19&lt;3200,R19*0.008,IF(R19&lt;3700,R19*0.0097,IF(R19&gt;3699,R19*0.01095,""))))</f>
        <v>35.43707336683417</v>
      </c>
      <c r="T19" s="580"/>
      <c r="U19" s="579">
        <v>0</v>
      </c>
      <c r="V19" s="517">
        <f>IF(U19&lt;2700,U19*0.008,IF(U19&lt;3200,U19*0.0097,IF(U19&lt;3700,U19*0.01095,IF(U19&gt;3699,U19*0.0122,""))))</f>
        <v>0</v>
      </c>
      <c r="W19" s="580">
        <v>20</v>
      </c>
      <c r="X19" s="576">
        <v>0</v>
      </c>
      <c r="Y19" s="517">
        <f>IF(X19&lt;2700,X19*0.008,IF(X19&lt;3200,X19*0.0097,IF(X19&lt;3700,X19*0.01095,IF(X19&gt;3699,X19*0.0122,""))))</f>
        <v>0</v>
      </c>
      <c r="Z19" s="532">
        <v>20</v>
      </c>
      <c r="AA19" s="576">
        <v>0</v>
      </c>
      <c r="AB19" s="517">
        <f>IF(AA19&lt;2700,AA19*0.008,IF(AA19&lt;3200,AA19*0.0097,IF(AA19&lt;3700,AA19*0.01095,IF(AA19&gt;3699,AA19*0.0122,""))))</f>
        <v>0</v>
      </c>
      <c r="AC19" s="532">
        <v>20</v>
      </c>
      <c r="AD19" s="579">
        <v>2742.51256281407</v>
      </c>
      <c r="AE19" s="517">
        <f>IF(AD19&lt;2700,AD19*0.007,IF(AD19&lt;3200,AD19*0.008,IF(AD19&lt;3700,AD19*0.0097,IF(AD19&gt;3699,AD19*0.01095,""))))</f>
        <v>21.940100502512561</v>
      </c>
      <c r="AF19" s="580">
        <v>30</v>
      </c>
      <c r="AG19" s="579">
        <v>0</v>
      </c>
      <c r="AH19" s="517">
        <f>IF(AG19&lt;2700,AG19*0.0097,IF(AG19&lt;3200,AG19*0.01095,IF(AG19&lt;3700,AG19*0.0122,IF(AG19&gt;3699,AG19*0.01345,""))))</f>
        <v>0</v>
      </c>
      <c r="AI19" s="580"/>
      <c r="AJ19" s="579">
        <v>3461.3065326633168</v>
      </c>
      <c r="AK19" s="517">
        <f>IF(AJ19&lt;2700,AJ19*0.007,IF(AJ19&lt;3200,AJ19*0.008,IF(AJ19&lt;3700,AJ19*0.0097,IF(AJ19&gt;3699,AJ19*0.01095,""))))</f>
        <v>33.574673366834176</v>
      </c>
      <c r="AL19" s="580"/>
      <c r="AM19" s="579">
        <v>2877.1055276381912</v>
      </c>
      <c r="AN19" s="517">
        <f>IF(AM19&lt;2700,AM19*0.007,IF(AM19&lt;3200,AM19*0.008,IF(AM19&lt;3700,AM19*0.0097,IF(AM19&gt;3699,AM19*0.01095,""))))</f>
        <v>23.016844221105529</v>
      </c>
      <c r="AO19" s="580"/>
      <c r="AP19" s="620">
        <v>0</v>
      </c>
      <c r="AQ19" s="517">
        <f>IF(AP19&lt;2700,AP19*0.0097,IF(AP19&lt;3200,AP19*0.01095,IF(AP19&lt;3700,AP19*0.0122,IF(AP19&gt;3699,AP19*0.01345,""))))</f>
        <v>0</v>
      </c>
      <c r="AR19" s="580">
        <v>12</v>
      </c>
      <c r="AS19" s="579">
        <v>0</v>
      </c>
      <c r="AT19" s="517">
        <f>IF(AS19&lt;2700,AS19*0.008,IF(AS19&lt;3200,AS19*0.0097,IF(AS19&lt;3700,AS19*0.01095,IF(AS19&gt;3699,AS19*0.0122,""))))</f>
        <v>0</v>
      </c>
      <c r="AU19" s="580">
        <v>20</v>
      </c>
      <c r="AV19" s="620"/>
      <c r="AW19" s="517">
        <f>IF(AV19&lt;2700,AV19*0.0097,IF(AV19&lt;3200,AV19*0.01095,IF(AV19&lt;3700,AV19*0.0122,IF(AV19&gt;3699,AV19*0.01345,""))))</f>
        <v>0</v>
      </c>
      <c r="AX19" s="580"/>
      <c r="AY19" s="620"/>
      <c r="AZ19" s="517">
        <f>IF(AY19&lt;2700,AY19*0.0097,IF(AY19&lt;3200,AY19*0.01095,IF(AY19&lt;3700,AY19*0.0122,IF(AY19&gt;3699,AY19*0.01345,""))))</f>
        <v>0</v>
      </c>
      <c r="BA19" s="580"/>
      <c r="BB19" s="644">
        <f t="shared" ref="BB19:BD34" si="35">+F19+I19+L19+O19+R19+U19+X19+AA19+AD19+AG19+AJ19+AM19+AP19+AS19+AV19+AY19</f>
        <v>22606.311557788944</v>
      </c>
      <c r="BC19" s="645">
        <f t="shared" si="35"/>
        <v>204.43248241206032</v>
      </c>
      <c r="BD19" s="488">
        <f t="shared" si="35"/>
        <v>122</v>
      </c>
      <c r="BE19" s="646"/>
      <c r="BF19" s="647">
        <f t="shared" ref="BF19:BF50" si="36">+BC19+BD19-BE19</f>
        <v>326.43248241206032</v>
      </c>
      <c r="BG19" s="620">
        <v>0</v>
      </c>
      <c r="BH19" s="517">
        <f>IF(BG19&lt;2700,BG19*0.008,IF(BG19&lt;3200,BG19*0.0097,IF(BG19&lt;3700,BG19*0.01095,IF(BG19&gt;3699,BG19*0.0122,""))))</f>
        <v>0</v>
      </c>
      <c r="BI19" s="580">
        <v>18</v>
      </c>
      <c r="BJ19" s="620">
        <v>0</v>
      </c>
      <c r="BK19" s="517">
        <f>IF(BJ19&lt;2700,BJ19*0.0097,IF(BJ19&lt;3200,BJ19*0.01095,IF(BJ19&lt;3700,BJ19*0.0122,IF(BJ19&gt;3699,BJ19*0.01345,""))))</f>
        <v>0</v>
      </c>
      <c r="BL19" s="580">
        <v>12</v>
      </c>
      <c r="BM19" s="579">
        <v>2175.1959798994972</v>
      </c>
      <c r="BN19" s="517">
        <f>IF(BM19&lt;2700,BM19*0.007,IF(BM19&lt;3200,BM19*0.008,IF(BM19&lt;3700,BM19*0.0097,IF(BM19&gt;3699,BM19*0.01095,""))))</f>
        <v>15.22637185929648</v>
      </c>
      <c r="BO19" s="580"/>
      <c r="BP19" s="579">
        <v>2744.9246231155776</v>
      </c>
      <c r="BQ19" s="517">
        <f>IF(BP19&lt;2700,BP19*0.007,IF(BP19&lt;3200,BP19*0.008,IF(BP19&lt;3700,BP19*0.0097,IF(BP19&gt;3699,BP19*0.01095,""))))</f>
        <v>21.95939698492462</v>
      </c>
      <c r="BR19" s="580"/>
      <c r="BS19" s="579">
        <v>2624.8040201005028</v>
      </c>
      <c r="BT19" s="517">
        <f>IF(BS19&lt;2700,BS19*0.007,IF(BS19&lt;3200,BS19*0.008,IF(BS19&lt;3700,BS19*0.0097,IF(BS19&gt;3699,BS19*0.01095,""))))</f>
        <v>18.37362814070352</v>
      </c>
      <c r="BU19" s="580"/>
      <c r="BV19" s="579">
        <v>2994.3316582914572</v>
      </c>
      <c r="BW19" s="517">
        <f>IF(BV19&lt;2700,BV19*0.007,IF(BV19&lt;3200,BV19*0.008,IF(BV19&lt;3700,BV19*0.0097,IF(BV19&gt;3699,BV19*0.01095,""))))</f>
        <v>23.954653266331658</v>
      </c>
      <c r="BX19" s="580"/>
      <c r="BY19" s="579">
        <v>1798.4321608040202</v>
      </c>
      <c r="BZ19" s="517">
        <f>IF(BY19&lt;2700,BY19*0.007,IF(BY19&lt;3200,BY19*0.008,IF(BY19&lt;3700,BY19*0.0097,IF(BY19&gt;3699,BY19*0.01095,""))))</f>
        <v>12.589025125628142</v>
      </c>
      <c r="CA19" s="580"/>
      <c r="CB19" s="620">
        <v>0</v>
      </c>
      <c r="CC19" s="517">
        <f>IF(CB19&lt;2700,CB19*0.0097,IF(CB19&lt;3200,CB19*0.01095,IF(CB19&lt;3700,CB19*0.0122,IF(CB19&gt;3699,CB19*0.01345,""))))</f>
        <v>0</v>
      </c>
      <c r="CD19" s="580">
        <v>10</v>
      </c>
      <c r="CE19" s="579">
        <v>2936.4422110552769</v>
      </c>
      <c r="CF19" s="517">
        <f>IF(CE19&lt;2700,CE19*0.007,IF(CE19&lt;3200,CE19*0.008,IF(CE19&lt;3700,CE19*0.0097,IF(CE19&gt;3699,CE19*0.01095,""))))</f>
        <v>23.491537688442214</v>
      </c>
      <c r="CG19" s="580"/>
      <c r="CH19" s="620">
        <v>0</v>
      </c>
      <c r="CI19" s="517">
        <f>IF(CH19&lt;2700,CH19*0.0097,IF(CH19&lt;3200,CH19*0.01095,IF(CH19&lt;3700,CH19*0.0122,IF(CH19&gt;3699,CH19*0.01345,""))))</f>
        <v>0</v>
      </c>
      <c r="CJ19" s="580">
        <v>18</v>
      </c>
      <c r="CK19" s="620">
        <v>0</v>
      </c>
      <c r="CL19" s="517">
        <f>IF(CK19&lt;2700,CK19*0.0097,IF(CK19&lt;3200,CK19*0.01095,IF(CK19&lt;3700,CK19*0.0122,IF(CK19&gt;3699,CK19*0.01345,""))))</f>
        <v>0</v>
      </c>
      <c r="CM19" s="580">
        <v>0</v>
      </c>
      <c r="CN19" s="620">
        <v>0</v>
      </c>
      <c r="CO19" s="517">
        <f>IF(CN19&lt;2700,CN19*0.0097,IF(CN19&lt;3200,CN19*0.01095,IF(CN19&lt;3700,CN19*0.0122,IF(CN19&gt;3699,CN19*0.01345,""))))</f>
        <v>0</v>
      </c>
      <c r="CP19" s="580"/>
      <c r="CQ19" s="620">
        <v>0</v>
      </c>
      <c r="CR19" s="517">
        <f>IF(CQ19&lt;2700,CQ19*0.0097,IF(CQ19&lt;3200,CQ19*0.01095,IF(CQ19&lt;3700,CQ19*0.0122,IF(CQ19&gt;3699,CQ19*0.01345,""))))</f>
        <v>0</v>
      </c>
      <c r="CS19" s="580"/>
      <c r="CT19" s="495">
        <f t="shared" ref="CT19:CU34" si="37">BG19+BJ19+BM19+BP19+BS19+BV19+BY19+CB19+CH19+CK19+CN19+CQ19+CE19</f>
        <v>15274.130653266333</v>
      </c>
      <c r="CU19" s="496">
        <f t="shared" si="37"/>
        <v>115.59461306532663</v>
      </c>
      <c r="CV19" s="497">
        <f t="shared" ref="CV19:CV50" si="38">+BI19+BL19+BO19+BR19+BU19+BX19+CA19+CD19+CG19+CJ19+CM19+CP19+CS19</f>
        <v>58</v>
      </c>
      <c r="CW19" s="646"/>
      <c r="CX19" s="498">
        <f t="shared" ref="CX19:CX50" si="39">+CU19+CV19-CW19</f>
        <v>173.59461306532663</v>
      </c>
      <c r="CY19" s="499">
        <f t="shared" ref="CY19:DA34" si="40">+BB19+CT19</f>
        <v>37880.442211055277</v>
      </c>
      <c r="CZ19" s="500">
        <f t="shared" si="40"/>
        <v>320.02709547738698</v>
      </c>
      <c r="DA19" s="501">
        <f t="shared" si="40"/>
        <v>180</v>
      </c>
      <c r="DB19" s="502">
        <f t="shared" ref="DB19:DB50" si="41">+CZ19+DA19</f>
        <v>500.02709547738698</v>
      </c>
      <c r="DC19" s="196"/>
      <c r="DD19" s="398"/>
      <c r="DE19" s="424"/>
      <c r="DF19" s="424"/>
      <c r="DG19" s="424"/>
      <c r="DH19" s="424"/>
      <c r="DI19" s="424"/>
      <c r="DJ19" s="424"/>
      <c r="DK19" s="424"/>
      <c r="DL19" s="424"/>
      <c r="DM19" s="424"/>
      <c r="DN19" s="424"/>
      <c r="DO19" s="424"/>
      <c r="DP19" s="424"/>
      <c r="DQ19" s="424"/>
      <c r="DR19" s="424"/>
      <c r="DS19" s="424"/>
      <c r="DT19" s="424"/>
      <c r="DU19" s="424"/>
      <c r="DV19" s="424"/>
      <c r="DW19" s="424"/>
      <c r="DX19" s="424"/>
      <c r="DY19" s="424"/>
      <c r="DZ19" s="424"/>
      <c r="EA19" s="424"/>
      <c r="EB19" s="424"/>
      <c r="EC19" s="424"/>
      <c r="ED19" s="424"/>
      <c r="EE19" s="424"/>
      <c r="EF19" s="424"/>
      <c r="EG19" s="424"/>
      <c r="EH19" s="424"/>
      <c r="EI19" s="424"/>
      <c r="EJ19" s="424"/>
      <c r="EK19" s="424"/>
      <c r="EL19" s="424"/>
      <c r="EM19" s="424"/>
      <c r="EN19" s="424"/>
      <c r="EO19" s="424"/>
      <c r="EP19" s="424"/>
      <c r="EQ19" s="424"/>
      <c r="ER19" s="424"/>
    </row>
    <row r="20" spans="1:148" s="196" customFormat="1" ht="15.75" customHeight="1" x14ac:dyDescent="0.25">
      <c r="A20" s="592">
        <f t="shared" ref="A20:A50" si="42">+A19+1</f>
        <v>11</v>
      </c>
      <c r="B20" s="593" t="s">
        <v>136</v>
      </c>
      <c r="C20" s="594" t="s">
        <v>549</v>
      </c>
      <c r="D20" s="595"/>
      <c r="E20" s="596"/>
      <c r="F20" s="597">
        <v>0</v>
      </c>
      <c r="G20" s="598">
        <f>IF(F20&lt;2700,F20*0.0105,IF(F20&lt;3200,F20*0.01175,IF(F20&lt;3700,F20*0.013,IF(F20&gt;3699,F20*0.01425,""))))</f>
        <v>0</v>
      </c>
      <c r="H20" s="599">
        <v>30</v>
      </c>
      <c r="I20" s="597">
        <v>0</v>
      </c>
      <c r="J20" s="598">
        <f>IF(I20&lt;2700,I20*0.0105,IF(I20&lt;3200,I20*0.01175,IF(I20&lt;3700,I20*0.013,IF(I20&gt;3699,I20*0.01425,""))))</f>
        <v>0</v>
      </c>
      <c r="K20" s="599">
        <v>30</v>
      </c>
      <c r="L20" s="597">
        <v>0</v>
      </c>
      <c r="M20" s="598">
        <f>IF(L20&lt;2700,L20*0.0105,IF(L20&lt;3200,L20*0.01175,IF(L20&lt;3700,L20*0.013,IF(L20&gt;3699,L20*0.01425,""))))</f>
        <v>0</v>
      </c>
      <c r="N20" s="599">
        <v>50</v>
      </c>
      <c r="O20" s="600"/>
      <c r="P20" s="598">
        <f>IF(O20&lt;2700,O20*0.0105,IF(O20&lt;3200,O20*0.01175,IF(O20&lt;3700,O20*0.013,IF(O20&gt;3699,O20*0.01425,""))))</f>
        <v>0</v>
      </c>
      <c r="Q20" s="601"/>
      <c r="R20" s="602">
        <v>0</v>
      </c>
      <c r="S20" s="598">
        <f>IF(R20&lt;2700,R20*0.0105,IF(R20&lt;3200,R20*0.01175,IF(R20&lt;3700,R20*0.013,IF(R20&gt;3699,R20*0.01425,""))))</f>
        <v>0</v>
      </c>
      <c r="T20" s="599">
        <v>20</v>
      </c>
      <c r="U20" s="602">
        <v>0</v>
      </c>
      <c r="V20" s="598">
        <f>IF(U20&lt;2700,U20*0.0105,IF(U20&lt;3200,U20*0.01175,IF(U20&lt;3700,U20*0.013,IF(U20&gt;3699,U20*0.01425,""))))</f>
        <v>0</v>
      </c>
      <c r="W20" s="599">
        <v>22</v>
      </c>
      <c r="X20" s="602">
        <v>0</v>
      </c>
      <c r="Y20" s="598">
        <f>IF(X20&lt;2700,X20*0.0105,IF(X20&lt;3200,X20*0.01175,IF(X20&lt;3700,X20*0.013,IF(X20&gt;3699,X20*0.01425,""))))</f>
        <v>0</v>
      </c>
      <c r="Z20" s="599">
        <v>20</v>
      </c>
      <c r="AA20" s="602">
        <v>0</v>
      </c>
      <c r="AB20" s="598">
        <f>IF(AA20&lt;2700,AA20*0.0105,IF(AA20&lt;3200,AA20*0.01175,IF(AA20&lt;3700,AA20*0.013,IF(AA20&gt;3699,AA20*0.01425,""))))</f>
        <v>0</v>
      </c>
      <c r="AC20" s="599">
        <v>22</v>
      </c>
      <c r="AD20" s="597">
        <v>0</v>
      </c>
      <c r="AE20" s="598">
        <f>IF(AD20&lt;2700,AD20*0.0105,IF(AD20&lt;3200,AD20*0.01175,IF(AD20&lt;3700,AD20*0.013,IF(AD20&gt;3699,AD20*0.01425,""))))</f>
        <v>0</v>
      </c>
      <c r="AF20" s="599">
        <v>20</v>
      </c>
      <c r="AG20" s="597">
        <v>0</v>
      </c>
      <c r="AH20" s="598">
        <f>IF(AG20&lt;2700,AG20*0.0105,IF(AG20&lt;3200,AG20*0.01175,IF(AG20&lt;3700,AG20*0.013,IF(AG20&gt;3699,AG20*0.01425,""))))</f>
        <v>0</v>
      </c>
      <c r="AI20" s="599">
        <v>20</v>
      </c>
      <c r="AJ20" s="602">
        <v>0</v>
      </c>
      <c r="AK20" s="598">
        <f>IF(AJ20&lt;2700,AJ20*0.0105,IF(AJ20&lt;3200,AJ20*0.01175,IF(AJ20&lt;3700,AJ20*0.013,IF(AJ20&gt;3699,AJ20*0.01425,""))))</f>
        <v>0</v>
      </c>
      <c r="AL20" s="599">
        <v>20</v>
      </c>
      <c r="AM20" s="602">
        <v>0</v>
      </c>
      <c r="AN20" s="598">
        <f>IF(AM20&lt;2700,AM20*0.0105,IF(AM20&lt;3200,AM20*0.01175,IF(AM20&lt;3700,AM20*0.013,IF(AM20&gt;3699,AM20*0.01425,""))))</f>
        <v>0</v>
      </c>
      <c r="AO20" s="599">
        <v>20</v>
      </c>
      <c r="AP20" s="602">
        <v>0</v>
      </c>
      <c r="AQ20" s="598">
        <f>IF(AP20&lt;2700,AP20*0.0105,IF(AP20&lt;3200,AP20*0.01175,IF(AP20&lt;3700,AP20*0.013,IF(AP20&gt;3699,AP20*0.01425,""))))</f>
        <v>0</v>
      </c>
      <c r="AR20" s="599">
        <v>20</v>
      </c>
      <c r="AS20" s="602">
        <v>0</v>
      </c>
      <c r="AT20" s="598">
        <f>IF(AS20&lt;2700,AS20*0.01,IF(AS20&lt;3200,AS20*0.0105,IF(AS20&lt;3700,AS20*0.01175,IF(AS20&gt;3699,AS20*0.013,""))))</f>
        <v>0</v>
      </c>
      <c r="AU20" s="599">
        <v>20</v>
      </c>
      <c r="AV20" s="600"/>
      <c r="AW20" s="598">
        <f>IF(AV20&lt;2700,AV20*0.0105,IF(AV20&lt;3200,AV20*0.01175,IF(AV20&lt;3700,AV20*0.013,IF(AV20&gt;3699,AV20*0.01425,""))))</f>
        <v>0</v>
      </c>
      <c r="AX20" s="601"/>
      <c r="AY20" s="600"/>
      <c r="AZ20" s="598">
        <f>IF(AY20&lt;2700,AY20*0.0105,IF(AY20&lt;3200,AY20*0.01175,IF(AY20&lt;3700,AY20*0.013,IF(AY20&gt;3699,AY20*0.01425,""))))</f>
        <v>0</v>
      </c>
      <c r="BA20" s="601"/>
      <c r="BB20" s="603">
        <f t="shared" si="35"/>
        <v>0</v>
      </c>
      <c r="BC20" s="604">
        <f t="shared" si="35"/>
        <v>0</v>
      </c>
      <c r="BD20" s="605">
        <f t="shared" si="35"/>
        <v>314</v>
      </c>
      <c r="BE20" s="446"/>
      <c r="BF20" s="606">
        <f t="shared" si="36"/>
        <v>314</v>
      </c>
      <c r="BG20" s="607">
        <v>0</v>
      </c>
      <c r="BH20" s="598">
        <f>IF(BG20&lt;2700,BG20*0.0105,IF(BG20&lt;3200,BG20*0.01175,IF(BG20&lt;3700,BG20*0.013,IF(BG20&gt;3699,BG20*0.01425,""))))</f>
        <v>0</v>
      </c>
      <c r="BI20" s="599">
        <v>18</v>
      </c>
      <c r="BJ20" s="607">
        <v>0</v>
      </c>
      <c r="BK20" s="598">
        <f>IF(BJ20&lt;2700,BJ20*0.0105,IF(BJ20&lt;3200,BJ20*0.01175,IF(BJ20&lt;3700,BJ20*0.013,IF(BJ20&gt;3699,BJ20*0.01425,""))))</f>
        <v>0</v>
      </c>
      <c r="BL20" s="599">
        <v>18</v>
      </c>
      <c r="BM20" s="602">
        <v>0</v>
      </c>
      <c r="BN20" s="598">
        <f>IF(BM20&lt;2700,BM20*0.0105,IF(BM20&lt;3200,BM20*0.01175,IF(BM20&lt;3700,BM20*0.013,IF(BM20&gt;3699,BM20*0.01425,""))))</f>
        <v>0</v>
      </c>
      <c r="BO20" s="599">
        <v>0</v>
      </c>
      <c r="BP20" s="602">
        <v>0</v>
      </c>
      <c r="BQ20" s="598">
        <f>IF(BP20&lt;2700,BP20*0.0105,IF(BP20&lt;3200,BP20*0.01175,IF(BP20&lt;3700,BP20*0.013,IF(BP20&gt;3699,BP20*0.01425,""))))</f>
        <v>0</v>
      </c>
      <c r="BR20" s="599">
        <v>0</v>
      </c>
      <c r="BS20" s="597">
        <v>0</v>
      </c>
      <c r="BT20" s="608">
        <f>IF(BS20&lt;2700,BS20*0.0105,IF(BS20&lt;3200,BS20*0.01175,IF(BS20&lt;3700,BS20*0.013,IF(BS20&gt;3699,BS20*0.01425,""))))</f>
        <v>0</v>
      </c>
      <c r="BU20" s="608">
        <v>0</v>
      </c>
      <c r="BV20" s="597">
        <v>0</v>
      </c>
      <c r="BW20" s="608">
        <f>IF(BV20&lt;2700,BV20*0.0105,IF(BV20&lt;3200,BV20*0.01175,IF(BV20&lt;3700,BV20*0.013,IF(BV20&gt;3699,BV20*0.01425,""))))</f>
        <v>0</v>
      </c>
      <c r="BX20" s="608">
        <v>0</v>
      </c>
      <c r="BY20" s="597">
        <v>0</v>
      </c>
      <c r="BZ20" s="598">
        <f>IF(BY20&lt;2700,BY20*0.0105,IF(BY20&lt;3200,BY20*0.01175,IF(BY20&lt;3700,BY20*0.013,IF(BY20&gt;3699,BY20*0.01425,""))))</f>
        <v>0</v>
      </c>
      <c r="CA20" s="599">
        <v>18</v>
      </c>
      <c r="CB20" s="609">
        <v>0</v>
      </c>
      <c r="CC20" s="598">
        <f>IF(CB20&lt;2700,CB20*0.0105,IF(CB20&lt;3200,CB20*0.01175,IF(CB20&lt;3700,CB20*0.013,IF(CB20&gt;3699,CB20*0.01425,""))))</f>
        <v>0</v>
      </c>
      <c r="CD20" s="599">
        <v>10</v>
      </c>
      <c r="CE20" s="597">
        <v>3770.5326633165828</v>
      </c>
      <c r="CF20" s="598">
        <f>IF(CE20&lt;2700,CE20*0.0085,IF(CE20&lt;3200,CE20*0.01,IF(CE20&lt;3700,CE20*0.0105,IF(CE20&gt;3699,CE20*0.01175,""))))</f>
        <v>44.303758793969848</v>
      </c>
      <c r="CG20" s="601"/>
      <c r="CH20" s="609">
        <v>0</v>
      </c>
      <c r="CI20" s="598">
        <f>IF(CH20&lt;2700,CH20*0.0105,IF(CH20&lt;3200,CH20*0.01175,IF(CH20&lt;3700,CH20*0.013,IF(CH20&gt;3699,CH20*0.01425,""))))</f>
        <v>0</v>
      </c>
      <c r="CJ20" s="599">
        <v>0</v>
      </c>
      <c r="CK20" s="609">
        <v>0</v>
      </c>
      <c r="CL20" s="598">
        <f>IF(CK20&lt;2700,CK20*0.0105,IF(CK20&lt;3200,CK20*0.01175,IF(CK20&lt;3700,CK20*0.013,IF(CK20&gt;3699,CK20*0.01425,""))))</f>
        <v>0</v>
      </c>
      <c r="CM20" s="599">
        <v>18</v>
      </c>
      <c r="CN20" s="609">
        <v>0</v>
      </c>
      <c r="CO20" s="598">
        <f>IF(CN20&lt;2700,CN20*0.0105,IF(CN20&lt;3200,CN20*0.01175,IF(CN20&lt;3700,CN20*0.013,IF(CN20&gt;3699,CN20*0.01425,""))))</f>
        <v>0</v>
      </c>
      <c r="CP20" s="599"/>
      <c r="CQ20" s="609">
        <v>0</v>
      </c>
      <c r="CR20" s="598">
        <f>IF(CQ20&lt;2700,CQ20*0.0105,IF(CQ20&lt;3200,CQ20*0.01175,IF(CQ20&lt;3700,CQ20*0.013,IF(CQ20&gt;3699,CQ20*0.01425,""))))</f>
        <v>0</v>
      </c>
      <c r="CS20" s="599"/>
      <c r="CT20" s="443">
        <f t="shared" si="37"/>
        <v>3770.5326633165828</v>
      </c>
      <c r="CU20" s="610">
        <f t="shared" si="37"/>
        <v>44.303758793969848</v>
      </c>
      <c r="CV20" s="611">
        <f t="shared" si="38"/>
        <v>82</v>
      </c>
      <c r="CW20" s="612"/>
      <c r="CX20" s="447">
        <f t="shared" si="39"/>
        <v>126.30375879396985</v>
      </c>
      <c r="CY20" s="448">
        <f t="shared" si="40"/>
        <v>3770.5326633165828</v>
      </c>
      <c r="CZ20" s="449">
        <f t="shared" si="40"/>
        <v>44.303758793969848</v>
      </c>
      <c r="DA20" s="450">
        <f t="shared" si="40"/>
        <v>396</v>
      </c>
      <c r="DB20" s="451">
        <f t="shared" si="41"/>
        <v>440.30375879396985</v>
      </c>
      <c r="DD20" s="613"/>
      <c r="DE20" s="613"/>
      <c r="DF20" s="613"/>
      <c r="DG20" s="613"/>
      <c r="DH20" s="613"/>
      <c r="DI20" s="613"/>
      <c r="DJ20" s="613"/>
      <c r="DK20" s="613"/>
      <c r="DL20" s="613"/>
      <c r="DM20" s="613"/>
      <c r="DN20" s="613"/>
      <c r="DO20" s="613"/>
      <c r="DP20" s="613"/>
      <c r="DQ20" s="613"/>
      <c r="DR20" s="613"/>
      <c r="DS20" s="613"/>
      <c r="DT20" s="613"/>
      <c r="DU20" s="613"/>
      <c r="DV20" s="613"/>
      <c r="DW20" s="613"/>
      <c r="DX20" s="613"/>
      <c r="DY20" s="613"/>
      <c r="DZ20" s="613"/>
      <c r="EA20" s="613"/>
      <c r="EB20" s="613"/>
      <c r="EC20" s="613"/>
      <c r="ED20" s="613"/>
      <c r="EE20" s="613"/>
      <c r="EF20" s="613"/>
      <c r="EG20" s="613"/>
      <c r="EH20" s="613"/>
      <c r="EI20" s="613"/>
      <c r="EJ20" s="613"/>
      <c r="EK20" s="613"/>
      <c r="EL20" s="613"/>
      <c r="EM20" s="613"/>
      <c r="EN20" s="613"/>
      <c r="EO20" s="613"/>
      <c r="EP20" s="613"/>
      <c r="EQ20" s="613"/>
      <c r="ER20" s="613"/>
    </row>
    <row r="21" spans="1:148" s="570" customFormat="1" ht="15.75" customHeight="1" thickBot="1" x14ac:dyDescent="0.3">
      <c r="A21" s="572">
        <f t="shared" si="42"/>
        <v>12</v>
      </c>
      <c r="B21" s="614" t="s">
        <v>100</v>
      </c>
      <c r="C21" s="615" t="s">
        <v>549</v>
      </c>
      <c r="D21" s="616"/>
      <c r="E21" s="617"/>
      <c r="F21" s="576">
        <v>0</v>
      </c>
      <c r="G21" s="517">
        <f>IF(F21&lt;2700,F21*0.0097,IF(F21&lt;3200,F21*0.01095,IF(F21&lt;3700,F21*0.0122,IF(F21&gt;3699,F21*0.01345,""))))</f>
        <v>0</v>
      </c>
      <c r="H21" s="532">
        <v>30</v>
      </c>
      <c r="I21" s="576">
        <v>0</v>
      </c>
      <c r="J21" s="517">
        <f>IF(I21&lt;2700,I21*0.0097,IF(I21&lt;3200,I21*0.01095,IF(I21&lt;3700,I21*0.0122,IF(I21&gt;3699,I21*0.01345,""))))</f>
        <v>0</v>
      </c>
      <c r="K21" s="532">
        <v>30</v>
      </c>
      <c r="L21" s="576">
        <v>0</v>
      </c>
      <c r="M21" s="517">
        <f>IF(L21&lt;2700,L21*0.0097,IF(L21&lt;3200,L21*0.01095,IF(L21&lt;3700,L21*0.0122,IF(L21&gt;3699,L21*0.01345,""))))</f>
        <v>0</v>
      </c>
      <c r="N21" s="532">
        <v>50</v>
      </c>
      <c r="O21" s="578"/>
      <c r="P21" s="517">
        <f>IF(O21&lt;2700,O21*0.0097,IF(O21&lt;3200,O21*0.01095,IF(O21&lt;3700,O21*0.0122,IF(O21&gt;3699,O21*0.01345,""))))</f>
        <v>0</v>
      </c>
      <c r="Q21" s="532"/>
      <c r="R21" s="618">
        <v>0</v>
      </c>
      <c r="S21" s="517">
        <f>IF(R21&lt;2700,R21*0.0097,IF(R21&lt;3200,R21*0.01095,IF(R21&lt;3700,R21*0.0122,IF(R21&gt;3699,R21*0.01345,""))))</f>
        <v>0</v>
      </c>
      <c r="T21" s="619">
        <v>20</v>
      </c>
      <c r="U21" s="618">
        <v>0</v>
      </c>
      <c r="V21" s="517">
        <f>IF(U21&lt;2700,U21*0.0097,IF(U21&lt;3200,U21*0.01095,IF(U21&lt;3700,U21*0.0122,IF(U21&gt;3699,U21*0.01345,""))))</f>
        <v>0</v>
      </c>
      <c r="W21" s="619">
        <v>22</v>
      </c>
      <c r="X21" s="618">
        <v>0</v>
      </c>
      <c r="Y21" s="517">
        <f>IF(X21&lt;2700,X21*0.0097,IF(X21&lt;3200,X21*0.01095,IF(X21&lt;3700,X21*0.0122,IF(X21&gt;3699,X21*0.01345,""))))</f>
        <v>0</v>
      </c>
      <c r="Z21" s="619">
        <v>20</v>
      </c>
      <c r="AA21" s="618">
        <v>0</v>
      </c>
      <c r="AB21" s="517">
        <f>IF(AA21&lt;2700,AA21*0.0097,IF(AA21&lt;3200,AA21*0.01095,IF(AA21&lt;3700,AA21*0.0122,IF(AA21&gt;3699,AA21*0.01345,""))))</f>
        <v>0</v>
      </c>
      <c r="AC21" s="619">
        <v>22</v>
      </c>
      <c r="AD21" s="576">
        <v>0</v>
      </c>
      <c r="AE21" s="517">
        <f>IF(AD21&lt;2700,AD21*0.0097,IF(AD21&lt;3200,AD21*0.01095,IF(AD21&lt;3700,AD21*0.0122,IF(AD21&gt;3699,AD21*0.01345,""))))</f>
        <v>0</v>
      </c>
      <c r="AF21" s="532">
        <v>20</v>
      </c>
      <c r="AG21" s="576">
        <v>0</v>
      </c>
      <c r="AH21" s="517">
        <f>IF(AG21&lt;2700,AG21*0.0097,IF(AG21&lt;3200,AG21*0.01095,IF(AG21&lt;3700,AG21*0.0122,IF(AG21&gt;3699,AG21*0.01345,""))))</f>
        <v>0</v>
      </c>
      <c r="AI21" s="532">
        <v>20</v>
      </c>
      <c r="AJ21" s="576">
        <v>0</v>
      </c>
      <c r="AK21" s="517">
        <f>IF(AJ21&lt;2700,AJ21*0.0101,IF(AJ21&lt;3200,AJ21*0.01135,IF(AJ21&lt;3700,AJ21*0.0126,IF(AJ21&gt;3699,AJ21*0.01385,""))))</f>
        <v>0</v>
      </c>
      <c r="AL21" s="577">
        <v>20</v>
      </c>
      <c r="AM21" s="576">
        <v>0</v>
      </c>
      <c r="AN21" s="517">
        <f>IF(AM21&lt;2700,AM21*0.0101,IF(AM21&lt;3200,AM21*0.01135,IF(AM21&lt;3700,AM21*0.0126,IF(AM21&gt;3699,AM21*0.01385,""))))</f>
        <v>0</v>
      </c>
      <c r="AO21" s="577">
        <v>20</v>
      </c>
      <c r="AP21" s="576">
        <v>0</v>
      </c>
      <c r="AQ21" s="517">
        <f>IF(AP21&lt;2700,AP21*0.0101,IF(AP21&lt;3200,AP21*0.01135,IF(AP21&lt;3700,AP21*0.0126,IF(AP21&gt;3699,AP21*0.01385,""))))</f>
        <v>0</v>
      </c>
      <c r="AR21" s="577">
        <v>20</v>
      </c>
      <c r="AS21" s="576">
        <v>0</v>
      </c>
      <c r="AT21" s="517">
        <f>IF(AS21&lt;2700,AS21*0.008,IF(AS21&lt;3200,AS21*0.0097,IF(AS21&lt;3700,AS21*0.01095,IF(AS21&gt;3699,AS21*0.0122,""))))</f>
        <v>0</v>
      </c>
      <c r="AU21" s="577">
        <v>20</v>
      </c>
      <c r="AV21" s="578"/>
      <c r="AW21" s="517">
        <f>IF(AV21&lt;2700,AV21*0.0097,IF(AV21&lt;3200,AV21*0.01095,IF(AV21&lt;3700,AV21*0.0122,IF(AV21&gt;3699,AV21*0.01345,""))))</f>
        <v>0</v>
      </c>
      <c r="AX21" s="532"/>
      <c r="AY21" s="578"/>
      <c r="AZ21" s="517">
        <f>IF(AY21&lt;2700,AY21*0.0097,IF(AY21&lt;3200,AY21*0.01095,IF(AY21&lt;3700,AY21*0.0122,IF(AY21&gt;3699,AY21*0.01345,""))))</f>
        <v>0</v>
      </c>
      <c r="BA21" s="532"/>
      <c r="BB21" s="581">
        <f t="shared" si="35"/>
        <v>0</v>
      </c>
      <c r="BC21" s="582">
        <f t="shared" si="35"/>
        <v>0</v>
      </c>
      <c r="BD21" s="465">
        <f t="shared" si="35"/>
        <v>314</v>
      </c>
      <c r="BE21" s="583"/>
      <c r="BF21" s="584">
        <f t="shared" si="36"/>
        <v>314</v>
      </c>
      <c r="BG21" s="578">
        <v>0</v>
      </c>
      <c r="BH21" s="517">
        <f>IF(BG21&lt;2700,BG21*0.0101,IF(BG21&lt;3200,BG21*0.01135,IF(BG21&lt;3700,BG21*0.0126,IF(BG21&gt;3699,BG21*0.01385,""))))</f>
        <v>0</v>
      </c>
      <c r="BI21" s="577">
        <v>18</v>
      </c>
      <c r="BJ21" s="620">
        <v>0</v>
      </c>
      <c r="BK21" s="517">
        <f>IF(BJ21&lt;2700,BJ21*0.0101,IF(BJ21&lt;3200,BJ21*0.01135,IF(BJ21&lt;3700,BJ21*0.0126,IF(BJ21&gt;3699,BJ21*0.01385,""))))</f>
        <v>0</v>
      </c>
      <c r="BL21" s="580">
        <v>18</v>
      </c>
      <c r="BM21" s="597">
        <v>2688.4824120603012</v>
      </c>
      <c r="BN21" s="598">
        <f>IF(BM21&lt;2700,BM21*0.0085,IF(BM21&lt;3200,BM21*0.01,IF(BM21&lt;3700,BM21*0.0105,IF(BM21&gt;3699,BM21*0.01175,""))))</f>
        <v>22.852100502512563</v>
      </c>
      <c r="BO21" s="525"/>
      <c r="BP21" s="597">
        <v>2289.0452261306532</v>
      </c>
      <c r="BQ21" s="598">
        <f>IF(BP21&lt;2700,BP21*0.0085,IF(BP21&lt;3200,BP21*0.01,IF(BP21&lt;3700,BP21*0.0105,IF(BP21&gt;3699,BP21*0.01175,""))))</f>
        <v>19.456884422110555</v>
      </c>
      <c r="BR21" s="532"/>
      <c r="BS21" s="621">
        <v>2610.3316582914572</v>
      </c>
      <c r="BT21" s="598">
        <f>IF(BS21&lt;2700,BS21*0.0085,IF(BS21&lt;3200,BS21*0.01,IF(BS21&lt;3700,BS21*0.0105,IF(BS21&gt;3699,BS21*0.01175,""))))</f>
        <v>22.187819095477387</v>
      </c>
      <c r="BU21" s="532"/>
      <c r="BV21" s="597">
        <v>2656.1608040201008</v>
      </c>
      <c r="BW21" s="598">
        <f>IF(BV21&lt;2700,BV21*0.0085,IF(BV21&lt;3200,BV21*0.01,IF(BV21&lt;3700,BV21*0.0105,IF(BV21&gt;3699,BV21*0.01175,""))))</f>
        <v>22.57736683417086</v>
      </c>
      <c r="BX21" s="532"/>
      <c r="BY21" s="621">
        <v>1495.9597989949748</v>
      </c>
      <c r="BZ21" s="598">
        <f>IF(BY21&lt;2700,BY21*0.0085,IF(BY21&lt;3200,BY21*0.01,IF(BY21&lt;3700,BY21*0.0105,IF(BY21&gt;3699,BY21*0.01175,""))))</f>
        <v>12.715658291457286</v>
      </c>
      <c r="CA21" s="532"/>
      <c r="CB21" s="578">
        <v>0</v>
      </c>
      <c r="CC21" s="517">
        <f>IF(CB21&lt;2700,CB21*0.0097,IF(CB21&lt;3200,CB21*0.01095,IF(CB21&lt;3700,CB21*0.0122,IF(CB21&gt;3699,CB21*0.01345,""))))</f>
        <v>0</v>
      </c>
      <c r="CD21" s="532">
        <v>10</v>
      </c>
      <c r="CE21" s="576">
        <v>3770.5326633165828</v>
      </c>
      <c r="CF21" s="517">
        <f>IF(CE21&lt;2700,CE21*0.007,IF(CE21&lt;3200,CE21*0.008,IF(CE21&lt;3700,CE21*0.0097,IF(CE21&gt;3699,CE21*0.01095,""))))</f>
        <v>41.287332663316583</v>
      </c>
      <c r="CG21" s="532"/>
      <c r="CH21" s="578">
        <v>0</v>
      </c>
      <c r="CI21" s="517">
        <f>IF(CH21&lt;2700,CH21*0.0097,IF(CH21&lt;3200,CH21*0.01095,IF(CH21&lt;3700,CH21*0.0122,IF(CH21&gt;3699,CH21*0.01345,""))))</f>
        <v>0</v>
      </c>
      <c r="CJ21" s="532">
        <v>0</v>
      </c>
      <c r="CK21" s="578">
        <v>0</v>
      </c>
      <c r="CL21" s="517">
        <f>IF(CK21&lt;2700,CK21*0.0097,IF(CK21&lt;3200,CK21*0.01095,IF(CK21&lt;3700,CK21*0.0122,IF(CK21&gt;3699,CK21*0.01345,""))))</f>
        <v>0</v>
      </c>
      <c r="CM21" s="532">
        <v>18</v>
      </c>
      <c r="CN21" s="578">
        <v>0</v>
      </c>
      <c r="CO21" s="517">
        <f>IF(CN21&lt;2700,CN21*0.0097,IF(CN21&lt;3200,CN21*0.01095,IF(CN21&lt;3700,CN21*0.0122,IF(CN21&gt;3699,CN21*0.01345,""))))</f>
        <v>0</v>
      </c>
      <c r="CP21" s="532"/>
      <c r="CQ21" s="578">
        <v>0</v>
      </c>
      <c r="CR21" s="517">
        <f>IF(CQ21&lt;2700,CQ21*0.0097,IF(CQ21&lt;3200,CQ21*0.01095,IF(CQ21&lt;3700,CQ21*0.0122,IF(CQ21&gt;3699,CQ21*0.01345,""))))</f>
        <v>0</v>
      </c>
      <c r="CS21" s="532"/>
      <c r="CT21" s="622">
        <f t="shared" si="37"/>
        <v>15510.512562814069</v>
      </c>
      <c r="CU21" s="623">
        <f t="shared" si="37"/>
        <v>141.07716180904524</v>
      </c>
      <c r="CV21" s="624">
        <f t="shared" si="38"/>
        <v>64</v>
      </c>
      <c r="CW21" s="587"/>
      <c r="CX21" s="625">
        <f t="shared" si="39"/>
        <v>205.07716180904524</v>
      </c>
      <c r="CY21" s="626">
        <f t="shared" si="40"/>
        <v>15510.512562814069</v>
      </c>
      <c r="CZ21" s="627">
        <f t="shared" si="40"/>
        <v>141.07716180904524</v>
      </c>
      <c r="DA21" s="628">
        <f t="shared" si="40"/>
        <v>378</v>
      </c>
      <c r="DB21" s="629">
        <f t="shared" si="41"/>
        <v>519.07716180904526</v>
      </c>
      <c r="DC21" s="196"/>
    </row>
    <row r="22" spans="1:148" s="452" customFormat="1" ht="15.75" customHeight="1" x14ac:dyDescent="0.25">
      <c r="A22" s="592">
        <f t="shared" si="42"/>
        <v>13</v>
      </c>
      <c r="B22" s="630" t="s">
        <v>90</v>
      </c>
      <c r="C22" s="631" t="s">
        <v>550</v>
      </c>
      <c r="D22" s="632" t="s">
        <v>551</v>
      </c>
      <c r="E22" s="633" t="s">
        <v>552</v>
      </c>
      <c r="F22" s="597">
        <v>3582.8743718592964</v>
      </c>
      <c r="G22" s="598">
        <f>IF(F22&lt;2700,F22*0.0085,IF(F22&lt;3200,F22*0.01,IF(F22&lt;3700,F22*0.0105,IF(F22&gt;3699,F22*0.01175,""))))</f>
        <v>37.620180904522613</v>
      </c>
      <c r="H22" s="525"/>
      <c r="I22" s="597">
        <v>0</v>
      </c>
      <c r="J22" s="608">
        <f>IF(I22&lt;2700,I22*0.0105,IF(I22&lt;3200,I22*0.01175,IF(I22&lt;3700,I22*0.013,IF(I22&gt;3699,I22*0.01425,""))))</f>
        <v>0</v>
      </c>
      <c r="K22" s="525"/>
      <c r="L22" s="597">
        <v>3431.3969849246232</v>
      </c>
      <c r="M22" s="598">
        <f>IF(L22&lt;2700,L22*0.0085,IF(L22&lt;3200,L22*0.01,IF(L22&lt;3700,L22*0.0105,IF(L22&gt;3699,L22*0.01175,""))))</f>
        <v>36.029668341708543</v>
      </c>
      <c r="N22" s="525"/>
      <c r="O22" s="609"/>
      <c r="P22" s="598">
        <f>IF(O22&lt;2700,O22*0.0105,IF(O22&lt;3200,O22*0.01175,IF(O22&lt;3700,O22*0.013,IF(O22&gt;3699,O22*0.01425,""))))</f>
        <v>0</v>
      </c>
      <c r="Q22" s="525"/>
      <c r="R22" s="597">
        <v>4473.4070351758792</v>
      </c>
      <c r="S22" s="598">
        <f>IF(R22&lt;2700,R22*0.0085,IF(R22&lt;3200,R22*0.01,IF(R22&lt;3700,R22*0.0105,IF(R22&gt;3699,R22*0.01175,""))))</f>
        <v>52.562532663316581</v>
      </c>
      <c r="T22" s="525"/>
      <c r="U22" s="597">
        <v>3696.723618090452</v>
      </c>
      <c r="V22" s="598">
        <f>IF(U22&lt;2700,U22*0.0085,IF(U22&lt;3200,U22*0.01,IF(U22&lt;3700,U22*0.0105,IF(U22&gt;3699,U22*0.01175,""))))</f>
        <v>38.815597989949751</v>
      </c>
      <c r="W22" s="525"/>
      <c r="X22" s="609">
        <v>3216.7236180904524</v>
      </c>
      <c r="Y22" s="598">
        <f>IF(X22&lt;2700,X22*0.0085,IF(X22&lt;3200,X22*0.01,IF(X22&lt;3700,X22*0.0105,IF(X22&gt;3699,X22*0.01175,""))))</f>
        <v>33.775597989949752</v>
      </c>
      <c r="Z22" s="525"/>
      <c r="AA22" s="609">
        <v>1894.4321608040202</v>
      </c>
      <c r="AB22" s="598">
        <f>IF(AA22&lt;2700,AA22*0.0085,IF(AA22&lt;3200,AA22*0.01,IF(AA22&lt;3700,AA22*0.0105,IF(AA22&gt;3699,AA22*0.01175,""))))</f>
        <v>16.102673366834171</v>
      </c>
      <c r="AC22" s="525"/>
      <c r="AD22" s="597">
        <v>8091.0150753768849</v>
      </c>
      <c r="AE22" s="598">
        <f>IF(AD22&lt;2700,AD22*0.0085,IF(AD22&lt;3200,AD22*0.01,IF(AD22&lt;3700,AD22*0.0105,IF(AD22&gt;3699,AD22*0.01175,""))))</f>
        <v>95.069427135678396</v>
      </c>
      <c r="AF22" s="525"/>
      <c r="AG22" s="597">
        <v>0</v>
      </c>
      <c r="AH22" s="598">
        <f>IF(AG22&lt;2700,AG22*0.0105,IF(AG22&lt;3200,AG22*0.01175,IF(AG22&lt;3700,AG22*0.013,IF(AG22&gt;3699,AG22*0.01425,""))))</f>
        <v>0</v>
      </c>
      <c r="AI22" s="525"/>
      <c r="AJ22" s="597">
        <v>0</v>
      </c>
      <c r="AK22" s="598">
        <f>IF(AJ22&lt;2700,AJ22*0.0105,IF(AJ22&lt;3200,AJ22*0.01175,IF(AJ22&lt;3700,AJ22*0.013,IF(AJ22&gt;3699,AJ22*0.01425,""))))</f>
        <v>0</v>
      </c>
      <c r="AL22" s="525"/>
      <c r="AM22" s="597">
        <v>3446.8341708542712</v>
      </c>
      <c r="AN22" s="598">
        <f>IF(AM22&lt;2700,AM22*0.0085,IF(AM22&lt;3200,AM22*0.01,IF(AM22&lt;3700,AM22*0.0105,IF(AM22&gt;3699,AM22*0.01175,""))))</f>
        <v>36.191758793969846</v>
      </c>
      <c r="AO22" s="525"/>
      <c r="AP22" s="609">
        <v>0</v>
      </c>
      <c r="AQ22" s="598">
        <f>IF(AP22&lt;2700,AP22*0.0105,IF(AP22&lt;3200,AP22*0.01175,IF(AP22&lt;3700,AP22*0.013,IF(AP22&gt;3699,AP22*0.01425,""))))</f>
        <v>0</v>
      </c>
      <c r="AR22" s="599">
        <v>12</v>
      </c>
      <c r="AS22" s="597">
        <v>3807.6783919597992</v>
      </c>
      <c r="AT22" s="598">
        <f>IF(AS22&lt;2700,AS22*0.0085,IF(AS22&lt;3200,AS22*0.01,IF(AS22&lt;3700,AS22*0.0105,IF(AS22&gt;3699,AS22*0.01175,""))))</f>
        <v>44.740221105527638</v>
      </c>
      <c r="AU22" s="525"/>
      <c r="AV22" s="609"/>
      <c r="AW22" s="598">
        <f>IF(AV22&lt;2700,AV22*0.0105,IF(AV22&lt;3200,AV22*0.01175,IF(AV22&lt;3700,AV22*0.013,IF(AV22&gt;3699,AV22*0.01425,""))))</f>
        <v>0</v>
      </c>
      <c r="AX22" s="525"/>
      <c r="AY22" s="609"/>
      <c r="AZ22" s="598">
        <f>IF(AY22&lt;2700,AY22*0.0105,IF(AY22&lt;3200,AY22*0.01175,IF(AY22&lt;3700,AY22*0.013,IF(AY22&gt;3699,AY22*0.01425,""))))</f>
        <v>0</v>
      </c>
      <c r="BA22" s="525"/>
      <c r="BB22" s="603">
        <f t="shared" si="35"/>
        <v>35641.08542713568</v>
      </c>
      <c r="BC22" s="604">
        <f t="shared" si="35"/>
        <v>390.90765829145732</v>
      </c>
      <c r="BD22" s="605">
        <f t="shared" si="35"/>
        <v>12</v>
      </c>
      <c r="BE22" s="446"/>
      <c r="BF22" s="606">
        <f t="shared" si="36"/>
        <v>402.90765829145732</v>
      </c>
      <c r="BG22" s="609">
        <v>3813.4673366834168</v>
      </c>
      <c r="BH22" s="598">
        <f>IF(BG22&lt;2700,BG22*0.0085,IF(BG22&lt;3200,BG22*0.01,IF(BG22&lt;3700,BG22*0.0105,IF(BG22&gt;3699,BG22*0.01175,""))))</f>
        <v>44.808241206030146</v>
      </c>
      <c r="BI22" s="525"/>
      <c r="BJ22" s="609">
        <v>0</v>
      </c>
      <c r="BK22" s="598">
        <f>IF(BJ22&lt;2700,BJ22*0.0105,IF(BJ22&lt;3200,BJ22*0.01175,IF(BJ22&lt;3700,BJ22*0.013,IF(BJ22&gt;3699,BJ22*0.01425,""))))</f>
        <v>0</v>
      </c>
      <c r="BL22" s="525">
        <v>0</v>
      </c>
      <c r="BM22" s="597">
        <v>2916.6633165829144</v>
      </c>
      <c r="BN22" s="598">
        <f>IF(BM22&lt;2700,BM22*0.0085,IF(BM22&lt;3200,BM22*0.01,IF(BM22&lt;3700,BM22*0.0105,IF(BM22&gt;3699,BM22*0.01175,""))))</f>
        <v>29.166633165829143</v>
      </c>
      <c r="BO22" s="525"/>
      <c r="BP22" s="597">
        <v>3408.2412060301508</v>
      </c>
      <c r="BQ22" s="598">
        <f>IF(BP22&lt;2700,BP22*0.0085,IF(BP22&lt;3200,BP22*0.01,IF(BP22&lt;3700,BP22*0.0105,IF(BP22&gt;3699,BP22*0.01175,""))))</f>
        <v>35.786532663316585</v>
      </c>
      <c r="BR22" s="525"/>
      <c r="BS22" s="597">
        <v>3149.6683417085424</v>
      </c>
      <c r="BT22" s="598">
        <f>IF(BS22&lt;2700,BS22*0.0085,IF(BS22&lt;3200,BS22*0.01,IF(BS22&lt;3700,BS22*0.0105,IF(BS22&gt;3699,BS22*0.01175,""))))</f>
        <v>31.496683417085425</v>
      </c>
      <c r="BU22" s="525"/>
      <c r="BV22" s="597">
        <v>3216.2412060301508</v>
      </c>
      <c r="BW22" s="598">
        <f>IF(BV22&lt;2700,BV22*0.0085,IF(BV22&lt;3200,BV22*0.01,IF(BV22&lt;3700,BV22*0.0105,IF(BV22&gt;3699,BV22*0.01175,""))))</f>
        <v>33.770532663316587</v>
      </c>
      <c r="BX22" s="525"/>
      <c r="BY22" s="597">
        <v>1519.5979899497486</v>
      </c>
      <c r="BZ22" s="598">
        <f>IF(BY22&lt;2700,BY22*0.0085,IF(BY22&lt;3200,BY22*0.01,IF(BY22&lt;3700,BY22*0.0105,IF(BY22&gt;3699,BY22*0.01175,""))))</f>
        <v>12.916582914572864</v>
      </c>
      <c r="CA22" s="525"/>
      <c r="CB22" s="609">
        <v>0</v>
      </c>
      <c r="CC22" s="598">
        <f>IF(CB22&lt;2700,CB22*0.0105,IF(CB22&lt;3200,CB22*0.01175,IF(CB22&lt;3700,CB22*0.013,IF(CB22&gt;3699,CB22*0.01425,""))))</f>
        <v>0</v>
      </c>
      <c r="CD22" s="525">
        <v>0</v>
      </c>
      <c r="CE22" s="597">
        <v>3801.8894472361812</v>
      </c>
      <c r="CF22" s="598">
        <f>IF(CE22&lt;2700,CE22*0.0085,IF(CE22&lt;3200,CE22*0.01,IF(CE22&lt;3700,CE22*0.0105,IF(CE22&gt;3699,CE22*0.01175,""))))</f>
        <v>44.67220100502513</v>
      </c>
      <c r="CG22" s="525"/>
      <c r="CH22" s="609">
        <v>0</v>
      </c>
      <c r="CI22" s="598">
        <f>IF(CH22&lt;2700,CH22*0.0105,IF(CH22&lt;3200,CH22*0.01175,IF(CH22&lt;3700,CH22*0.013,IF(CH22&gt;3699,CH22*0.01425,""))))</f>
        <v>0</v>
      </c>
      <c r="CJ22" s="525">
        <v>0</v>
      </c>
      <c r="CK22" s="609">
        <v>0</v>
      </c>
      <c r="CL22" s="598">
        <f>IF(CK22&lt;2700,CK22*0.0105,IF(CK22&lt;3200,CK22*0.01175,IF(CK22&lt;3700,CK22*0.013,IF(CK22&gt;3699,CK22*0.01425,""))))</f>
        <v>0</v>
      </c>
      <c r="CM22" s="525">
        <v>0</v>
      </c>
      <c r="CN22" s="609">
        <v>0</v>
      </c>
      <c r="CO22" s="598">
        <f>IF(CN22&lt;2700,CN22*0.0105,IF(CN22&lt;3200,CN22*0.01175,IF(CN22&lt;3700,CN22*0.013,IF(CN22&gt;3699,CN22*0.01425,""))))</f>
        <v>0</v>
      </c>
      <c r="CP22" s="525"/>
      <c r="CQ22" s="609">
        <v>0</v>
      </c>
      <c r="CR22" s="598">
        <f>IF(CQ22&lt;2700,CQ22*0.0105,IF(CQ22&lt;3200,CQ22*0.01175,IF(CQ22&lt;3700,CQ22*0.013,IF(CQ22&gt;3699,CQ22*0.01425,""))))</f>
        <v>0</v>
      </c>
      <c r="CS22" s="525"/>
      <c r="CT22" s="443">
        <f t="shared" si="37"/>
        <v>21825.768844221104</v>
      </c>
      <c r="CU22" s="444">
        <f t="shared" si="37"/>
        <v>232.61740703517589</v>
      </c>
      <c r="CV22" s="445">
        <f t="shared" si="38"/>
        <v>0</v>
      </c>
      <c r="CW22" s="446"/>
      <c r="CX22" s="447">
        <f t="shared" si="39"/>
        <v>232.61740703517589</v>
      </c>
      <c r="CY22" s="448">
        <f t="shared" si="40"/>
        <v>57466.854271356788</v>
      </c>
      <c r="CZ22" s="449">
        <f t="shared" si="40"/>
        <v>623.52506532663324</v>
      </c>
      <c r="DA22" s="450">
        <f t="shared" si="40"/>
        <v>12</v>
      </c>
      <c r="DB22" s="451">
        <f t="shared" si="41"/>
        <v>635.52506532663324</v>
      </c>
      <c r="DC22" s="192" t="s">
        <v>553</v>
      </c>
      <c r="DD22" s="453"/>
      <c r="DE22" s="453"/>
      <c r="DF22" s="453"/>
      <c r="DG22" s="453"/>
      <c r="DH22" s="453"/>
      <c r="DI22" s="453"/>
      <c r="DJ22" s="453"/>
      <c r="DK22" s="453"/>
      <c r="DL22" s="453"/>
      <c r="DM22" s="453"/>
      <c r="DN22" s="453"/>
      <c r="DO22" s="453"/>
      <c r="DP22" s="453"/>
      <c r="DQ22" s="453"/>
      <c r="DR22" s="453"/>
      <c r="DS22" s="453"/>
      <c r="DT22" s="453"/>
      <c r="DU22" s="453"/>
      <c r="DV22" s="453"/>
      <c r="DW22" s="453"/>
      <c r="DX22" s="453"/>
      <c r="DY22" s="453"/>
      <c r="DZ22" s="453"/>
      <c r="EA22" s="453"/>
      <c r="EB22" s="453"/>
      <c r="EC22" s="453"/>
      <c r="ED22" s="453"/>
      <c r="EE22" s="453"/>
      <c r="EF22" s="453"/>
      <c r="EG22" s="453"/>
      <c r="EH22" s="453"/>
      <c r="EI22" s="453"/>
      <c r="EJ22" s="453"/>
      <c r="EK22" s="453"/>
      <c r="EL22" s="453"/>
      <c r="EM22" s="453"/>
      <c r="EN22" s="453"/>
      <c r="EO22" s="453"/>
      <c r="EP22" s="453"/>
      <c r="EQ22" s="453"/>
      <c r="ER22" s="453"/>
    </row>
    <row r="23" spans="1:148" ht="15.75" customHeight="1" x14ac:dyDescent="0.25">
      <c r="A23" s="572">
        <f t="shared" si="42"/>
        <v>14</v>
      </c>
      <c r="B23" s="634" t="s">
        <v>64</v>
      </c>
      <c r="C23" s="573" t="s">
        <v>550</v>
      </c>
      <c r="D23" s="635" t="s">
        <v>554</v>
      </c>
      <c r="E23" s="636" t="s">
        <v>555</v>
      </c>
      <c r="F23" s="579">
        <v>0</v>
      </c>
      <c r="G23" s="517">
        <f>IF(F23&lt;2700,F23*0.008,IF(F23&lt;3200,F23*0.0097,IF(F23&lt;3700,F23*0.01095,IF(F23&gt;3699,F23*0.0122,""))))</f>
        <v>0</v>
      </c>
      <c r="H23" s="580">
        <v>18</v>
      </c>
      <c r="I23" s="579">
        <v>0</v>
      </c>
      <c r="J23" s="517">
        <f>IF(I23&lt;2700,I23*0.008,IF(I23&lt;3200,I23*0.0097,IF(I23&lt;3700,I23*0.01095,IF(I23&gt;3699,I23*0.0122,""))))</f>
        <v>0</v>
      </c>
      <c r="K23" s="580">
        <v>18</v>
      </c>
      <c r="L23" s="579">
        <v>3418.3718592964824</v>
      </c>
      <c r="M23" s="517">
        <f>IF(L23&lt;2700,L23*0.007,IF(L23&lt;3200,L23*0.008,IF(L23&lt;3700,L23*0.0097,IF(L23&gt;3699,L23*0.01095,""))))</f>
        <v>33.158207035175877</v>
      </c>
      <c r="N23" s="580"/>
      <c r="O23" s="620"/>
      <c r="P23" s="517">
        <f>IF(O23&lt;2700,O23*0.0097,IF(O23&lt;3200,O23*0.01095,IF(O23&lt;3700,O23*0.0122,IF(O23&gt;3699,O23*0.01345,""))))</f>
        <v>0</v>
      </c>
      <c r="Q23" s="580"/>
      <c r="R23" s="579">
        <v>4473.4070351758792</v>
      </c>
      <c r="S23" s="517">
        <f>IF(R23&lt;2700,R23*0.007,IF(R23&lt;3200,R23*0.008,IF(R23&lt;3700,R23*0.0097,IF(R23&gt;3699,R23*0.01095,""))))</f>
        <v>48.983807035175879</v>
      </c>
      <c r="T23" s="580"/>
      <c r="U23" s="579">
        <v>3696.723618090452</v>
      </c>
      <c r="V23" s="517">
        <f>IF(U23&lt;2700,U23*0.007,IF(U23&lt;3200,U23*0.008,IF(U23&lt;3700,U23*0.0097,IF(U23&gt;3699,U23*0.01095,""))))</f>
        <v>35.858219095477388</v>
      </c>
      <c r="W23" s="580"/>
      <c r="X23" s="620">
        <v>3216.7236180904524</v>
      </c>
      <c r="Y23" s="517">
        <f>IF(X23&lt;2700,X23*0.007,IF(X23&lt;3200,X23*0.008,IF(X23&lt;3700,X23*0.0097,IF(X23&gt;3699,X23*0.01095,""))))</f>
        <v>31.202219095477389</v>
      </c>
      <c r="Z23" s="580"/>
      <c r="AA23" s="620">
        <v>1894.4321608040202</v>
      </c>
      <c r="AB23" s="517">
        <f>IF(AA23&lt;2700,AA23*0.007,IF(AA23&lt;3200,AA23*0.008,IF(AA23&lt;3700,AA23*0.0097,IF(AA23&gt;3699,AA23*0.01095,""))))</f>
        <v>13.261025125628143</v>
      </c>
      <c r="AC23" s="580"/>
      <c r="AD23" s="579">
        <v>8091.0150753768849</v>
      </c>
      <c r="AE23" s="517">
        <f>IF(AD23&lt;2700,AD23*0.007,IF(AD23&lt;3200,AD23*0.008,IF(AD23&lt;3700,AD23*0.0097,IF(AD23&gt;3699,AD23*0.01095,""))))</f>
        <v>88.596615075376889</v>
      </c>
      <c r="AF23" s="580"/>
      <c r="AG23" s="579">
        <v>0</v>
      </c>
      <c r="AH23" s="517">
        <f>IF(AG23&lt;2700,AG23*0.0097,IF(AG23&lt;3200,AG23*0.01095,IF(AG23&lt;3700,AG23*0.0122,IF(AG23&gt;3699,AG23*0.01345,""))))</f>
        <v>0</v>
      </c>
      <c r="AI23" s="580"/>
      <c r="AJ23" s="579">
        <v>0</v>
      </c>
      <c r="AK23" s="517">
        <f>IF(AJ23&lt;2700,AJ23*0.008,IF(AJ23&lt;3200,AJ23*0.0097,IF(AJ23&lt;3700,AJ23*0.01095,IF(AJ23&gt;3699,AJ23*0.0122,""))))</f>
        <v>0</v>
      </c>
      <c r="AL23" s="580">
        <v>20</v>
      </c>
      <c r="AM23" s="576">
        <v>3446.8341708542712</v>
      </c>
      <c r="AN23" s="517">
        <f>IF(AM23&lt;2700,AM23*0.007,IF(AM23&lt;3200,AM23*0.008,IF(AM23&lt;3700,AM23*0.0097,IF(AM23&gt;3699,AM23*0.01095,""))))</f>
        <v>33.434291457286434</v>
      </c>
      <c r="AO23" s="517"/>
      <c r="AP23" s="620">
        <v>0</v>
      </c>
      <c r="AQ23" s="517">
        <f>IF(AP23&lt;2700,AP23*0.0097,IF(AP23&lt;3200,AP23*0.01095,IF(AP23&lt;3700,AP23*0.0122,IF(AP23&gt;3699,AP23*0.01345,""))))</f>
        <v>0</v>
      </c>
      <c r="AR23" s="580">
        <v>12</v>
      </c>
      <c r="AS23" s="576">
        <v>3807.6783919597992</v>
      </c>
      <c r="AT23" s="517">
        <f>IF(AS23&lt;2700,AS23*0.007,IF(AS23&lt;3200,AS23*0.008,IF(AS23&lt;3700,AS23*0.0097,IF(AS23&gt;3699,AS23*0.01095,""))))</f>
        <v>41.694078391959799</v>
      </c>
      <c r="AU23" s="580"/>
      <c r="AV23" s="620"/>
      <c r="AW23" s="517">
        <f>IF(AV23&lt;2700,AV23*0.0097,IF(AV23&lt;3200,AV23*0.01095,IF(AV23&lt;3700,AV23*0.0122,IF(AV23&gt;3699,AV23*0.01345,""))))</f>
        <v>0</v>
      </c>
      <c r="AX23" s="580"/>
      <c r="AY23" s="620"/>
      <c r="AZ23" s="517">
        <f>IF(AY23&lt;2700,AY23*0.0097,IF(AY23&lt;3200,AY23*0.01095,IF(AY23&lt;3700,AY23*0.0122,IF(AY23&gt;3699,AY23*0.01345,""))))</f>
        <v>0</v>
      </c>
      <c r="BA23" s="580"/>
      <c r="BB23" s="581">
        <f t="shared" si="35"/>
        <v>32045.18592964824</v>
      </c>
      <c r="BC23" s="582">
        <f t="shared" si="35"/>
        <v>326.18846231155783</v>
      </c>
      <c r="BD23" s="465">
        <f t="shared" si="35"/>
        <v>68</v>
      </c>
      <c r="BE23" s="587"/>
      <c r="BF23" s="637">
        <f t="shared" si="36"/>
        <v>394.18846231155783</v>
      </c>
      <c r="BG23" s="620">
        <v>3813.4673366834168</v>
      </c>
      <c r="BH23" s="517">
        <f>IF(BG23&lt;2700,BG23*0.007,IF(BG23&lt;3200,BG23*0.008,IF(BG23&lt;3700,BG23*0.0097,IF(BG23&gt;3699,BG23*0.01095,""))))</f>
        <v>41.757467336683412</v>
      </c>
      <c r="BI23" s="580"/>
      <c r="BJ23" s="620">
        <v>0</v>
      </c>
      <c r="BK23" s="517">
        <f>IF(BJ23&lt;2700,BJ23*0.0097,IF(BJ23&lt;3200,BJ23*0.01095,IF(BJ23&lt;3700,BJ23*0.0122,IF(BJ23&gt;3699,BJ23*0.01345,""))))</f>
        <v>0</v>
      </c>
      <c r="BL23" s="580">
        <v>0</v>
      </c>
      <c r="BM23" s="579">
        <v>2916.6633165829144</v>
      </c>
      <c r="BN23" s="517">
        <f>IF(BM23&lt;2700,BM23*0.007,IF(BM23&lt;3200,BM23*0.008,IF(BM23&lt;3700,BM23*0.0097,IF(BM23&gt;3699,BM23*0.01095,""))))</f>
        <v>23.333306532663315</v>
      </c>
      <c r="BO23" s="580"/>
      <c r="BP23" s="579">
        <v>3408.2412060301508</v>
      </c>
      <c r="BQ23" s="517">
        <f>IF(BP23&lt;2700,BP23*0.007,IF(BP23&lt;3200,BP23*0.008,IF(BP23&lt;3700,BP23*0.0097,IF(BP23&gt;3699,BP23*0.01095,""))))</f>
        <v>33.059939698492464</v>
      </c>
      <c r="BR23" s="580"/>
      <c r="BS23" s="579">
        <v>3149.6683417085424</v>
      </c>
      <c r="BT23" s="517">
        <f>IF(BS23&lt;2700,BS23*0.007,IF(BS23&lt;3200,BS23*0.008,IF(BS23&lt;3700,BS23*0.0097,IF(BS23&gt;3699,BS23*0.01095,""))))</f>
        <v>25.19734673366834</v>
      </c>
      <c r="BU23" s="580"/>
      <c r="BV23" s="579">
        <v>3216.2412060301508</v>
      </c>
      <c r="BW23" s="517">
        <f>IF(BV23&lt;2700,BV23*0.007,IF(BV23&lt;3200,BV23*0.008,IF(BV23&lt;3700,BV23*0.0097,IF(BV23&gt;3699,BV23*0.01095,""))))</f>
        <v>31.197539698492463</v>
      </c>
      <c r="BX23" s="580"/>
      <c r="BY23" s="579">
        <v>1519.5979899497486</v>
      </c>
      <c r="BZ23" s="517">
        <f>IF(BY23&lt;2700,BY23*0.007,IF(BY23&lt;3200,BY23*0.008,IF(BY23&lt;3700,BY23*0.0097,IF(BY23&gt;3699,BY23*0.01095,""))))</f>
        <v>10.63718592964824</v>
      </c>
      <c r="CA23" s="580"/>
      <c r="CB23" s="620">
        <v>0</v>
      </c>
      <c r="CC23" s="517">
        <f>IF(CB23&lt;2700,CB23*0.0097,IF(CB23&lt;3200,CB23*0.01095,IF(CB23&lt;3700,CB23*0.0122,IF(CB23&gt;3699,CB23*0.01345,""))))</f>
        <v>0</v>
      </c>
      <c r="CD23" s="580">
        <v>0</v>
      </c>
      <c r="CE23" s="579">
        <v>3801.8894472361812</v>
      </c>
      <c r="CF23" s="517">
        <f>IF(CE23&lt;2700,CE23*0.007,IF(CE23&lt;3200,CE23*0.008,IF(CE23&lt;3700,CE23*0.0097,IF(CE23&gt;3699,CE23*0.01095,""))))</f>
        <v>41.630689447236186</v>
      </c>
      <c r="CG23" s="580"/>
      <c r="CH23" s="620">
        <v>0</v>
      </c>
      <c r="CI23" s="517">
        <f>IF(CH23&lt;2700,CH23*0.0097,IF(CH23&lt;3200,CH23*0.01095,IF(CH23&lt;3700,CH23*0.0122,IF(CH23&gt;3699,CH23*0.01345,""))))</f>
        <v>0</v>
      </c>
      <c r="CJ23" s="580">
        <v>0</v>
      </c>
      <c r="CK23" s="620">
        <v>0</v>
      </c>
      <c r="CL23" s="517">
        <f>IF(CK23&lt;2700,CK23*0.0097,IF(CK23&lt;3200,CK23*0.01095,IF(CK23&lt;3700,CK23*0.0122,IF(CK23&gt;3699,CK23*0.01345,""))))</f>
        <v>0</v>
      </c>
      <c r="CM23" s="580">
        <v>0</v>
      </c>
      <c r="CN23" s="620">
        <v>0</v>
      </c>
      <c r="CO23" s="517">
        <f>IF(CN23&lt;2700,CN23*0.0097,IF(CN23&lt;3200,CN23*0.01095,IF(CN23&lt;3700,CN23*0.0122,IF(CN23&gt;3699,CN23*0.01345,""))))</f>
        <v>0</v>
      </c>
      <c r="CP23" s="580"/>
      <c r="CQ23" s="620">
        <v>0</v>
      </c>
      <c r="CR23" s="517">
        <f>IF(CQ23&lt;2700,CQ23*0.0097,IF(CQ23&lt;3200,CQ23*0.01095,IF(CQ23&lt;3700,CQ23*0.0122,IF(CQ23&gt;3699,CQ23*0.01345,""))))</f>
        <v>0</v>
      </c>
      <c r="CS23" s="580"/>
      <c r="CT23" s="551">
        <f t="shared" si="37"/>
        <v>21825.768844221104</v>
      </c>
      <c r="CU23" s="552">
        <f t="shared" si="37"/>
        <v>206.81347537688441</v>
      </c>
      <c r="CV23" s="553">
        <f t="shared" si="38"/>
        <v>0</v>
      </c>
      <c r="CW23" s="587"/>
      <c r="CX23" s="554">
        <f t="shared" si="39"/>
        <v>206.81347537688441</v>
      </c>
      <c r="CY23" s="588">
        <f t="shared" si="40"/>
        <v>53870.954773869344</v>
      </c>
      <c r="CZ23" s="589">
        <f t="shared" si="40"/>
        <v>533.00193768844224</v>
      </c>
      <c r="DA23" s="590">
        <f t="shared" si="40"/>
        <v>68</v>
      </c>
      <c r="DB23" s="591">
        <f t="shared" si="41"/>
        <v>601.00193768844224</v>
      </c>
    </row>
    <row r="24" spans="1:148" s="571" customFormat="1" ht="15.75" customHeight="1" x14ac:dyDescent="0.25">
      <c r="A24" s="572">
        <f t="shared" si="42"/>
        <v>15</v>
      </c>
      <c r="B24" s="638" t="s">
        <v>92</v>
      </c>
      <c r="C24" s="639" t="s">
        <v>550</v>
      </c>
      <c r="D24" s="635" t="s">
        <v>556</v>
      </c>
      <c r="E24" s="636" t="s">
        <v>557</v>
      </c>
      <c r="F24" s="576">
        <v>3582.8743718592964</v>
      </c>
      <c r="G24" s="517">
        <f>IF(F24&lt;2700,F24*0.0075,IF(F24&lt;3200,F24*0.009,IF(F24&lt;3700,F24*0.0101,IF(F24&gt;3699,F24*0.01135,""))))</f>
        <v>36.18703115577889</v>
      </c>
      <c r="H24" s="517"/>
      <c r="I24" s="576">
        <v>2377.8090452261304</v>
      </c>
      <c r="J24" s="517">
        <f>IF(I24&lt;2700,I24*0.0075,IF(I24&lt;3200,I24*0.009,IF(I24&lt;3700,I24*0.0101,IF(I24&gt;3699,I24*0.01135,""))))</f>
        <v>17.833567839195975</v>
      </c>
      <c r="K24" s="517"/>
      <c r="L24" s="576">
        <v>3431.3969849246232</v>
      </c>
      <c r="M24" s="517">
        <f>IF(L24&lt;2700,L24*0.0075,IF(L24&lt;3200,L24*0.009,IF(L24&lt;3700,L24*0.0101,IF(L24&gt;3699,L24*0.01135,""))))</f>
        <v>34.657109547738692</v>
      </c>
      <c r="N24" s="517"/>
      <c r="O24" s="578"/>
      <c r="P24" s="517">
        <f>IF(O24&lt;2700,O24*0.0101,IF(O24&lt;3200,O24*0.01135,IF(O24&lt;3700,O24*0.0126,IF(O24&gt;3699,O24*0.01385,""))))</f>
        <v>0</v>
      </c>
      <c r="Q24" s="517"/>
      <c r="R24" s="576">
        <v>4473.4070351758792</v>
      </c>
      <c r="S24" s="517">
        <f>IF(R24&lt;2700,R24*0.0075,IF(R24&lt;3200,R24*0.009,IF(R24&lt;3700,R24*0.0101,IF(R24&gt;3699,R24*0.01135,""))))</f>
        <v>50.77316984924623</v>
      </c>
      <c r="T24" s="517"/>
      <c r="U24" s="576">
        <v>3696.723618090452</v>
      </c>
      <c r="V24" s="517">
        <f>IF(U24&lt;2700,U24*0.0075,IF(U24&lt;3200,U24*0.009,IF(U24&lt;3700,U24*0.0101,IF(U24&gt;3699,U24*0.01135,""))))</f>
        <v>37.336908542713566</v>
      </c>
      <c r="W24" s="517"/>
      <c r="X24" s="578">
        <v>3216.7236180904524</v>
      </c>
      <c r="Y24" s="517">
        <f>IF(X24&lt;2700,X24*0.0075,IF(X24&lt;3200,X24*0.009,IF(X24&lt;3700,X24*0.0101,IF(X24&gt;3699,X24*0.01135,""))))</f>
        <v>32.488908542713567</v>
      </c>
      <c r="Z24" s="517"/>
      <c r="AA24" s="578">
        <v>1894.4321608040202</v>
      </c>
      <c r="AB24" s="517">
        <f>IF(AA24&lt;2700,AA24*0.0075,IF(AA24&lt;3200,AA24*0.009,IF(AA24&lt;3700,AA24*0.0101,IF(AA24&gt;3699,AA24*0.01135,""))))</f>
        <v>14.20824120603015</v>
      </c>
      <c r="AC24" s="517"/>
      <c r="AD24" s="576">
        <v>8091.0150753768849</v>
      </c>
      <c r="AE24" s="517">
        <f>IF(AD24&lt;2700,AD24*0.0075,IF(AD24&lt;3200,AD24*0.009,IF(AD24&lt;3700,AD24*0.0101,IF(AD24&gt;3699,AD24*0.01135,""))))</f>
        <v>91.833021105527649</v>
      </c>
      <c r="AF24" s="517"/>
      <c r="AG24" s="576">
        <v>0</v>
      </c>
      <c r="AH24" s="517">
        <f>IF(AG24&lt;2700,AG24*0.0101,IF(AG24&lt;3200,AG24*0.01135,IF(AG24&lt;3700,AG24*0.0126,IF(AG24&gt;3699,AG24*0.01385,""))))</f>
        <v>0</v>
      </c>
      <c r="AI24" s="517"/>
      <c r="AJ24" s="576">
        <v>3043.5376884422112</v>
      </c>
      <c r="AK24" s="517">
        <f>IF(AJ24&lt;2700,AJ24*0.0075,IF(AJ24&lt;3200,AJ24*0.009,IF(AJ24&lt;3700,AJ24*0.0101,IF(AJ24&gt;3699,AJ24*0.01135,""))))</f>
        <v>27.391839195979898</v>
      </c>
      <c r="AL24" s="517"/>
      <c r="AM24" s="576">
        <v>3446.8341708542712</v>
      </c>
      <c r="AN24" s="517">
        <f>IF(AM24&lt;2700,AM24*0.0075,IF(AM24&lt;3200,AM24*0.009,IF(AM24&lt;3700,AM24*0.0101,IF(AM24&gt;3699,AM24*0.01135,""))))</f>
        <v>34.813025125628137</v>
      </c>
      <c r="AO24" s="517"/>
      <c r="AP24" s="578">
        <v>0</v>
      </c>
      <c r="AQ24" s="517">
        <f>IF(AP24&lt;2700,AP24*0.0101,IF(AP24&lt;3200,AP24*0.01135,IF(AP24&lt;3700,AP24*0.0126,IF(AP24&gt;3699,AP24*0.01385,""))))</f>
        <v>0</v>
      </c>
      <c r="AR24" s="517">
        <v>12</v>
      </c>
      <c r="AS24" s="576">
        <v>3807.6783919597992</v>
      </c>
      <c r="AT24" s="517">
        <f>IF(AS24&lt;2700,AS24*0.0075,IF(AS24&lt;3200,AS24*0.009,IF(AS24&lt;3700,AS24*0.0101,IF(AS24&gt;3699,AS24*0.01135,""))))</f>
        <v>43.217149748743722</v>
      </c>
      <c r="AU24" s="517"/>
      <c r="AV24" s="578"/>
      <c r="AW24" s="517">
        <f>IF(AV24&lt;2700,AV24*0.0101,IF(AV24&lt;3200,AV24*0.01135,IF(AV24&lt;3700,AV24*0.0126,IF(AV24&gt;3699,AV24*0.01385,""))))</f>
        <v>0</v>
      </c>
      <c r="AX24" s="517"/>
      <c r="AY24" s="578"/>
      <c r="AZ24" s="517">
        <f>IF(AY24&lt;2700,AY24*0.0101,IF(AY24&lt;3200,AY24*0.01135,IF(AY24&lt;3700,AY24*0.0126,IF(AY24&gt;3699,AY24*0.01385,""))))</f>
        <v>0</v>
      </c>
      <c r="BA24" s="517"/>
      <c r="BB24" s="581">
        <f t="shared" si="35"/>
        <v>41062.432160804026</v>
      </c>
      <c r="BC24" s="582">
        <f t="shared" si="35"/>
        <v>420.73997185929653</v>
      </c>
      <c r="BD24" s="465">
        <f t="shared" si="35"/>
        <v>12</v>
      </c>
      <c r="BE24" s="583"/>
      <c r="BF24" s="584">
        <f t="shared" si="36"/>
        <v>432.73997185929653</v>
      </c>
      <c r="BG24" s="578">
        <v>3813.4673366834168</v>
      </c>
      <c r="BH24" s="517">
        <f>IF(BG24&lt;2700,BG24*0.0075,IF(BG24&lt;3200,BG24*0.009,IF(BG24&lt;3700,BG24*0.0101,IF(BG24&gt;3699,BG24*0.01135,""))))</f>
        <v>43.282854271356783</v>
      </c>
      <c r="BI24" s="517"/>
      <c r="BJ24" s="578">
        <v>0</v>
      </c>
      <c r="BK24" s="517">
        <f>IF(BJ24&lt;2700,BJ24*0.0101,IF(BJ24&lt;3200,BJ24*0.01135,IF(BJ24&lt;3700,BJ24*0.0126,IF(BJ24&gt;3699,BJ24*0.01385,""))))</f>
        <v>0</v>
      </c>
      <c r="BL24" s="517">
        <v>12</v>
      </c>
      <c r="BM24" s="576">
        <v>2916.6633165829144</v>
      </c>
      <c r="BN24" s="517">
        <f>IF(BM24&lt;2700,BM24*0.0075,IF(BM24&lt;3200,BM24*0.009,IF(BM24&lt;3700,BM24*0.0101,IF(BM24&gt;3699,BM24*0.01135,""))))</f>
        <v>26.249969849246227</v>
      </c>
      <c r="BO24" s="517"/>
      <c r="BP24" s="576">
        <v>3408.2412060301508</v>
      </c>
      <c r="BQ24" s="517">
        <f>IF(BP24&lt;2700,BP24*0.0075,IF(BP24&lt;3200,BP24*0.009,IF(BP24&lt;3700,BP24*0.0101,IF(BP24&gt;3699,BP24*0.01135,""))))</f>
        <v>34.423236180904524</v>
      </c>
      <c r="BR24" s="517"/>
      <c r="BS24" s="576">
        <v>3149.6683417085424</v>
      </c>
      <c r="BT24" s="517">
        <f>IF(BS24&lt;2700,BS24*0.0075,IF(BS24&lt;3200,BS24*0.009,IF(BS24&lt;3700,BS24*0.0101,IF(BS24&gt;3699,BS24*0.01135,""))))</f>
        <v>28.347015075376881</v>
      </c>
      <c r="BU24" s="517"/>
      <c r="BV24" s="576">
        <v>3216.2412060301508</v>
      </c>
      <c r="BW24" s="517">
        <f>IF(BV24&lt;2700,BV24*0.0075,IF(BV24&lt;3200,BV24*0.009,IF(BV24&lt;3700,BV24*0.0101,IF(BV24&gt;3699,BV24*0.01135,""))))</f>
        <v>32.484036180904525</v>
      </c>
      <c r="BX24" s="517"/>
      <c r="BY24" s="576">
        <v>1519.5979899497486</v>
      </c>
      <c r="BZ24" s="517">
        <f>IF(BY24&lt;2700,BY24*0.0075,IF(BY24&lt;3200,BY24*0.009,IF(BY24&lt;3700,BY24*0.0101,IF(BY24&gt;3699,BY24*0.01135,""))))</f>
        <v>11.396984924623114</v>
      </c>
      <c r="CA24" s="517"/>
      <c r="CB24" s="578">
        <v>0</v>
      </c>
      <c r="CC24" s="517">
        <f>IF(CB24&lt;2700,CB24*0.0101,IF(CB24&lt;3200,CB24*0.01135,IF(CB24&lt;3700,CB24*0.0126,IF(CB24&gt;3699,CB24*0.01385,""))))</f>
        <v>0</v>
      </c>
      <c r="CD24" s="517">
        <v>10</v>
      </c>
      <c r="CE24" s="576">
        <v>3801.8894472361812</v>
      </c>
      <c r="CF24" s="517">
        <f>IF(CE24&lt;2700,CE24*0.0075,IF(CE24&lt;3200,CE24*0.009,IF(CE24&lt;3700,CE24*0.0101,IF(CE24&gt;3699,CE24*0.01135,""))))</f>
        <v>43.151445226130662</v>
      </c>
      <c r="CG24" s="517"/>
      <c r="CH24" s="578">
        <v>0</v>
      </c>
      <c r="CI24" s="517">
        <f>IF(CH24&lt;2700,CH24*0.0101,IF(CH24&lt;3200,CH24*0.01135,IF(CH24&lt;3700,CH24*0.0126,IF(CH24&gt;3699,CH24*0.01385,""))))</f>
        <v>0</v>
      </c>
      <c r="CJ24" s="517">
        <v>18</v>
      </c>
      <c r="CK24" s="578">
        <v>0</v>
      </c>
      <c r="CL24" s="517">
        <f>IF(CK24&lt;2700,CK24*0.0101,IF(CK24&lt;3200,CK24*0.01135,IF(CK24&lt;3700,CK24*0.0126,IF(CK24&gt;3699,CK24*0.01385,""))))</f>
        <v>0</v>
      </c>
      <c r="CM24" s="517">
        <v>18</v>
      </c>
      <c r="CN24" s="578">
        <v>0</v>
      </c>
      <c r="CO24" s="517">
        <f>IF(CN24&lt;2700,CN24*0.0101,IF(CN24&lt;3200,CN24*0.01135,IF(CN24&lt;3700,CN24*0.0126,IF(CN24&gt;3699,CN24*0.01385,""))))</f>
        <v>0</v>
      </c>
      <c r="CP24" s="517"/>
      <c r="CQ24" s="578">
        <v>0</v>
      </c>
      <c r="CR24" s="517">
        <f>IF(CQ24&lt;2700,CQ24*0.0101,IF(CQ24&lt;3200,CQ24*0.01135,IF(CQ24&lt;3700,CQ24*0.0126,IF(CQ24&gt;3699,CQ24*0.01385,""))))</f>
        <v>0</v>
      </c>
      <c r="CS24" s="517"/>
      <c r="CT24" s="551">
        <f t="shared" si="37"/>
        <v>21825.768844221104</v>
      </c>
      <c r="CU24" s="552">
        <f t="shared" si="37"/>
        <v>219.33554170854273</v>
      </c>
      <c r="CV24" s="553">
        <f t="shared" si="38"/>
        <v>58</v>
      </c>
      <c r="CW24" s="587"/>
      <c r="CX24" s="554">
        <f t="shared" si="39"/>
        <v>277.33554170854273</v>
      </c>
      <c r="CY24" s="588">
        <f t="shared" si="40"/>
        <v>62888.201005025127</v>
      </c>
      <c r="CZ24" s="589">
        <f t="shared" si="40"/>
        <v>640.07551356783927</v>
      </c>
      <c r="DA24" s="590">
        <f t="shared" si="40"/>
        <v>70</v>
      </c>
      <c r="DB24" s="591">
        <f t="shared" si="41"/>
        <v>710.07551356783927</v>
      </c>
      <c r="DC24" s="196"/>
      <c r="DD24" s="398"/>
      <c r="DE24" s="570"/>
      <c r="DF24" s="570"/>
      <c r="DG24" s="570"/>
      <c r="DH24" s="570"/>
      <c r="DI24" s="570"/>
      <c r="DJ24" s="570"/>
      <c r="DK24" s="570"/>
      <c r="DL24" s="570"/>
      <c r="DM24" s="570"/>
      <c r="DN24" s="570"/>
      <c r="DO24" s="570"/>
      <c r="DP24" s="570"/>
      <c r="DQ24" s="570"/>
      <c r="DR24" s="570"/>
      <c r="DS24" s="570"/>
      <c r="DT24" s="570"/>
      <c r="DU24" s="570"/>
      <c r="DV24" s="570"/>
      <c r="DW24" s="570"/>
      <c r="DX24" s="570"/>
      <c r="DY24" s="570"/>
      <c r="DZ24" s="570"/>
      <c r="EA24" s="570"/>
      <c r="EB24" s="570"/>
      <c r="EC24" s="570"/>
      <c r="ED24" s="570"/>
      <c r="EE24" s="570"/>
      <c r="EF24" s="570"/>
      <c r="EG24" s="570"/>
      <c r="EH24" s="570"/>
      <c r="EI24" s="570"/>
      <c r="EJ24" s="570"/>
      <c r="EK24" s="570"/>
      <c r="EL24" s="570"/>
      <c r="EM24" s="570"/>
      <c r="EN24" s="570"/>
      <c r="EO24" s="570"/>
      <c r="EP24" s="570"/>
      <c r="EQ24" s="570"/>
      <c r="ER24" s="570"/>
    </row>
    <row r="25" spans="1:148" ht="15.75" customHeight="1" x14ac:dyDescent="0.25">
      <c r="A25" s="572">
        <f t="shared" si="42"/>
        <v>16</v>
      </c>
      <c r="B25" s="652" t="s">
        <v>119</v>
      </c>
      <c r="C25" s="653" t="s">
        <v>560</v>
      </c>
      <c r="D25" s="635" t="s">
        <v>563</v>
      </c>
      <c r="E25" s="636" t="s">
        <v>564</v>
      </c>
      <c r="F25" s="576">
        <v>0</v>
      </c>
      <c r="G25" s="517">
        <f>IF(F25&lt;2700,F25*0.0097,IF(F25&lt;3200,F25*0.01095,IF(F25&lt;3700,F25*0.0122,IF(F25&gt;3699,F25*0.01345,""))))</f>
        <v>0</v>
      </c>
      <c r="H25" s="532">
        <v>20</v>
      </c>
      <c r="I25" s="576">
        <v>0</v>
      </c>
      <c r="J25" s="517">
        <f>IF(I25&lt;2700,I25*0.0097,IF(I25&lt;3200,I25*0.01095,IF(I25&lt;3700,I25*0.0122,IF(I25&gt;3699,I25*0.01345,""))))</f>
        <v>0</v>
      </c>
      <c r="K25" s="532">
        <v>20</v>
      </c>
      <c r="L25" s="576">
        <v>0</v>
      </c>
      <c r="M25" s="517">
        <f>IF(L25&lt;2700,L25*0.0097,IF(L25&lt;3200,L25*0.01095,IF(L25&lt;3700,L25*0.0122,IF(L25&gt;3699,L25*0.01345,""))))</f>
        <v>0</v>
      </c>
      <c r="N25" s="532">
        <v>40</v>
      </c>
      <c r="O25" s="654"/>
      <c r="P25" s="517">
        <f>IF(O25&lt;2700,O25*0.0097,IF(O25&lt;3200,O25*0.01095,IF(O25&lt;3700,O25*0.0122,IF(O25&gt;3699,O25*0.01345,""))))</f>
        <v>0</v>
      </c>
      <c r="Q25" s="599"/>
      <c r="R25" s="618">
        <v>0</v>
      </c>
      <c r="S25" s="517">
        <f>IF(R25&lt;2700,R25*0.0097,IF(R25&lt;3200,R25*0.01095,IF(R25&lt;3700,R25*0.0122,IF(R25&gt;3699,R25*0.01345,""))))</f>
        <v>0</v>
      </c>
      <c r="T25" s="619">
        <v>18</v>
      </c>
      <c r="U25" s="618">
        <v>0</v>
      </c>
      <c r="V25" s="517">
        <f>IF(U25&lt;2700,U25*0.0097,IF(U25&lt;3200,U25*0.01095,IF(U25&lt;3700,U25*0.0122,IF(U25&gt;3699,U25*0.01345,""))))</f>
        <v>0</v>
      </c>
      <c r="W25" s="619">
        <v>18</v>
      </c>
      <c r="X25" s="618">
        <v>0</v>
      </c>
      <c r="Y25" s="517">
        <f>IF(X25&lt;2700,X25*0.0097,IF(X25&lt;3200,X25*0.01095,IF(X25&lt;3700,X25*0.0122,IF(X25&gt;3699,X25*0.01345,""))))</f>
        <v>0</v>
      </c>
      <c r="Z25" s="619">
        <v>18</v>
      </c>
      <c r="AA25" s="618">
        <v>0</v>
      </c>
      <c r="AB25" s="517">
        <f>IF(AA25&lt;2700,AA25*0.0097,IF(AA25&lt;3200,AA25*0.01095,IF(AA25&lt;3700,AA25*0.0122,IF(AA25&gt;3699,AA25*0.01345,""))))</f>
        <v>0</v>
      </c>
      <c r="AC25" s="619">
        <v>18</v>
      </c>
      <c r="AD25" s="618">
        <v>0</v>
      </c>
      <c r="AE25" s="517">
        <f>IF(AD25&lt;2700,AD25*0.0097,IF(AD25&lt;3200,AD25*0.01095,IF(AD25&lt;3700,AD25*0.0122,IF(AD25&gt;3699,AD25*0.01345,""))))</f>
        <v>0</v>
      </c>
      <c r="AF25" s="619">
        <v>18</v>
      </c>
      <c r="AG25" s="618">
        <v>0</v>
      </c>
      <c r="AH25" s="517">
        <f>IF(AG25&lt;2700,AG25*0.0097,IF(AG25&lt;3200,AG25*0.01095,IF(AG25&lt;3700,AG25*0.0122,IF(AG25&gt;3699,AG25*0.01345,""))))</f>
        <v>0</v>
      </c>
      <c r="AI25" s="619">
        <v>18</v>
      </c>
      <c r="AJ25" s="579">
        <v>0</v>
      </c>
      <c r="AK25" s="517">
        <f>IF(AJ25&lt;2700,AJ25*0.0097,IF(AJ25&lt;3200,AJ25*0.01095,IF(AJ25&lt;3700,AJ25*0.0122,IF(AJ25&gt;3699,AJ25*0.01345,""))))</f>
        <v>0</v>
      </c>
      <c r="AL25" s="580">
        <v>18</v>
      </c>
      <c r="AM25" s="579">
        <v>0</v>
      </c>
      <c r="AN25" s="517">
        <f>IF(AM25&lt;2700,AM25*0.007,IF(AM25&lt;3200,AM25*0.008,IF(AM25&lt;3700,AM25*0.0097,IF(AM25&gt;3699,AM25*0.01095,""))))</f>
        <v>0</v>
      </c>
      <c r="AO25" s="580">
        <v>18</v>
      </c>
      <c r="AP25" s="579">
        <v>0</v>
      </c>
      <c r="AQ25" s="517">
        <f>IF(AP25&lt;2700,AP25*0.0097,IF(AP25&lt;3200,AP25*0.01095,IF(AP25&lt;3700,AP25*0.0122,IF(AP25&gt;3699,AP25*0.01345,""))))</f>
        <v>0</v>
      </c>
      <c r="AR25" s="580">
        <v>18</v>
      </c>
      <c r="AS25" s="579">
        <v>0</v>
      </c>
      <c r="AT25" s="517">
        <f>IF(AS25&lt;2700,AS25*0.007,IF(AS25&lt;3200,AS25*0.008,IF(AS25&lt;3700,AS25*0.0097,IF(AS25&gt;3699,AS25*0.01095,""))))</f>
        <v>0</v>
      </c>
      <c r="AU25" s="580">
        <v>18</v>
      </c>
      <c r="AV25" s="654"/>
      <c r="AW25" s="517">
        <f>IF(AV25&lt;2700,AV25*0.0097,IF(AV25&lt;3200,AV25*0.01095,IF(AV25&lt;3700,AV25*0.0122,IF(AV25&gt;3699,AV25*0.01345,""))))</f>
        <v>0</v>
      </c>
      <c r="AX25" s="599"/>
      <c r="AY25" s="654"/>
      <c r="AZ25" s="517">
        <f>IF(AY25&lt;2700,AY25*0.0097,IF(AY25&lt;3200,AY25*0.01095,IF(AY25&lt;3700,AY25*0.0122,IF(AY25&gt;3699,AY25*0.01345,""))))</f>
        <v>0</v>
      </c>
      <c r="BA25" s="599"/>
      <c r="BB25" s="463">
        <f t="shared" si="35"/>
        <v>0</v>
      </c>
      <c r="BC25" s="582">
        <f t="shared" si="35"/>
        <v>0</v>
      </c>
      <c r="BD25" s="465">
        <f>+H25+K25+N25+Q25+T25+W25+Z25+AC25+AF25+AI25+AL25+AO25+AR25+AU25+AX25+BA25</f>
        <v>260</v>
      </c>
      <c r="BE25" s="587"/>
      <c r="BF25" s="637">
        <f t="shared" si="36"/>
        <v>260</v>
      </c>
      <c r="BG25" s="620">
        <v>0</v>
      </c>
      <c r="BH25" s="517">
        <f>IF(BG25&lt;2700,BG25*0.007,IF(BG25&lt;3200,BG25*0.008,IF(BG25&lt;3700,BG25*0.0097,IF(BG25&gt;3699,BG25*0.01095,""))))</f>
        <v>0</v>
      </c>
      <c r="BI25" s="580">
        <v>18</v>
      </c>
      <c r="BJ25" s="620">
        <v>0</v>
      </c>
      <c r="BK25" s="517">
        <f>IF(BJ25&lt;2700,BJ25*0.0097,IF(BJ25&lt;3200,BJ25*0.01095,IF(BJ25&lt;3700,BJ25*0.0122,IF(BJ25&gt;3699,BJ25*0.01345,""))))</f>
        <v>0</v>
      </c>
      <c r="BL25" s="580">
        <v>18</v>
      </c>
      <c r="BM25" s="618">
        <v>3126.0301507537688</v>
      </c>
      <c r="BN25" s="517">
        <f>IF(BM25&lt;2700,BM25*0.007,IF(BM25&lt;3200,BM25*0.008,IF(BM25&lt;3700,BM25*0.0097,IF(BM25&gt;3699,BM25*0.01095,""))))</f>
        <v>25.008241206030149</v>
      </c>
      <c r="BO25" s="599"/>
      <c r="BP25" s="618">
        <v>2573.1859296482412</v>
      </c>
      <c r="BQ25" s="517">
        <f>IF(BP25&lt;2700,BP25*0.007,IF(BP25&lt;3200,BP25*0.008,IF(BP25&lt;3700,BP25*0.0097,IF(BP25&gt;3699,BP25*0.01095,""))))</f>
        <v>18.012301507537689</v>
      </c>
      <c r="BR25" s="599"/>
      <c r="BS25" s="618">
        <v>2940.78391959799</v>
      </c>
      <c r="BT25" s="517">
        <f>IF(BS25&lt;2700,BS25*0.008,IF(BS25&lt;3200,BS25*0.0097,IF(BS25&lt;3700,BS25*0.01095,IF(BS25&gt;3699,BS25*0.0122,""))))</f>
        <v>28.525604020100506</v>
      </c>
      <c r="BU25" s="599"/>
      <c r="BV25" s="618">
        <v>2406.2713567839196</v>
      </c>
      <c r="BW25" s="517">
        <f>IF(BV25&lt;2700,BV25*0.008,IF(BV25&lt;3200,BV25*0.0097,IF(BV25&lt;3700,BV25*0.01095,IF(BV25&gt;3699,BV25*0.0122,""))))</f>
        <v>19.250170854271357</v>
      </c>
      <c r="BX25" s="599"/>
      <c r="BY25" s="618">
        <v>0</v>
      </c>
      <c r="BZ25" s="585">
        <f>IF(BY25&lt;2700,BY25*0.0097,IF(BY25&lt;3200,BY25*0.01095,IF(BY25&lt;3700,BY25*0.0122,IF(BY25&gt;3699,BY25*0.01345,""))))</f>
        <v>0</v>
      </c>
      <c r="CA25" s="599"/>
      <c r="CB25" s="654">
        <v>0</v>
      </c>
      <c r="CC25" s="517">
        <f>IF(CB25&lt;2700,CB25*0.0097,IF(CB25&lt;3200,CB25*0.01095,IF(CB25&lt;3700,CB25*0.0122,IF(CB25&gt;3699,CB25*0.01345,""))))</f>
        <v>0</v>
      </c>
      <c r="CD25" s="619">
        <v>0</v>
      </c>
      <c r="CE25" s="618">
        <v>3016.0402010050248</v>
      </c>
      <c r="CF25" s="517">
        <f>IF(CE25&lt;2700,CE25*0.008,IF(CE25&lt;3200,CE25*0.0097,IF(CE25&lt;3700,CE25*0.01095,IF(CE25&gt;3699,CE25*0.0122,""))))</f>
        <v>29.255589949748742</v>
      </c>
      <c r="CG25" s="599"/>
      <c r="CH25" s="654">
        <v>0</v>
      </c>
      <c r="CI25" s="517">
        <f>IF(CH25&lt;2700,CH25*0.0097,IF(CH25&lt;3200,CH25*0.01095,IF(CH25&lt;3700,CH25*0.0122,IF(CH25&gt;3699,CH25*0.01345,""))))</f>
        <v>0</v>
      </c>
      <c r="CJ25" s="619">
        <v>0</v>
      </c>
      <c r="CK25" s="654">
        <v>0</v>
      </c>
      <c r="CL25" s="517">
        <f>IF(CK25&lt;2700,CK25*0.0097,IF(CK25&lt;3200,CK25*0.01095,IF(CK25&lt;3700,CK25*0.0122,IF(CK25&gt;3699,CK25*0.01345,""))))</f>
        <v>0</v>
      </c>
      <c r="CM25" s="619">
        <v>0</v>
      </c>
      <c r="CN25" s="620">
        <v>0</v>
      </c>
      <c r="CO25" s="517">
        <f>IF(CN25&lt;2700,CN25*0.0097,IF(CN25&lt;3200,CN25*0.01095,IF(CN25&lt;3700,CN25*0.0122,IF(CN25&gt;3699,CN25*0.01345,""))))</f>
        <v>0</v>
      </c>
      <c r="CP25" s="619"/>
      <c r="CQ25" s="620">
        <v>0</v>
      </c>
      <c r="CR25" s="517">
        <f>IF(CQ25&lt;2700,CQ25*0.0097,IF(CQ25&lt;3200,CQ25*0.01095,IF(CQ25&lt;3700,CQ25*0.0122,IF(CQ25&gt;3699,CQ25*0.01345,""))))</f>
        <v>0</v>
      </c>
      <c r="CS25" s="599"/>
      <c r="CT25" s="551">
        <f t="shared" si="37"/>
        <v>14062.311557788944</v>
      </c>
      <c r="CU25" s="552">
        <f t="shared" si="37"/>
        <v>120.05190753768844</v>
      </c>
      <c r="CV25" s="553">
        <f t="shared" si="38"/>
        <v>36</v>
      </c>
      <c r="CW25" s="587"/>
      <c r="CX25" s="554">
        <f t="shared" si="39"/>
        <v>156.05190753768844</v>
      </c>
      <c r="CY25" s="588">
        <f t="shared" si="40"/>
        <v>14062.311557788944</v>
      </c>
      <c r="CZ25" s="589">
        <f t="shared" si="40"/>
        <v>120.05190753768844</v>
      </c>
      <c r="DA25" s="590">
        <f t="shared" si="40"/>
        <v>296</v>
      </c>
      <c r="DB25" s="591">
        <f t="shared" si="41"/>
        <v>416.05190753768841</v>
      </c>
      <c r="DC25" s="192" t="s">
        <v>565</v>
      </c>
    </row>
    <row r="26" spans="1:148" ht="15.75" customHeight="1" x14ac:dyDescent="0.25">
      <c r="A26" s="572">
        <f t="shared" si="42"/>
        <v>17</v>
      </c>
      <c r="B26" s="656" t="s">
        <v>109</v>
      </c>
      <c r="C26" s="657" t="s">
        <v>568</v>
      </c>
      <c r="D26" s="658" t="s">
        <v>570</v>
      </c>
      <c r="E26" s="659" t="s">
        <v>571</v>
      </c>
      <c r="F26" s="579">
        <v>0</v>
      </c>
      <c r="G26" s="517">
        <f>IF(F26&lt;2700,F26*0.0097,IF(F26&lt;3200,F26*0.01095,IF(F26&lt;3700,F26*0.0122,IF(F26&gt;3699,F26*0.01345,""))))</f>
        <v>0</v>
      </c>
      <c r="H26" s="580">
        <v>20</v>
      </c>
      <c r="I26" s="579">
        <v>2637.8291457286432</v>
      </c>
      <c r="J26" s="517">
        <f>IF(I26&lt;2700,I26*0.007,IF(I26&lt;3200,I26*0.008,IF(I26&lt;3700,I26*0.0097,IF(I26&gt;3699,I26*0.01095,""))))</f>
        <v>18.464804020100502</v>
      </c>
      <c r="K26" s="580">
        <f>35-J26</f>
        <v>16.535195979899498</v>
      </c>
      <c r="L26" s="579">
        <v>4248.1206030150761</v>
      </c>
      <c r="M26" s="517">
        <f>IF(L26&lt;2700,L26*0.007,IF(L26&lt;3200,L26*0.008,IF(L26&lt;3700,L26*0.0097,IF(L26&gt;3699,L26*0.01095,""))))</f>
        <v>46.51692060301508</v>
      </c>
      <c r="N26" s="580"/>
      <c r="O26" s="620"/>
      <c r="P26" s="517">
        <f>IF(O26&lt;2700,O26*0.0097,IF(O26&lt;3200,O26*0.01095,IF(O26&lt;3700,O26*0.0122,IF(O26&gt;3699,O26*0.01345,""))))</f>
        <v>0</v>
      </c>
      <c r="Q26" s="580"/>
      <c r="R26" s="579">
        <v>4727.6381909547736</v>
      </c>
      <c r="S26" s="517">
        <f>IF(R26&lt;2700,R26*0.007,IF(R26&lt;3200,R26*0.008,IF(R26&lt;3700,R26*0.0097,IF(R26&gt;3699,R26*0.01095,""))))</f>
        <v>51.76763819095477</v>
      </c>
      <c r="T26" s="580"/>
      <c r="U26" s="579">
        <v>4166.1105527638192</v>
      </c>
      <c r="V26" s="517">
        <f>IF(U26&lt;2700,U26*0.007,IF(U26&lt;3200,U26*0.008,IF(U26&lt;3700,U26*0.0097,IF(U26&gt;3699,U26*0.01095,""))))</f>
        <v>45.618910552763822</v>
      </c>
      <c r="W26" s="580"/>
      <c r="X26" s="620">
        <v>2938.854271356784</v>
      </c>
      <c r="Y26" s="517">
        <f>IF(X26&lt;2700,X26*0.007,IF(X26&lt;3200,X26*0.008,IF(X26&lt;3700,X26*0.0097,IF(X26&gt;3699,X26*0.01095,""))))</f>
        <v>23.510834170854274</v>
      </c>
      <c r="Z26" s="580"/>
      <c r="AA26" s="620">
        <v>2958.633165829146</v>
      </c>
      <c r="AB26" s="517">
        <f>IF(AA26&lt;2700,AA26*0.007,IF(AA26&lt;3200,AA26*0.008,IF(AA26&lt;3700,AA26*0.0097,IF(AA26&gt;3699,AA26*0.01095,""))))</f>
        <v>23.66906532663317</v>
      </c>
      <c r="AC26" s="580"/>
      <c r="AD26" s="579">
        <v>7528.0402010050257</v>
      </c>
      <c r="AE26" s="517">
        <f>IF(AD26&lt;2700,AD26*0.007,IF(AD26&lt;3200,AD26*0.008,IF(AD26&lt;3700,AD26*0.0097,IF(AD26&gt;3699,AD26*0.01095,""))))</f>
        <v>82.432040201005023</v>
      </c>
      <c r="AF26" s="580"/>
      <c r="AG26" s="579">
        <v>0</v>
      </c>
      <c r="AH26" s="517">
        <f>IF(AG26&lt;2700,AG26*0.0097,IF(AG26&lt;3200,AG26*0.01095,IF(AG26&lt;3700,AG26*0.0122,IF(AG26&gt;3699,AG26*0.01345,""))))</f>
        <v>0</v>
      </c>
      <c r="AI26" s="580"/>
      <c r="AJ26" s="579">
        <v>4030.0703517587935</v>
      </c>
      <c r="AK26" s="517">
        <f>IF(AJ26&lt;2700,AJ26*0.007,IF(AJ26&lt;3200,AJ26*0.008,IF(AJ26&lt;3700,AJ26*0.0097,IF(AJ26&gt;3699,AJ26*0.01095,""))))</f>
        <v>44.129270351758791</v>
      </c>
      <c r="AL26" s="580"/>
      <c r="AM26" s="579">
        <v>3839.0351758793968</v>
      </c>
      <c r="AN26" s="517">
        <f>IF(AM26&lt;2700,AM26*0.007,IF(AM26&lt;3200,AM26*0.008,IF(AM26&lt;3700,AM26*0.0097,IF(AM26&gt;3699,AM26*0.01095,""))))</f>
        <v>42.037435175879395</v>
      </c>
      <c r="AO26" s="580"/>
      <c r="AP26" s="620">
        <v>0</v>
      </c>
      <c r="AQ26" s="517">
        <f>IF(AP26&lt;2700,AP26*0.0097,IF(AP26&lt;3200,AP26*0.01095,IF(AP26&lt;3700,AP26*0.0122,IF(AP26&gt;3699,AP26*0.01345,""))))</f>
        <v>0</v>
      </c>
      <c r="AR26" s="580">
        <v>12</v>
      </c>
      <c r="AS26" s="579">
        <v>4484.9849246231161</v>
      </c>
      <c r="AT26" s="517">
        <f>IF(AS26&lt;2700,AS26*0.007,IF(AS26&lt;3200,AS26*0.008,IF(AS26&lt;3700,AS26*0.0097,IF(AS26&gt;3699,AS26*0.01095,""))))</f>
        <v>49.110584924623119</v>
      </c>
      <c r="AU26" s="580"/>
      <c r="AV26" s="620"/>
      <c r="AW26" s="517">
        <f>IF(AV26&lt;2700,AV26*0.0097,IF(AV26&lt;3200,AV26*0.01095,IF(AV26&lt;3700,AV26*0.0122,IF(AV26&gt;3699,AV26*0.01345,""))))</f>
        <v>0</v>
      </c>
      <c r="AX26" s="580"/>
      <c r="AY26" s="620"/>
      <c r="AZ26" s="517">
        <f>IF(AY26&lt;2700,AY26*0.0097,IF(AY26&lt;3200,AY26*0.01095,IF(AY26&lt;3700,AY26*0.0122,IF(AY26&gt;3699,AY26*0.01345,""))))</f>
        <v>0</v>
      </c>
      <c r="BA26" s="580"/>
      <c r="BB26" s="581">
        <f t="shared" si="35"/>
        <v>41559.316582914573</v>
      </c>
      <c r="BC26" s="582">
        <f t="shared" si="35"/>
        <v>427.25750351758796</v>
      </c>
      <c r="BD26" s="465">
        <f t="shared" si="35"/>
        <v>48.535195979899498</v>
      </c>
      <c r="BE26" s="587"/>
      <c r="BF26" s="637">
        <f t="shared" si="36"/>
        <v>475.79269949748743</v>
      </c>
      <c r="BG26" s="620">
        <v>3574.1909547738692</v>
      </c>
      <c r="BH26" s="517">
        <f>IF(BG26&lt;2700,BG26*0.007,IF(BG26&lt;3200,BG26*0.008,IF(BG26&lt;3700,BG26*0.0097,IF(BG26&gt;3699,BG26*0.01095,""))))</f>
        <v>34.669652261306531</v>
      </c>
      <c r="BI26" s="580"/>
      <c r="BJ26" s="620">
        <v>0</v>
      </c>
      <c r="BK26" s="517">
        <f>IF(BJ26&lt;2700,BJ26*0.0097,IF(BJ26&lt;3200,BJ26*0.01095,IF(BJ26&lt;3700,BJ26*0.0122,IF(BJ26&gt;3699,BJ26*0.01345,""))))</f>
        <v>0</v>
      </c>
      <c r="BL26" s="580">
        <v>0</v>
      </c>
      <c r="BM26" s="579">
        <v>2417.849246231156</v>
      </c>
      <c r="BN26" s="517">
        <f>IF(BM26&lt;2700,BM26*0.007,IF(BM26&lt;3200,BM26*0.008,IF(BM26&lt;3700,BM26*0.0097,IF(BM26&gt;3699,BM26*0.01095,""))))</f>
        <v>16.924944723618093</v>
      </c>
      <c r="BO26" s="580"/>
      <c r="BP26" s="579">
        <v>2535.075376884422</v>
      </c>
      <c r="BQ26" s="517">
        <f>IF(BP26&lt;2700,BP26*0.007,IF(BP26&lt;3200,BP26*0.008,IF(BP26&lt;3700,BP26*0.0097,IF(BP26&gt;3699,BP26*0.01095,""))))</f>
        <v>17.745527638190953</v>
      </c>
      <c r="BR26" s="580"/>
      <c r="BS26" s="579">
        <v>2651.8190954773868</v>
      </c>
      <c r="BT26" s="517">
        <f>IF(BS26&lt;2700,BS26*0.007,IF(BS26&lt;3200,BS26*0.008,IF(BS26&lt;3700,BS26*0.0097,IF(BS26&gt;3699,BS26*0.01095,""))))</f>
        <v>18.562733668341707</v>
      </c>
      <c r="BU26" s="580"/>
      <c r="BV26" s="579">
        <v>2339.21608040201</v>
      </c>
      <c r="BW26" s="517">
        <f>IF(BV26&lt;2700,BV26*0.007,IF(BV26&lt;3200,BV26*0.008,IF(BV26&lt;3700,BV26*0.0097,IF(BV26&gt;3699,BV26*0.01095,""))))</f>
        <v>16.374512562814072</v>
      </c>
      <c r="BX26" s="580"/>
      <c r="BY26" s="579">
        <v>1100.3819095477386</v>
      </c>
      <c r="BZ26" s="517">
        <f>IF(BY26&lt;2700,BY26*0.007,IF(BY26&lt;3200,BY26*0.008,IF(BY26&lt;3700,BY26*0.0097,IF(BY26&gt;3699,BY26*0.01095,""))))</f>
        <v>7.70267336683417</v>
      </c>
      <c r="CA26" s="580"/>
      <c r="CB26" s="620">
        <v>0</v>
      </c>
      <c r="CC26" s="517">
        <f>IF(CB26&lt;2700,CB26*0.0097,IF(CB26&lt;3200,CB26*0.01095,IF(CB26&lt;3700,CB26*0.0122,IF(CB26&gt;3699,CB26*0.01345,""))))</f>
        <v>0</v>
      </c>
      <c r="CD26" s="580">
        <v>0</v>
      </c>
      <c r="CE26" s="579">
        <v>2947.0552763819092</v>
      </c>
      <c r="CF26" s="517">
        <f>IF(CE26&lt;2700,CE26*0.007,IF(CE26&lt;3200,CE26*0.008,IF(CE26&lt;3700,CE26*0.0097,IF(CE26&gt;3699,CE26*0.01095,""))))</f>
        <v>23.576442211055273</v>
      </c>
      <c r="CG26" s="580"/>
      <c r="CH26" s="620">
        <v>0</v>
      </c>
      <c r="CI26" s="517">
        <f>IF(CH26&lt;2700,CH26*0.0097,IF(CH26&lt;3200,CH26*0.01095,IF(CH26&lt;3700,CH26*0.0122,IF(CH26&gt;3699,CH26*0.01345,""))))</f>
        <v>0</v>
      </c>
      <c r="CJ26" s="580"/>
      <c r="CK26" s="620">
        <v>0</v>
      </c>
      <c r="CL26" s="517">
        <f>IF(CK26&lt;2700,CK26*0.0097,IF(CK26&lt;3200,CK26*0.01095,IF(CK26&lt;3700,CK26*0.0122,IF(CK26&gt;3699,CK26*0.01345,""))))</f>
        <v>0</v>
      </c>
      <c r="CM26" s="580"/>
      <c r="CN26" s="620">
        <v>0</v>
      </c>
      <c r="CO26" s="517">
        <f>IF(CN26&lt;2700,CN26*0.0097,IF(CN26&lt;3200,CN26*0.01095,IF(CN26&lt;3700,CN26*0.0122,IF(CN26&gt;3699,CN26*0.01345,""))))</f>
        <v>0</v>
      </c>
      <c r="CP26" s="580"/>
      <c r="CQ26" s="620">
        <v>0</v>
      </c>
      <c r="CR26" s="517">
        <f>IF(CQ26&lt;2700,CQ26*0.0097,IF(CQ26&lt;3200,CQ26*0.01095,IF(CQ26&lt;3700,CQ26*0.0122,IF(CQ26&gt;3699,CQ26*0.01345,""))))</f>
        <v>0</v>
      </c>
      <c r="CS26" s="580"/>
      <c r="CT26" s="551">
        <f t="shared" si="37"/>
        <v>17565.587939698493</v>
      </c>
      <c r="CU26" s="552">
        <f t="shared" si="37"/>
        <v>135.5564864321608</v>
      </c>
      <c r="CV26" s="553">
        <f t="shared" si="38"/>
        <v>0</v>
      </c>
      <c r="CW26" s="587"/>
      <c r="CX26" s="554">
        <f t="shared" si="39"/>
        <v>135.5564864321608</v>
      </c>
      <c r="CY26" s="588">
        <f t="shared" si="40"/>
        <v>59124.904522613069</v>
      </c>
      <c r="CZ26" s="589">
        <f t="shared" si="40"/>
        <v>562.8139899497487</v>
      </c>
      <c r="DA26" s="590">
        <f t="shared" si="40"/>
        <v>48.535195979899498</v>
      </c>
      <c r="DB26" s="591">
        <f t="shared" si="41"/>
        <v>611.34918592964823</v>
      </c>
      <c r="DC26" s="452"/>
    </row>
    <row r="27" spans="1:148" ht="15.75" customHeight="1" thickBot="1" x14ac:dyDescent="0.3">
      <c r="A27" s="572">
        <f t="shared" si="42"/>
        <v>18</v>
      </c>
      <c r="B27" s="634" t="s">
        <v>55</v>
      </c>
      <c r="C27" s="657" t="s">
        <v>568</v>
      </c>
      <c r="D27" s="635" t="s">
        <v>572</v>
      </c>
      <c r="E27" s="636" t="s">
        <v>573</v>
      </c>
      <c r="F27" s="579">
        <v>0</v>
      </c>
      <c r="G27" s="517">
        <f>IF(F27&lt;2700,F27*0.0101,IF(F27&lt;3200,F27*0.01135,IF(F27&lt;3700,F27*0.0126,IF(F27&gt;3699,F27*0.01385,""))))</f>
        <v>0</v>
      </c>
      <c r="H27" s="660">
        <v>18</v>
      </c>
      <c r="I27" s="579">
        <v>2535.0753768844215</v>
      </c>
      <c r="J27" s="517">
        <f>IF(I27&lt;2700,I27*0.0075,IF(I27&lt;3200,I27*0.009,IF(I27&lt;3700,I27*0.0101,IF(I27&gt;3699,I27*0.01135,""))))</f>
        <v>19.013065326633161</v>
      </c>
      <c r="K27" s="660"/>
      <c r="L27" s="579">
        <v>3418.3718592964824</v>
      </c>
      <c r="M27" s="517">
        <f>IF(L27&lt;2700,L27*0.0075,IF(L27&lt;3200,L27*0.009,IF(L27&lt;3700,L27*0.0101,IF(L27&gt;3699,L27*0.01135,""))))</f>
        <v>34.525555778894471</v>
      </c>
      <c r="N27" s="660"/>
      <c r="O27" s="620"/>
      <c r="P27" s="517">
        <f>IF(O27&lt;2700,O27*0.0101,IF(O27&lt;3200,O27*0.01135,IF(O27&lt;3700,O27*0.0126,IF(O27&gt;3699,O27*0.01385,""))))</f>
        <v>0</v>
      </c>
      <c r="Q27" s="660"/>
      <c r="R27" s="579">
        <v>3175.2361809045228</v>
      </c>
      <c r="S27" s="517">
        <f>IF(R27&lt;2700,R27*0.0075,IF(R27&lt;3200,R27*0.009,IF(R27&lt;3700,R27*0.0101,IF(R27&gt;3699,R27*0.01135,""))))</f>
        <v>28.577125628140703</v>
      </c>
      <c r="T27" s="660"/>
      <c r="U27" s="579">
        <v>2730.934673366834</v>
      </c>
      <c r="V27" s="517">
        <f>IF(U27&lt;2700,U27*0.0075,IF(U27&lt;3200,U27*0.009,IF(U27&lt;3700,U27*0.0101,IF(U27&gt;3699,U27*0.01135,""))))</f>
        <v>24.578412060301503</v>
      </c>
      <c r="W27" s="660"/>
      <c r="X27" s="620">
        <v>2272.1608040201004</v>
      </c>
      <c r="Y27" s="517">
        <f>IF(X27&lt;2700,X27*0.0075,IF(X27&lt;3200,X27*0.009,IF(X27&lt;3700,X27*0.0101,IF(X27&gt;3699,X27*0.01135,""))))</f>
        <v>17.041206030150754</v>
      </c>
      <c r="Z27" s="660"/>
      <c r="AA27" s="620">
        <v>1748.7437185929648</v>
      </c>
      <c r="AB27" s="517">
        <f>IF(AA27&lt;2700,AA27*0.0075,IF(AA27&lt;3200,AA27*0.009,IF(AA27&lt;3700,AA27*0.0101,IF(AA27&gt;3699,AA27*0.01135,""))))</f>
        <v>13.115577889447236</v>
      </c>
      <c r="AC27" s="660"/>
      <c r="AD27" s="579">
        <v>6174.3919597989943</v>
      </c>
      <c r="AE27" s="517">
        <f>IF(AD27&lt;2700,AD27*0.0075,IF(AD27&lt;3200,AD27*0.009,IF(AD27&lt;3700,AD27*0.0101,IF(AD27&gt;3699,AD27*0.01135,""))))</f>
        <v>70.079348743718583</v>
      </c>
      <c r="AF27" s="660"/>
      <c r="AG27" s="661">
        <v>0</v>
      </c>
      <c r="AH27" s="517">
        <f>IF(AG27&lt;2700,AG27*0.0101,IF(AG27&lt;3200,AG27*0.01135,IF(AG27&lt;3700,AG27*0.0126,IF(AG27&gt;3699,AG27*0.01385,""))))</f>
        <v>0</v>
      </c>
      <c r="AI27" s="660"/>
      <c r="AJ27" s="579">
        <v>3792.7236180904524</v>
      </c>
      <c r="AK27" s="517">
        <f>IF(AJ27&lt;2700,AJ27*0.0075,IF(AJ27&lt;3200,AJ27*0.009,IF(AJ27&lt;3700,AJ27*0.0101,IF(AJ27&gt;3699,AJ27*0.01135,""))))</f>
        <v>43.047413065326637</v>
      </c>
      <c r="AL27" s="660"/>
      <c r="AM27" s="579">
        <v>2992.4020100502516</v>
      </c>
      <c r="AN27" s="517">
        <f>IF(AM27&lt;2700,AM27*0.0075,IF(AM27&lt;3200,AM27*0.009,IF(AM27&lt;3700,AM27*0.0101,IF(AM27&gt;3699,AM27*0.01135,""))))</f>
        <v>26.931618090452261</v>
      </c>
      <c r="AO27" s="660"/>
      <c r="AP27" s="578">
        <v>0</v>
      </c>
      <c r="AQ27" s="517">
        <f>IF(AP27&lt;2700,AP27*0.0101,IF(AP27&lt;3200,AP27*0.01135,IF(AP27&lt;3700,AP27*0.0126,IF(AP27&gt;3699,AP27*0.01385,""))))</f>
        <v>0</v>
      </c>
      <c r="AR27" s="517">
        <v>16</v>
      </c>
      <c r="AS27" s="579">
        <v>3699.1356783919596</v>
      </c>
      <c r="AT27" s="517">
        <f>IF(AS27&lt;2700,AS27*0.0075,IF(AS27&lt;3200,AS27*0.009,IF(AS27&lt;3700,AS27*0.0101,IF(AS27&gt;3699,AS27*0.01135,""))))</f>
        <v>37.36127035175879</v>
      </c>
      <c r="AU27" s="660"/>
      <c r="AV27" s="620"/>
      <c r="AW27" s="517">
        <f>IF(AV27&lt;2700,AV27*0.0101,IF(AV27&lt;3200,AV27*0.01135,IF(AV27&lt;3700,AV27*0.0126,IF(AV27&gt;3699,AV27*0.01385,""))))</f>
        <v>0</v>
      </c>
      <c r="AX27" s="660"/>
      <c r="AY27" s="620"/>
      <c r="AZ27" s="517">
        <f>IF(AY27&lt;2700,AY27*0.0101,IF(AY27&lt;3200,AY27*0.01135,IF(AY27&lt;3700,AY27*0.0126,IF(AY27&gt;3699,AY27*0.01385,""))))</f>
        <v>0</v>
      </c>
      <c r="BA27" s="660"/>
      <c r="BB27" s="581">
        <f t="shared" si="35"/>
        <v>32539.175879396982</v>
      </c>
      <c r="BC27" s="582">
        <f t="shared" si="35"/>
        <v>314.27059296482406</v>
      </c>
      <c r="BD27" s="465">
        <f t="shared" si="35"/>
        <v>34</v>
      </c>
      <c r="BE27" s="583"/>
      <c r="BF27" s="584">
        <f t="shared" si="36"/>
        <v>348.27059296482406</v>
      </c>
      <c r="BG27" s="620">
        <v>0</v>
      </c>
      <c r="BH27" s="517">
        <f>IF(BG27&lt;2700,BG27*0.0101,IF(BG27&lt;3200,BG27*0.01135,IF(BG27&lt;3700,BG27*0.0126,IF(BG27&gt;3699,BG27*0.01385,""))))</f>
        <v>0</v>
      </c>
      <c r="BI27" s="660"/>
      <c r="BJ27" s="620">
        <v>0</v>
      </c>
      <c r="BK27" s="517">
        <f>IF(BJ27&lt;2700,BJ27*0.0101,IF(BJ27&lt;3200,BJ27*0.01135,IF(BJ27&lt;3700,BJ27*0.0126,IF(BJ27&gt;3699,BJ27*0.01385,""))))</f>
        <v>0</v>
      </c>
      <c r="BL27" s="660">
        <v>0</v>
      </c>
      <c r="BM27" s="579">
        <v>2417.849246231156</v>
      </c>
      <c r="BN27" s="517">
        <f>IF(BM27&lt;2700,BM27*0.0075,IF(BM27&lt;3200,BM27*0.009,IF(BM27&lt;3700,BM27*0.0101,IF(BM27&gt;3699,BM27*0.01135,""))))</f>
        <v>18.133869346733668</v>
      </c>
      <c r="BO27" s="660"/>
      <c r="BP27" s="579">
        <v>2535.075376884422</v>
      </c>
      <c r="BQ27" s="517">
        <f>IF(BP27&lt;2700,BP27*0.0075,IF(BP27&lt;3200,BP27*0.009,IF(BP27&lt;3700,BP27*0.0101,IF(BP27&gt;3699,BP27*0.01135,""))))</f>
        <v>19.013065326633164</v>
      </c>
      <c r="BR27" s="660"/>
      <c r="BS27" s="579">
        <v>2651.8190954773868</v>
      </c>
      <c r="BT27" s="517">
        <f>IF(BS27&lt;2700,BS27*0.0075,IF(BS27&lt;3200,BS27*0.009,IF(BS27&lt;3700,BS27*0.0101,IF(BS27&gt;3699,BS27*0.01135,""))))</f>
        <v>19.8886432160804</v>
      </c>
      <c r="BU27" s="660"/>
      <c r="BV27" s="579">
        <v>2339.21608040201</v>
      </c>
      <c r="BW27" s="517">
        <f>IF(BV27&lt;2700,BV27*0.0075,IF(BV27&lt;3200,BV27*0.009,IF(BV27&lt;3700,BV27*0.0101,IF(BV27&gt;3699,BV27*0.01135,""))))</f>
        <v>17.544120603015074</v>
      </c>
      <c r="BX27" s="660"/>
      <c r="BY27" s="579">
        <v>1100.3819095477386</v>
      </c>
      <c r="BZ27" s="517">
        <f>IF(BY27&lt;2700,BY27*0.0075,IF(BY27&lt;3200,BY27*0.009,IF(BY27&lt;3700,BY27*0.0101,IF(BY27&gt;3699,BY27*0.01135,""))))</f>
        <v>8.2528643216080386</v>
      </c>
      <c r="CA27" s="660"/>
      <c r="CB27" s="620">
        <v>0</v>
      </c>
      <c r="CC27" s="517">
        <f>IF(CB27&lt;2700,CB27*0.0101,IF(CB27&lt;3200,CB27*0.01135,IF(CB27&lt;3700,CB27*0.0126,IF(CB27&gt;3699,CB27*0.01385,""))))</f>
        <v>0</v>
      </c>
      <c r="CD27" s="660">
        <v>10</v>
      </c>
      <c r="CE27" s="579">
        <v>0</v>
      </c>
      <c r="CF27" s="517">
        <f>IF(CE27&lt;2700,CE27*0.0101,IF(CE27&lt;3200,CE27*0.01135,IF(CE27&lt;3700,CE27*0.0126,IF(CE27&gt;3699,CE27*0.01385,""))))</f>
        <v>0</v>
      </c>
      <c r="CG27" s="660"/>
      <c r="CH27" s="620">
        <v>0</v>
      </c>
      <c r="CI27" s="662">
        <f>IF(CH27&lt;2700,CH27*0.0101,IF(CH27&lt;3200,CH27*0.01135,IF(CH27&lt;3700,CH27*0.0126,IF(CH27&gt;3699,CH27*0.01385,""))))</f>
        <v>0</v>
      </c>
      <c r="CJ27" s="660"/>
      <c r="CK27" s="620">
        <v>0</v>
      </c>
      <c r="CL27" s="517">
        <f>IF(CK27&lt;2700,CK27*0.0101,IF(CK27&lt;3200,CK27*0.01135,IF(CK27&lt;3700,CK27*0.0126,IF(CK27&gt;3699,CK27*0.01385,""))))</f>
        <v>0</v>
      </c>
      <c r="CM27" s="660"/>
      <c r="CN27" s="578">
        <v>0</v>
      </c>
      <c r="CO27" s="517">
        <f>IF(CN27&lt;2700,CN27*0.0101,IF(CN27&lt;3200,CN27*0.01135,IF(CN27&lt;3700,CN27*0.0126,IF(CN27&gt;3699,CN27*0.01385,""))))</f>
        <v>0</v>
      </c>
      <c r="CP27" s="660"/>
      <c r="CQ27" s="578">
        <v>0</v>
      </c>
      <c r="CR27" s="517">
        <f>IF(CQ27&lt;2700,CQ27*0.0101,IF(CQ27&lt;3200,CQ27*0.01135,IF(CQ27&lt;3700,CQ27*0.0126,IF(CQ27&gt;3699,CQ27*0.01385,""))))</f>
        <v>0</v>
      </c>
      <c r="CS27" s="660"/>
      <c r="CT27" s="551">
        <f t="shared" si="37"/>
        <v>11044.341708542714</v>
      </c>
      <c r="CU27" s="552">
        <f t="shared" si="37"/>
        <v>82.832562814070343</v>
      </c>
      <c r="CV27" s="553">
        <f t="shared" si="38"/>
        <v>10</v>
      </c>
      <c r="CW27" s="587"/>
      <c r="CX27" s="554">
        <f t="shared" si="39"/>
        <v>92.832562814070343</v>
      </c>
      <c r="CY27" s="588">
        <f t="shared" si="40"/>
        <v>43583.517587939699</v>
      </c>
      <c r="CZ27" s="589">
        <f t="shared" si="40"/>
        <v>397.1031557788944</v>
      </c>
      <c r="DA27" s="590">
        <f t="shared" si="40"/>
        <v>44</v>
      </c>
      <c r="DB27" s="591">
        <f t="shared" si="41"/>
        <v>441.1031557788944</v>
      </c>
      <c r="DC27" s="192" t="s">
        <v>700</v>
      </c>
    </row>
    <row r="28" spans="1:148" s="452" customFormat="1" ht="15.75" customHeight="1" x14ac:dyDescent="0.25">
      <c r="A28" s="592">
        <f t="shared" si="42"/>
        <v>19</v>
      </c>
      <c r="B28" s="648" t="s">
        <v>65</v>
      </c>
      <c r="C28" s="663" t="s">
        <v>576</v>
      </c>
      <c r="D28" s="649" t="s">
        <v>577</v>
      </c>
      <c r="E28" s="650" t="s">
        <v>578</v>
      </c>
      <c r="F28" s="597">
        <v>0</v>
      </c>
      <c r="G28" s="598">
        <f>IF(F28&lt;2700,F28*0.01,IF(F28&lt;3200,F28*0.0105,IF(F28&lt;3700,F28*0.01175,IF(F28&gt;3699,F28*0.013,""))))</f>
        <v>0</v>
      </c>
      <c r="H28" s="525">
        <v>18</v>
      </c>
      <c r="I28" s="597">
        <v>2535.0753768844215</v>
      </c>
      <c r="J28" s="598">
        <f>IF(I28&lt;2700,I28*0.0085,IF(I28&lt;3200,I28*0.01,IF(I28&lt;3700,I28*0.0105,IF(I28&gt;3699,I28*0.01175,""))))</f>
        <v>21.548140703517586</v>
      </c>
      <c r="K28" s="525"/>
      <c r="L28" s="597">
        <v>3418.3718592964824</v>
      </c>
      <c r="M28" s="598">
        <f>IF(L28&lt;2700,L28*0.0085,IF(L28&lt;3200,L28*0.01,IF(L28&lt;3700,L28*0.0105,IF(L28&gt;3699,L28*0.01175,""))))</f>
        <v>35.892904522613065</v>
      </c>
      <c r="N28" s="525"/>
      <c r="O28" s="609"/>
      <c r="P28" s="598">
        <f>IF(O28&lt;2700,O28*0.0105,IF(O28&lt;3200,O28*0.01175,IF(O28&lt;3700,O28*0.013,IF(O28&gt;3699,O28*0.01425,""))))</f>
        <v>0</v>
      </c>
      <c r="Q28" s="525"/>
      <c r="R28" s="597">
        <v>3494.1105527638188</v>
      </c>
      <c r="S28" s="598">
        <f>IF(R28&lt;2700,R28*0.0085,IF(R28&lt;3200,R28*0.01,IF(R28&lt;3700,R28*0.0105,IF(R28&gt;3699,R28*0.01175,""))))</f>
        <v>36.6881608040201</v>
      </c>
      <c r="T28" s="525"/>
      <c r="U28" s="597">
        <v>2730.934673366834</v>
      </c>
      <c r="V28" s="598">
        <f>IF(U28&lt;2700,U28*0.0085,IF(U28&lt;3200,U28*0.01,IF(U28&lt;3700,U28*0.0105,IF(U28&gt;3699,U28*0.01175,""))))</f>
        <v>27.309346733668342</v>
      </c>
      <c r="W28" s="525"/>
      <c r="X28" s="609">
        <v>2272.1608040201004</v>
      </c>
      <c r="Y28" s="598">
        <f>IF(X28&lt;2700,X28*0.0085,IF(X28&lt;3200,X28*0.01,IF(X28&lt;3700,X28*0.0105,IF(X28&gt;3699,X28*0.01175,""))))</f>
        <v>19.313366834170854</v>
      </c>
      <c r="Z28" s="525"/>
      <c r="AA28" s="609">
        <v>1748.7437185929648</v>
      </c>
      <c r="AB28" s="598">
        <f>IF(AA28&lt;2700,AA28*0.0085,IF(AA28&lt;3200,AA28*0.01,IF(AA28&lt;3700,AA28*0.0105,IF(AA28&gt;3699,AA28*0.01175,""))))</f>
        <v>14.864321608040202</v>
      </c>
      <c r="AC28" s="525"/>
      <c r="AD28" s="597">
        <v>6174.3919597989943</v>
      </c>
      <c r="AE28" s="598">
        <f>IF(AD28&lt;2700,AD28*0.0085,IF(AD28&lt;3200,AD28*0.01,IF(AD28&lt;3700,AD28*0.0105,IF(AD28&gt;3699,AD28*0.01175,""))))</f>
        <v>72.54910552763819</v>
      </c>
      <c r="AF28" s="525"/>
      <c r="AG28" s="602">
        <v>0</v>
      </c>
      <c r="AH28" s="598">
        <f>IF(AG28&lt;2700,AG28*0.0105,IF(AG28&lt;3200,AG28*0.01175,IF(AG28&lt;3700,AG28*0.013,IF(AG28&gt;3699,AG28*0.01425,""))))</f>
        <v>0</v>
      </c>
      <c r="AI28" s="525"/>
      <c r="AJ28" s="597">
        <v>3792.7236180904524</v>
      </c>
      <c r="AK28" s="598">
        <f>IF(AJ28&lt;2700,AJ28*0.0085,IF(AJ28&lt;3200,AJ28*0.01,IF(AJ28&lt;3700,AJ28*0.0105,IF(AJ28&gt;3699,AJ28*0.01175,""))))</f>
        <v>44.564502512562818</v>
      </c>
      <c r="AL28" s="525"/>
      <c r="AM28" s="597">
        <v>2992.4020100502516</v>
      </c>
      <c r="AN28" s="598">
        <f>IF(AM28&lt;2700,AM28*0.0085,IF(AM28&lt;3200,AM28*0.01,IF(AM28&lt;3700,AM28*0.0105,IF(AM28&gt;3699,AM28*0.01175,""))))</f>
        <v>29.924020100502517</v>
      </c>
      <c r="AO28" s="525"/>
      <c r="AP28" s="609">
        <v>0</v>
      </c>
      <c r="AQ28" s="598">
        <f>IF(AP28&lt;2700,AP28*0.0105,IF(AP28&lt;3200,AP28*0.01175,IF(AP28&lt;3700,AP28*0.013,IF(AP28&gt;3699,AP28*0.01425,""))))</f>
        <v>0</v>
      </c>
      <c r="AR28" s="599">
        <v>16</v>
      </c>
      <c r="AS28" s="597">
        <v>3699.1356783919596</v>
      </c>
      <c r="AT28" s="598">
        <f>IF(AS28&lt;2700,AS28*0.0085,IF(AS28&lt;3200,AS28*0.01,IF(AS28&lt;3700,AS28*0.0105,IF(AS28&gt;3699,AS28*0.01175,""))))</f>
        <v>38.840924623115576</v>
      </c>
      <c r="AU28" s="525"/>
      <c r="AV28" s="609"/>
      <c r="AW28" s="598">
        <f>IF(AV28&lt;2700,AV28*0.0105,IF(AV28&lt;3200,AV28*0.01175,IF(AV28&lt;3700,AV28*0.013,IF(AV28&gt;3699,AV28*0.01425,""))))</f>
        <v>0</v>
      </c>
      <c r="AX28" s="525"/>
      <c r="AY28" s="609"/>
      <c r="AZ28" s="598">
        <f>IF(AY28&lt;2700,AY28*0.0105,IF(AY28&lt;3200,AY28*0.01175,IF(AY28&lt;3700,AY28*0.013,IF(AY28&gt;3699,AY28*0.01425,""))))</f>
        <v>0</v>
      </c>
      <c r="BA28" s="525"/>
      <c r="BB28" s="651">
        <f t="shared" si="35"/>
        <v>32858.050251256282</v>
      </c>
      <c r="BC28" s="664">
        <f t="shared" si="35"/>
        <v>341.49479396984924</v>
      </c>
      <c r="BD28" s="665">
        <f t="shared" si="35"/>
        <v>34</v>
      </c>
      <c r="BE28" s="612"/>
      <c r="BF28" s="606">
        <f t="shared" si="36"/>
        <v>375.49479396984924</v>
      </c>
      <c r="BG28" s="609">
        <v>3354.6934673366832</v>
      </c>
      <c r="BH28" s="598">
        <f>IF(BG28&lt;2700,BG28*0.0085,IF(BG28&lt;3200,BG28*0.01,IF(BG28&lt;3700,BG28*0.0105,IF(BG28&gt;3699,BG28*0.01175,""))))</f>
        <v>35.224281407035178</v>
      </c>
      <c r="BI28" s="525"/>
      <c r="BJ28" s="609">
        <v>0</v>
      </c>
      <c r="BK28" s="598">
        <f>IF(BJ28&lt;2700,BJ28*0.0105,IF(BJ28&lt;3200,BJ28*0.01175,IF(BJ28&lt;3700,BJ28*0.013,IF(BJ28&gt;3699,BJ28*0.01425,""))))</f>
        <v>0</v>
      </c>
      <c r="BL28" s="525">
        <v>0</v>
      </c>
      <c r="BM28" s="597">
        <v>3140.0201005025128</v>
      </c>
      <c r="BN28" s="598">
        <f>IF(BM28&lt;2700,BM28*0.0085,IF(BM28&lt;3200,BM28*0.01,IF(BM28&lt;3700,BM28*0.0105,IF(BM28&gt;3699,BM28*0.01175,""))))</f>
        <v>31.400201005025128</v>
      </c>
      <c r="BO28" s="525"/>
      <c r="BP28" s="597">
        <v>3291.497487437186</v>
      </c>
      <c r="BQ28" s="598">
        <f>IF(BP28&lt;2700,BP28*0.0085,IF(BP28&lt;3200,BP28*0.01,IF(BP28&lt;3700,BP28*0.0105,IF(BP28&gt;3699,BP28*0.01175,""))))</f>
        <v>34.560723618090456</v>
      </c>
      <c r="BR28" s="525"/>
      <c r="BS28" s="597">
        <v>3297.286432160804</v>
      </c>
      <c r="BT28" s="598">
        <f>IF(BS28&lt;2700,BS28*0.0085,IF(BS28&lt;3200,BS28*0.01,IF(BS28&lt;3700,BS28*0.0105,IF(BS28&gt;3699,BS28*0.01175,""))))</f>
        <v>34.621507537688444</v>
      </c>
      <c r="BU28" s="525"/>
      <c r="BV28" s="597">
        <v>3263.5175879396988</v>
      </c>
      <c r="BW28" s="598">
        <f>IF(BV28&lt;2700,BV28*0.0085,IF(BV28&lt;3200,BV28*0.01,IF(BV28&lt;3700,BV28*0.0105,IF(BV28&gt;3699,BV28*0.01175,""))))</f>
        <v>34.266934673366841</v>
      </c>
      <c r="BX28" s="525"/>
      <c r="BY28" s="597">
        <v>1308.3015075376884</v>
      </c>
      <c r="BZ28" s="598">
        <f>IF(BY28&lt;2700,BY28*0.0085,IF(BY28&lt;3200,BY28*0.01,IF(BY28&lt;3700,BY28*0.0105,IF(BY28&gt;3699,BY28*0.01175,""))))</f>
        <v>11.120562814070352</v>
      </c>
      <c r="CA28" s="525"/>
      <c r="CB28" s="609">
        <v>0</v>
      </c>
      <c r="CC28" s="598">
        <f>IF(CB28&lt;2700,CB28*0.0105,IF(CB28&lt;3200,CB28*0.01175,IF(CB28&lt;3700,CB28*0.013,IF(CB28&gt;3699,CB28*0.01425,""))))</f>
        <v>0</v>
      </c>
      <c r="CD28" s="525">
        <v>0</v>
      </c>
      <c r="CE28" s="597">
        <v>3181.5075376884424</v>
      </c>
      <c r="CF28" s="598">
        <f>IF(CE28&lt;2700,CE28*0.0085,IF(CE28&lt;3200,CE28*0.01,IF(CE28&lt;3700,CE28*0.0105,IF(CE28&gt;3699,CE28*0.01175,""))))</f>
        <v>31.815075376884426</v>
      </c>
      <c r="CG28" s="525"/>
      <c r="CH28" s="609">
        <v>0</v>
      </c>
      <c r="CI28" s="598">
        <f>IF(CH28&lt;2700,CH28*0.0105,IF(CH28&lt;3200,CH28*0.01175,IF(CH28&lt;3700,CH28*0.013,IF(CH28&gt;3699,CH28*0.01425,""))))</f>
        <v>0</v>
      </c>
      <c r="CJ28" s="525"/>
      <c r="CK28" s="607">
        <v>0</v>
      </c>
      <c r="CL28" s="598">
        <f>IF(CK28&lt;2700,CK28*0.0105,IF(CK28&lt;3200,CK28*0.01175,IF(CK28&lt;3700,CK28*0.013,IF(CK28&gt;3699,CK28*0.01425,""))))</f>
        <v>0</v>
      </c>
      <c r="CM28" s="525"/>
      <c r="CN28" s="609">
        <v>0</v>
      </c>
      <c r="CO28" s="598">
        <f>IF(CN28&lt;2700,CN28*0.0105,IF(CN28&lt;3200,CN28*0.01175,IF(CN28&lt;3700,CN28*0.013,IF(CN28&gt;3699,CN28*0.01425,""))))</f>
        <v>0</v>
      </c>
      <c r="CP28" s="525"/>
      <c r="CQ28" s="609">
        <v>0</v>
      </c>
      <c r="CR28" s="598">
        <f>IF(CQ28&lt;2700,CQ28*0.0105,IF(CQ28&lt;3200,CQ28*0.01175,IF(CQ28&lt;3700,CQ28*0.013,IF(CQ28&gt;3699,CQ28*0.01425,""))))</f>
        <v>0</v>
      </c>
      <c r="CS28" s="525"/>
      <c r="CT28" s="443">
        <f t="shared" si="37"/>
        <v>20836.824120603018</v>
      </c>
      <c r="CU28" s="444">
        <f t="shared" si="37"/>
        <v>213.00928643216085</v>
      </c>
      <c r="CV28" s="445">
        <f t="shared" si="38"/>
        <v>0</v>
      </c>
      <c r="CW28" s="446"/>
      <c r="CX28" s="447">
        <f t="shared" si="39"/>
        <v>213.00928643216085</v>
      </c>
      <c r="CY28" s="448">
        <f t="shared" si="40"/>
        <v>53694.874371859303</v>
      </c>
      <c r="CZ28" s="449">
        <f t="shared" si="40"/>
        <v>554.50408040201012</v>
      </c>
      <c r="DA28" s="450">
        <f t="shared" si="40"/>
        <v>34</v>
      </c>
      <c r="DB28" s="451">
        <f t="shared" si="41"/>
        <v>588.50408040201012</v>
      </c>
      <c r="DD28" s="453"/>
      <c r="DE28" s="453"/>
      <c r="DF28" s="453"/>
      <c r="DG28" s="453"/>
      <c r="DH28" s="453"/>
      <c r="DI28" s="453"/>
      <c r="DJ28" s="453"/>
      <c r="DK28" s="453"/>
      <c r="DL28" s="453"/>
      <c r="DM28" s="453"/>
      <c r="DN28" s="453"/>
      <c r="DO28" s="453"/>
      <c r="DP28" s="453"/>
      <c r="DQ28" s="453"/>
      <c r="DR28" s="453"/>
      <c r="DS28" s="453"/>
      <c r="DT28" s="453"/>
      <c r="DU28" s="453"/>
      <c r="DV28" s="453"/>
      <c r="DW28" s="453"/>
      <c r="DX28" s="453"/>
      <c r="DY28" s="453"/>
      <c r="DZ28" s="453"/>
      <c r="EA28" s="453"/>
      <c r="EB28" s="453"/>
      <c r="EC28" s="453"/>
      <c r="ED28" s="453"/>
      <c r="EE28" s="453"/>
      <c r="EF28" s="453"/>
      <c r="EG28" s="453"/>
      <c r="EH28" s="453"/>
      <c r="EI28" s="453"/>
      <c r="EJ28" s="453"/>
      <c r="EK28" s="453"/>
      <c r="EL28" s="453"/>
      <c r="EM28" s="453"/>
      <c r="EN28" s="453"/>
      <c r="EO28" s="453"/>
      <c r="EP28" s="453"/>
      <c r="EQ28" s="453"/>
      <c r="ER28" s="453"/>
    </row>
    <row r="29" spans="1:148" s="571" customFormat="1" ht="15.75" customHeight="1" thickBot="1" x14ac:dyDescent="0.3">
      <c r="A29" s="572">
        <f t="shared" si="42"/>
        <v>20</v>
      </c>
      <c r="B29" s="666" t="s">
        <v>62</v>
      </c>
      <c r="C29" s="667" t="s">
        <v>576</v>
      </c>
      <c r="D29" s="668" t="s">
        <v>581</v>
      </c>
      <c r="E29" s="643" t="s">
        <v>582</v>
      </c>
      <c r="F29" s="576">
        <v>0</v>
      </c>
      <c r="G29" s="517">
        <f>IF(F29&lt;2700,F29*0.008,IF(F29&lt;3200,F29*0.0097,IF(F29&lt;3700,F29*0.01095,IF(F29&gt;3699,F29*0.0122,""))))</f>
        <v>0</v>
      </c>
      <c r="H29" s="517">
        <v>18</v>
      </c>
      <c r="I29" s="576">
        <v>2535.0753768844215</v>
      </c>
      <c r="J29" s="517">
        <f>IF(I29&lt;2700,I29*0.007,IF(I29&lt;3200,I29*0.008,IF(I29&lt;3700,I29*0.0097,IF(I29&gt;3699,I29*0.01095,""))))</f>
        <v>17.74552763819095</v>
      </c>
      <c r="K29" s="517"/>
      <c r="L29" s="576">
        <v>3418.3718592964824</v>
      </c>
      <c r="M29" s="517">
        <f>IF(L29&lt;2700,L29*0.007,IF(L29&lt;3200,L29*0.008,IF(L29&lt;3700,L29*0.0097,IF(L29&gt;3699,L29*0.01095,""))))</f>
        <v>33.158207035175877</v>
      </c>
      <c r="N29" s="517"/>
      <c r="O29" s="578"/>
      <c r="P29" s="517">
        <f>IF(O29&lt;2700,O29*0.0097,IF(O29&lt;3200,O29*0.01095,IF(O29&lt;3700,O29*0.0122,IF(O29&gt;3699,O29*0.01345,""))))</f>
        <v>0</v>
      </c>
      <c r="Q29" s="517"/>
      <c r="R29" s="576">
        <v>0</v>
      </c>
      <c r="S29" s="517">
        <f>IF(R29&lt;2700,R29*0.0097,IF(R29&lt;3200,R29*0.01095,IF(R29&lt;3700,R29*0.0122,IF(R29&gt;3699,R29*0.01345,""))))</f>
        <v>0</v>
      </c>
      <c r="T29" s="517"/>
      <c r="U29" s="576">
        <v>0</v>
      </c>
      <c r="V29" s="517">
        <f>IF(U29&lt;2700,U29*0.0097,IF(U29&lt;3200,U29*0.01095,IF(U29&lt;3700,U29*0.0122,IF(U29&gt;3699,U29*0.01345,""))))</f>
        <v>0</v>
      </c>
      <c r="W29" s="517"/>
      <c r="X29" s="576">
        <v>0</v>
      </c>
      <c r="Y29" s="517">
        <f>IF(X29&lt;2700,X29*0.0097,IF(X29&lt;3200,X29*0.01095,IF(X29&lt;3700,X29*0.0122,IF(X29&gt;3699,X29*0.01345,""))))</f>
        <v>0</v>
      </c>
      <c r="Z29" s="517"/>
      <c r="AA29" s="578">
        <v>1748.7437185929648</v>
      </c>
      <c r="AB29" s="517">
        <f>IF(AA29&lt;2700,AA29*0.007,IF(AA29&lt;3200,AA29*0.008,IF(AA29&lt;3700,AA29*0.0097,IF(AA29&gt;3699,AA29*0.01095,""))))</f>
        <v>12.241206030150753</v>
      </c>
      <c r="AC29" s="517"/>
      <c r="AD29" s="597">
        <v>6174.3919597989943</v>
      </c>
      <c r="AE29" s="517">
        <f>IF(AD29&lt;2700,AD29*0.007,IF(AD29&lt;3200,AD29*0.008,IF(AD29&lt;3700,AD29*0.0097,IF(AD29&gt;3699,AD29*0.01095,""))))</f>
        <v>67.609591959798991</v>
      </c>
      <c r="AF29" s="517"/>
      <c r="AG29" s="576">
        <v>0</v>
      </c>
      <c r="AH29" s="517">
        <f>IF(AG29&lt;2700,AG29*0.0097,IF(AG29&lt;3200,AG29*0.01095,IF(AG29&lt;3700,AG29*0.0122,IF(AG29&gt;3699,AG29*0.01345,""))))</f>
        <v>0</v>
      </c>
      <c r="AI29" s="517">
        <v>18</v>
      </c>
      <c r="AJ29" s="576">
        <v>0</v>
      </c>
      <c r="AK29" s="517">
        <f>IF(AJ29&lt;2700,AJ29*0.008,IF(AJ29&lt;3200,AJ29*0.0097,IF(AJ29&lt;3700,AJ29*0.01095,IF(AJ29&gt;3699,AJ29*0.0122,""))))</f>
        <v>0</v>
      </c>
      <c r="AL29" s="517">
        <v>18</v>
      </c>
      <c r="AM29" s="576">
        <v>0</v>
      </c>
      <c r="AN29" s="517">
        <f>IF(AM29&lt;2700,AM29*0.008,IF(AM29&lt;3200,AM29*0.0097,IF(AM29&lt;3700,AM29*0.01095,IF(AM29&gt;3699,AM29*0.0122,""))))</f>
        <v>0</v>
      </c>
      <c r="AO29" s="517">
        <v>18</v>
      </c>
      <c r="AP29" s="620">
        <v>0</v>
      </c>
      <c r="AQ29" s="517">
        <f>IF(AP29&lt;2700,AP29*0.0097,IF(AP29&lt;3200,AP29*0.01095,IF(AP29&lt;3700,AP29*0.0122,IF(AP29&gt;3699,AP29*0.01345,""))))</f>
        <v>0</v>
      </c>
      <c r="AR29" s="580">
        <v>16</v>
      </c>
      <c r="AS29" s="576">
        <v>3699.1356783919596</v>
      </c>
      <c r="AT29" s="517">
        <f>IF(AS29&lt;2700,AS29*0.007,IF(AS29&lt;3200,AS29*0.008,IF(AS29&lt;3700,AS29*0.0097,IF(AS29&gt;3699,AS29*0.01095,""))))</f>
        <v>35.881616080402011</v>
      </c>
      <c r="AU29" s="517"/>
      <c r="AV29" s="578"/>
      <c r="AW29" s="517">
        <f>IF(AV29&lt;2700,AV29*0.0097,IF(AV29&lt;3200,AV29*0.01095,IF(AV29&lt;3700,AV29*0.0122,IF(AV29&gt;3699,AV29*0.01345,""))))</f>
        <v>0</v>
      </c>
      <c r="AX29" s="517"/>
      <c r="AY29" s="578"/>
      <c r="AZ29" s="517">
        <f>IF(AY29&lt;2700,AY29*0.0097,IF(AY29&lt;3200,AY29*0.01095,IF(AY29&lt;3700,AY29*0.0122,IF(AY29&gt;3699,AY29*0.01345,""))))</f>
        <v>0</v>
      </c>
      <c r="BA29" s="517"/>
      <c r="BB29" s="644">
        <f t="shared" si="35"/>
        <v>17575.718592964822</v>
      </c>
      <c r="BC29" s="645">
        <f t="shared" si="35"/>
        <v>166.63614874371859</v>
      </c>
      <c r="BD29" s="488">
        <f t="shared" si="35"/>
        <v>88</v>
      </c>
      <c r="BE29" s="646"/>
      <c r="BF29" s="647">
        <f t="shared" si="36"/>
        <v>254.63614874371859</v>
      </c>
      <c r="BG29" s="578">
        <v>3354.6934673366832</v>
      </c>
      <c r="BH29" s="517">
        <f>IF(BG29&lt;2700,BG29*0.007,IF(BG29&lt;3200,BG29*0.008,IF(BG29&lt;3700,BG29*0.0097,IF(BG29&gt;3699,BG29*0.01095,""))))</f>
        <v>32.540526633165825</v>
      </c>
      <c r="BI29" s="517"/>
      <c r="BJ29" s="578">
        <v>0</v>
      </c>
      <c r="BK29" s="517">
        <f>IF(BJ29&lt;2700,BJ29*0.0097,IF(BJ29&lt;3200,BJ29*0.01095,IF(BJ29&lt;3700,BJ29*0.0122,IF(BJ29&gt;3699,BJ29*0.01345,""))))</f>
        <v>0</v>
      </c>
      <c r="BL29" s="517">
        <v>12</v>
      </c>
      <c r="BM29" s="576">
        <v>3140.0201005025128</v>
      </c>
      <c r="BN29" s="517">
        <f>IF(BM29&lt;2700,BM29*0.007,IF(BM29&lt;3200,BM29*0.008,IF(BM29&lt;3700,BM29*0.0097,IF(BM29&gt;3699,BM29*0.01095,""))))</f>
        <v>25.120160804020102</v>
      </c>
      <c r="BO29" s="517"/>
      <c r="BP29" s="576">
        <v>3291.497487437186</v>
      </c>
      <c r="BQ29" s="517">
        <f>IF(BP29&lt;2700,BP29*0.007,IF(BP29&lt;3200,BP29*0.008,IF(BP29&lt;3700,BP29*0.0097,IF(BP29&gt;3699,BP29*0.01095,""))))</f>
        <v>31.927525628140707</v>
      </c>
      <c r="BR29" s="517"/>
      <c r="BS29" s="576">
        <v>3297.286432160804</v>
      </c>
      <c r="BT29" s="517">
        <f>IF(BS29&lt;2700,BS29*0.007,IF(BS29&lt;3200,BS29*0.008,IF(BS29&lt;3700,BS29*0.0097,IF(BS29&gt;3699,BS29*0.01095,""))))</f>
        <v>31.983678391959799</v>
      </c>
      <c r="BU29" s="517"/>
      <c r="BV29" s="576">
        <v>3263.5175879396988</v>
      </c>
      <c r="BW29" s="517">
        <f>IF(BV29&lt;2700,BV29*0.007,IF(BV29&lt;3200,BV29*0.008,IF(BV29&lt;3700,BV29*0.0097,IF(BV29&gt;3699,BV29*0.01095,""))))</f>
        <v>31.656120603015079</v>
      </c>
      <c r="BX29" s="517"/>
      <c r="BY29" s="576">
        <v>1308.3015075376884</v>
      </c>
      <c r="BZ29" s="517">
        <f>IF(BY29&lt;2700,BY29*0.007,IF(BY29&lt;3200,BY29*0.008,IF(BY29&lt;3700,BY29*0.0097,IF(BY29&gt;3699,BY29*0.01095,""))))</f>
        <v>9.1581105527638194</v>
      </c>
      <c r="CA29" s="517"/>
      <c r="CB29" s="578">
        <v>0</v>
      </c>
      <c r="CC29" s="517">
        <f>IF(CB29&lt;2700,CB29*0.0097,IF(CB29&lt;3200,CB29*0.01095,IF(CB29&lt;3700,CB29*0.0122,IF(CB29&gt;3699,CB29*0.01345,""))))</f>
        <v>0</v>
      </c>
      <c r="CD29" s="517">
        <v>10</v>
      </c>
      <c r="CE29" s="576">
        <v>3181.5075376884424</v>
      </c>
      <c r="CF29" s="517">
        <f>IF(CE29&lt;2700,CE29*0.007,IF(CE29&lt;3200,CE29*0.008,IF(CE29&lt;3700,CE29*0.0097,IF(CE29&gt;3699,CE29*0.01095,""))))</f>
        <v>25.45206030150754</v>
      </c>
      <c r="CG29" s="517"/>
      <c r="CH29" s="578">
        <v>0</v>
      </c>
      <c r="CI29" s="517">
        <f>IF(CH29&lt;2700,CH29*0.0097,IF(CH29&lt;3200,CH29*0.01095,IF(CH29&lt;3700,CH29*0.0122,IF(CH29&gt;3699,CH29*0.01345,""))))</f>
        <v>0</v>
      </c>
      <c r="CJ29" s="517">
        <v>18</v>
      </c>
      <c r="CK29" s="620">
        <v>0</v>
      </c>
      <c r="CL29" s="517">
        <f>IF(CK29&lt;2700,CK29*0.0097,IF(CK29&lt;3200,CK29*0.01095,IF(CK29&lt;3700,CK29*0.0122,IF(CK29&gt;3699,CK29*0.01345,""))))</f>
        <v>0</v>
      </c>
      <c r="CM29" s="517"/>
      <c r="CN29" s="620">
        <v>0</v>
      </c>
      <c r="CO29" s="517">
        <f>IF(CN29&lt;2700,CN29*0.0097,IF(CN29&lt;3200,CN29*0.01095,IF(CN29&lt;3700,CN29*0.0122,IF(CN29&gt;3699,CN29*0.01345,""))))</f>
        <v>0</v>
      </c>
      <c r="CP29" s="517"/>
      <c r="CQ29" s="620">
        <v>0</v>
      </c>
      <c r="CR29" s="517">
        <f>IF(CQ29&lt;2700,CQ29*0.0097,IF(CQ29&lt;3200,CQ29*0.01095,IF(CQ29&lt;3700,CQ29*0.0122,IF(CQ29&gt;3699,CQ29*0.01345,""))))</f>
        <v>0</v>
      </c>
      <c r="CS29" s="517"/>
      <c r="CT29" s="495">
        <f t="shared" si="37"/>
        <v>20836.824120603018</v>
      </c>
      <c r="CU29" s="496">
        <f t="shared" si="37"/>
        <v>187.83818291457288</v>
      </c>
      <c r="CV29" s="497">
        <f t="shared" si="38"/>
        <v>40</v>
      </c>
      <c r="CW29" s="646"/>
      <c r="CX29" s="498">
        <f t="shared" si="39"/>
        <v>227.83818291457288</v>
      </c>
      <c r="CY29" s="499">
        <f t="shared" si="40"/>
        <v>38412.54271356784</v>
      </c>
      <c r="CZ29" s="500">
        <f t="shared" si="40"/>
        <v>354.47433165829148</v>
      </c>
      <c r="DA29" s="501">
        <f t="shared" si="40"/>
        <v>128</v>
      </c>
      <c r="DB29" s="502">
        <f t="shared" si="41"/>
        <v>482.47433165829148</v>
      </c>
      <c r="DC29" s="192" t="s">
        <v>583</v>
      </c>
      <c r="DD29" s="398"/>
      <c r="DE29" s="570"/>
      <c r="DF29" s="570"/>
      <c r="DG29" s="570"/>
      <c r="DH29" s="570"/>
      <c r="DI29" s="570"/>
      <c r="DJ29" s="570"/>
      <c r="DK29" s="570"/>
      <c r="DL29" s="570"/>
      <c r="DM29" s="570"/>
      <c r="DN29" s="570"/>
      <c r="DO29" s="570"/>
      <c r="DP29" s="570"/>
      <c r="DQ29" s="570"/>
      <c r="DR29" s="570"/>
      <c r="DS29" s="570"/>
      <c r="DT29" s="570"/>
      <c r="DU29" s="570"/>
      <c r="DV29" s="570"/>
      <c r="DW29" s="570"/>
      <c r="DX29" s="570"/>
      <c r="DY29" s="570"/>
      <c r="DZ29" s="570"/>
      <c r="EA29" s="570"/>
      <c r="EB29" s="570"/>
      <c r="EC29" s="570"/>
      <c r="ED29" s="570"/>
      <c r="EE29" s="570"/>
      <c r="EF29" s="570"/>
      <c r="EG29" s="570"/>
      <c r="EH29" s="570"/>
      <c r="EI29" s="570"/>
      <c r="EJ29" s="570"/>
      <c r="EK29" s="570"/>
      <c r="EL29" s="570"/>
      <c r="EM29" s="570"/>
      <c r="EN29" s="570"/>
      <c r="EO29" s="570"/>
      <c r="EP29" s="570"/>
      <c r="EQ29" s="570"/>
      <c r="ER29" s="570"/>
    </row>
    <row r="30" spans="1:148" s="452" customFormat="1" ht="15.75" customHeight="1" x14ac:dyDescent="0.25">
      <c r="A30" s="592">
        <f t="shared" si="42"/>
        <v>21</v>
      </c>
      <c r="B30" s="630" t="s">
        <v>67</v>
      </c>
      <c r="C30" s="669" t="s">
        <v>584</v>
      </c>
      <c r="D30" s="632" t="s">
        <v>585</v>
      </c>
      <c r="E30" s="633" t="s">
        <v>586</v>
      </c>
      <c r="F30" s="597">
        <v>0</v>
      </c>
      <c r="G30" s="598">
        <f>IF(F30&lt;2700,F30*0.0105,IF(F30&lt;3200,F30*0.01175,IF(F30&lt;3700,F30*0.013,IF(F30&gt;3699,F30*0.01425,""))))</f>
        <v>0</v>
      </c>
      <c r="H30" s="599">
        <v>20</v>
      </c>
      <c r="I30" s="597">
        <v>0</v>
      </c>
      <c r="J30" s="598">
        <f>IF(I30&lt;2700,I30*0.0105,IF(I30&lt;3200,I30*0.01175,IF(I30&lt;3700,I30*0.013,IF(I30&gt;3699,I30*0.01425,""))))</f>
        <v>0</v>
      </c>
      <c r="K30" s="599">
        <v>20</v>
      </c>
      <c r="L30" s="597">
        <v>0</v>
      </c>
      <c r="M30" s="598">
        <f>IF(L30&lt;2700,L30*0.0105,IF(L30&lt;3200,L30*0.01175,IF(L30&lt;3700,L30*0.013,IF(L30&gt;3699,L30*0.01425,""))))</f>
        <v>0</v>
      </c>
      <c r="N30" s="599">
        <v>20</v>
      </c>
      <c r="O30" s="607"/>
      <c r="P30" s="598">
        <f>IF(O30&lt;2700,O30*0.0105,IF(O30&lt;3200,O30*0.01175,IF(O30&lt;3700,O30*0.013,IF(O30&gt;3699,O30*0.01425,""))))</f>
        <v>0</v>
      </c>
      <c r="Q30" s="525"/>
      <c r="R30" s="602">
        <v>4296.8442211055271</v>
      </c>
      <c r="S30" s="598">
        <f>IF(R30&lt;2700,R30*0.0085,IF(R30&lt;3200,R30*0.01,IF(R30&lt;3700,R30*0.0105,IF(R30&gt;3699,R30*0.01175,""))))</f>
        <v>50.487919597989944</v>
      </c>
      <c r="T30" s="525"/>
      <c r="U30" s="602">
        <v>3354.6934673366832</v>
      </c>
      <c r="V30" s="598">
        <f>IF(U30&lt;2700,U30*0.0085,IF(U30&lt;3200,U30*0.01,IF(U30&lt;3700,U30*0.0105,IF(U30&gt;3699,U30*0.01175,""))))</f>
        <v>35.224281407035178</v>
      </c>
      <c r="W30" s="525"/>
      <c r="X30" s="607">
        <v>2617.0854271356784</v>
      </c>
      <c r="Y30" s="598">
        <f>IF(X30&lt;2700,X30*0.0085,IF(X30&lt;3200,X30*0.01,IF(X30&lt;3700,X30*0.0105,IF(X30&gt;3699,X30*0.01175,""))))</f>
        <v>22.245226130653268</v>
      </c>
      <c r="Z30" s="525"/>
      <c r="AA30" s="607">
        <v>2575.5979899497488</v>
      </c>
      <c r="AB30" s="598">
        <f>IF(AA30&lt;2700,AA30*0.0085,IF(AA30&lt;3200,AA30*0.01,IF(AA30&lt;3700,AA30*0.0105,IF(AA30&gt;3699,AA30*0.01175,""))))</f>
        <v>21.892582914572866</v>
      </c>
      <c r="AC30" s="525"/>
      <c r="AD30" s="602">
        <v>6276.1809045226128</v>
      </c>
      <c r="AE30" s="598">
        <f>IF(AD30&lt;2700,AD30*0.0085,IF(AD30&lt;3200,AD30*0.01,IF(AD30&lt;3700,AD30*0.0105,IF(AD30&gt;3699,AD30*0.01175,""))))</f>
        <v>73.745125628140698</v>
      </c>
      <c r="AF30" s="525"/>
      <c r="AG30" s="602">
        <v>0</v>
      </c>
      <c r="AH30" s="598">
        <f>IF(AG30&lt;2700,AG30*0.0105,IF(AG30&lt;3200,AG30*0.01175,IF(AG30&lt;3700,AG30*0.013,IF(AG30&gt;3699,AG30*0.01425,""))))</f>
        <v>0</v>
      </c>
      <c r="AI30" s="525"/>
      <c r="AJ30" s="602">
        <v>3702.0301507537688</v>
      </c>
      <c r="AK30" s="598">
        <f>IF(AJ30&lt;2700,AJ30*0.0085,IF(AJ30&lt;3200,AJ30*0.01,IF(AJ30&lt;3700,AJ30*0.0105,IF(AJ30&gt;3699,AJ30*0.01175,""))))</f>
        <v>43.498854271356784</v>
      </c>
      <c r="AL30" s="525"/>
      <c r="AM30" s="602">
        <v>3237.4673366834172</v>
      </c>
      <c r="AN30" s="598">
        <f>IF(AM30&lt;2700,AM30*0.0085,IF(AM30&lt;3200,AM30*0.01,IF(AM30&lt;3700,AM30*0.0105,IF(AM30&gt;3699,AM30*0.01175,""))))</f>
        <v>33.993407035175885</v>
      </c>
      <c r="AO30" s="525"/>
      <c r="AP30" s="609">
        <v>0</v>
      </c>
      <c r="AQ30" s="598">
        <f>IF(AP30&lt;2700,AP30*0.0105,IF(AP30&lt;3200,AP30*0.01175,IF(AP30&lt;3700,AP30*0.013,IF(AP30&gt;3699,AP30*0.01425,""))))</f>
        <v>0</v>
      </c>
      <c r="AR30" s="599">
        <v>16</v>
      </c>
      <c r="AS30" s="602">
        <v>3941.3065326633168</v>
      </c>
      <c r="AT30" s="598">
        <f>IF(AS30&lt;2700,AS30*0.0085,IF(AS30&lt;3200,AS30*0.01,IF(AS30&lt;3700,AS30*0.0105,IF(AS30&gt;3699,AS30*0.01175,""))))</f>
        <v>46.310351758793971</v>
      </c>
      <c r="AU30" s="525"/>
      <c r="AV30" s="607"/>
      <c r="AW30" s="598">
        <f>IF(AV30&lt;2700,AV30*0.0105,IF(AV30&lt;3200,AV30*0.01175,IF(AV30&lt;3700,AV30*0.013,IF(AV30&gt;3699,AV30*0.01425,""))))</f>
        <v>0</v>
      </c>
      <c r="AX30" s="525"/>
      <c r="AY30" s="607"/>
      <c r="AZ30" s="598">
        <f>IF(AY30&lt;2700,AY30*0.0105,IF(AY30&lt;3200,AY30*0.01175,IF(AY30&lt;3700,AY30*0.013,IF(AY30&gt;3699,AY30*0.01425,""))))</f>
        <v>0</v>
      </c>
      <c r="BA30" s="525"/>
      <c r="BB30" s="603">
        <f t="shared" si="35"/>
        <v>30001.206030150752</v>
      </c>
      <c r="BC30" s="604">
        <f t="shared" si="35"/>
        <v>327.39774874371858</v>
      </c>
      <c r="BD30" s="605">
        <f t="shared" si="35"/>
        <v>76</v>
      </c>
      <c r="BE30" s="446"/>
      <c r="BF30" s="606">
        <f t="shared" si="36"/>
        <v>403.39774874371858</v>
      </c>
      <c r="BG30" s="607">
        <v>3807.1959798994976</v>
      </c>
      <c r="BH30" s="598">
        <f>IF(BG30&lt;2700,BG30*0.0085,IF(BG30&lt;3200,BG30*0.01,IF(BG30&lt;3700,BG30*0.0105,IF(BG30&gt;3699,BG30*0.01175,""))))</f>
        <v>44.734552763819096</v>
      </c>
      <c r="BI30" s="525"/>
      <c r="BJ30" s="607">
        <v>0</v>
      </c>
      <c r="BK30" s="598">
        <f>IF(BJ30&lt;2700,BJ30*0.0105,IF(BJ30&lt;3200,BJ30*0.01175,IF(BJ30&lt;3700,BJ30*0.013,IF(BJ30&gt;3699,BJ30*0.01425,""))))</f>
        <v>0</v>
      </c>
      <c r="BL30" s="525">
        <v>0</v>
      </c>
      <c r="BM30" s="602">
        <v>2947.0552763819092</v>
      </c>
      <c r="BN30" s="598">
        <f>IF(BM30&lt;2700,BM30*0.0085,IF(BM30&lt;3200,BM30*0.01,IF(BM30&lt;3700,BM30*0.0105,IF(BM30&gt;3699,BM30*0.01175,""))))</f>
        <v>29.470552763819093</v>
      </c>
      <c r="BO30" s="525"/>
      <c r="BP30" s="602">
        <v>2849.1256281407032</v>
      </c>
      <c r="BQ30" s="598">
        <f>IF(BP30&lt;2700,BP30*0.0085,IF(BP30&lt;3200,BP30*0.01,IF(BP30&lt;3700,BP30*0.0105,IF(BP30&gt;3699,BP30*0.01175,""))))</f>
        <v>28.491256281407033</v>
      </c>
      <c r="BR30" s="525"/>
      <c r="BS30" s="602">
        <v>3192.6030150753768</v>
      </c>
      <c r="BT30" s="598">
        <f>IF(BS30&lt;2700,BS30*0.0085,IF(BS30&lt;3200,BS30*0.01,IF(BS30&lt;3700,BS30*0.0105,IF(BS30&gt;3699,BS30*0.01175,""))))</f>
        <v>31.926030150753768</v>
      </c>
      <c r="BU30" s="525"/>
      <c r="BV30" s="602">
        <v>2590.5527638190956</v>
      </c>
      <c r="BW30" s="598">
        <f>IF(BV30&lt;2700,BV30*0.0085,IF(BV30&lt;3200,BV30*0.01,IF(BV30&lt;3700,BV30*0.0105,IF(BV30&gt;3699,BV30*0.01175,""))))</f>
        <v>22.019698492462314</v>
      </c>
      <c r="BX30" s="525"/>
      <c r="BY30" s="602">
        <v>1296.2412060301506</v>
      </c>
      <c r="BZ30" s="598">
        <f>IF(BY30&lt;2700,BY30*0.0085,IF(BY30&lt;3200,BY30*0.01,IF(BY30&lt;3700,BY30*0.0105,IF(BY30&gt;3699,BY30*0.01175,""))))</f>
        <v>11.01805025125628</v>
      </c>
      <c r="CA30" s="525"/>
      <c r="CB30" s="607">
        <v>0</v>
      </c>
      <c r="CC30" s="598">
        <f>IF(CB30&lt;2700,CB30*0.0105,IF(CB30&lt;3200,CB30*0.01175,IF(CB30&lt;3700,CB30*0.013,IF(CB30&gt;3699,CB30*0.01425,""))))</f>
        <v>0</v>
      </c>
      <c r="CD30" s="525">
        <v>10</v>
      </c>
      <c r="CE30" s="602">
        <v>3387.497487437186</v>
      </c>
      <c r="CF30" s="598">
        <f>IF(CE30&lt;2700,CE30*0.0085,IF(CE30&lt;3200,CE30*0.01,IF(CE30&lt;3700,CE30*0.0105,IF(CE30&gt;3699,CE30*0.01175,""))))</f>
        <v>35.568723618090452</v>
      </c>
      <c r="CG30" s="525"/>
      <c r="CH30" s="609">
        <v>0</v>
      </c>
      <c r="CI30" s="598">
        <f>IF(CH30&lt;2700,CH30*0.0105,IF(CH30&lt;3200,CH30*0.01175,IF(CH30&lt;3700,CH30*0.013,IF(CH30&gt;3699,CH30*0.01425,""))))</f>
        <v>0</v>
      </c>
      <c r="CJ30" s="525"/>
      <c r="CK30" s="607">
        <v>0</v>
      </c>
      <c r="CL30" s="598">
        <f>IF(CK30&lt;2700,CK30*0.0105,IF(CK30&lt;3200,CK30*0.01175,IF(CK30&lt;3700,CK30*0.013,IF(CK30&gt;3699,CK30*0.01425,""))))</f>
        <v>0</v>
      </c>
      <c r="CM30" s="525"/>
      <c r="CN30" s="609">
        <v>0</v>
      </c>
      <c r="CO30" s="598">
        <f>IF(CN30&lt;2700,CN30*0.0105,IF(CN30&lt;3200,CN30*0.01175,IF(CN30&lt;3700,CN30*0.013,IF(CN30&gt;3699,CN30*0.01425,""))))</f>
        <v>0</v>
      </c>
      <c r="CP30" s="525"/>
      <c r="CQ30" s="609">
        <v>0</v>
      </c>
      <c r="CR30" s="598">
        <f>IF(CQ30&lt;2700,CQ30*0.0105,IF(CQ30&lt;3200,CQ30*0.01175,IF(CQ30&lt;3700,CQ30*0.013,IF(CQ30&gt;3699,CQ30*0.01425,""))))</f>
        <v>0</v>
      </c>
      <c r="CS30" s="525">
        <v>18</v>
      </c>
      <c r="CT30" s="443">
        <f t="shared" si="37"/>
        <v>20070.27135678392</v>
      </c>
      <c r="CU30" s="444">
        <f t="shared" si="37"/>
        <v>203.22886432160803</v>
      </c>
      <c r="CV30" s="445">
        <f t="shared" si="38"/>
        <v>28</v>
      </c>
      <c r="CW30" s="446"/>
      <c r="CX30" s="447">
        <f t="shared" si="39"/>
        <v>231.22886432160803</v>
      </c>
      <c r="CY30" s="448">
        <f t="shared" si="40"/>
        <v>50071.477386934668</v>
      </c>
      <c r="CZ30" s="449">
        <f t="shared" si="40"/>
        <v>530.62661306532664</v>
      </c>
      <c r="DA30" s="450">
        <f t="shared" si="40"/>
        <v>104</v>
      </c>
      <c r="DB30" s="451">
        <f t="shared" si="41"/>
        <v>634.62661306532664</v>
      </c>
      <c r="DD30" s="453"/>
      <c r="DE30" s="453"/>
      <c r="DF30" s="453"/>
      <c r="DG30" s="453"/>
      <c r="DH30" s="453"/>
      <c r="DI30" s="453"/>
      <c r="DJ30" s="453"/>
      <c r="DK30" s="453"/>
      <c r="DL30" s="453"/>
      <c r="DM30" s="453"/>
      <c r="DN30" s="453"/>
      <c r="DO30" s="453"/>
      <c r="DP30" s="453"/>
      <c r="DQ30" s="453"/>
      <c r="DR30" s="453"/>
      <c r="DS30" s="453"/>
      <c r="DT30" s="453"/>
      <c r="DU30" s="453"/>
      <c r="DV30" s="453"/>
      <c r="DW30" s="453"/>
      <c r="DX30" s="453"/>
      <c r="DY30" s="453"/>
      <c r="DZ30" s="453"/>
      <c r="EA30" s="453"/>
      <c r="EB30" s="453"/>
      <c r="EC30" s="453"/>
      <c r="ED30" s="453"/>
      <c r="EE30" s="453"/>
      <c r="EF30" s="453"/>
      <c r="EG30" s="453"/>
      <c r="EH30" s="453"/>
      <c r="EI30" s="453"/>
      <c r="EJ30" s="453"/>
      <c r="EK30" s="453"/>
      <c r="EL30" s="453"/>
      <c r="EM30" s="453"/>
      <c r="EN30" s="453"/>
      <c r="EO30" s="453"/>
      <c r="EP30" s="453"/>
      <c r="EQ30" s="453"/>
      <c r="ER30" s="453"/>
    </row>
    <row r="31" spans="1:148" s="571" customFormat="1" ht="15.75" customHeight="1" x14ac:dyDescent="0.25">
      <c r="A31" s="572">
        <f t="shared" si="42"/>
        <v>22</v>
      </c>
      <c r="B31" s="638" t="s">
        <v>108</v>
      </c>
      <c r="C31" s="1072" t="s">
        <v>584</v>
      </c>
      <c r="D31" s="658" t="s">
        <v>781</v>
      </c>
      <c r="E31" s="659" t="s">
        <v>782</v>
      </c>
      <c r="F31" s="579">
        <v>0</v>
      </c>
      <c r="G31" s="517">
        <f>IF(F31&lt;2700,F31*0.0097,IF(F31&lt;3200,F31*0.01095,IF(F31&lt;3700,F31*0.0122,IF(F31&gt;3699,F31*0.01345,""))))</f>
        <v>0</v>
      </c>
      <c r="H31" s="580">
        <v>20</v>
      </c>
      <c r="I31" s="579">
        <v>0</v>
      </c>
      <c r="J31" s="517">
        <f>IF(I31&lt;2700,I31*0.0097,IF(I31&lt;3200,I31*0.01095,IF(I31&lt;3700,I31*0.0122,IF(I31&gt;3699,I31*0.01345,""))))</f>
        <v>0</v>
      </c>
      <c r="K31" s="580">
        <v>20</v>
      </c>
      <c r="L31" s="579">
        <v>0</v>
      </c>
      <c r="M31" s="517">
        <f>IF(L31&lt;2700,L31*0.0097,IF(L31&lt;3200,L31*0.01095,IF(L31&lt;3700,L31*0.0122,IF(L31&gt;3699,L31*0.01345,""))))</f>
        <v>0</v>
      </c>
      <c r="N31" s="580">
        <v>20</v>
      </c>
      <c r="O31" s="578"/>
      <c r="P31" s="517">
        <f>IF(O31&lt;2700,O31*0.0097,IF(O31&lt;3200,O31*0.01095,IF(O31&lt;3700,O31*0.0122,IF(O31&gt;3699,O31*0.01345,""))))</f>
        <v>0</v>
      </c>
      <c r="Q31" s="517"/>
      <c r="R31" s="576">
        <v>4296.8442211055271</v>
      </c>
      <c r="S31" s="517">
        <f>IF(R31&lt;2700,R31*0.007,IF(R31&lt;3200,R31*0.008,IF(R31&lt;3700,R31*0.0097,IF(R31&gt;3699,R31*0.01095,""))))</f>
        <v>47.050444221105522</v>
      </c>
      <c r="T31" s="517"/>
      <c r="U31" s="576">
        <v>3354.6934673366832</v>
      </c>
      <c r="V31" s="517">
        <f>IF(U31&lt;2700,U31*0.007,IF(U31&lt;3200,U31*0.008,IF(U31&lt;3700,U31*0.0097,IF(U31&gt;3699,U31*0.01095,""))))</f>
        <v>32.540526633165825</v>
      </c>
      <c r="W31" s="517"/>
      <c r="X31" s="578">
        <v>2617.0854271356784</v>
      </c>
      <c r="Y31" s="517">
        <f>IF(X31&lt;2700,X31*0.007,IF(X31&lt;3200,X31*0.008,IF(X31&lt;3700,X31*0.0097,IF(X31&gt;3699,X31*0.01095,""))))</f>
        <v>18.319597989949749</v>
      </c>
      <c r="Z31" s="517"/>
      <c r="AA31" s="578">
        <v>2575.5979899497488</v>
      </c>
      <c r="AB31" s="517">
        <f>IF(AA31&lt;2700,AA31*0.007,IF(AA31&lt;3200,AA31*0.008,IF(AA31&lt;3700,AA31*0.0097,IF(AA31&gt;3699,AA31*0.01095,""))))</f>
        <v>18.029185929648243</v>
      </c>
      <c r="AC31" s="517"/>
      <c r="AD31" s="576">
        <v>6276.1809045226128</v>
      </c>
      <c r="AE31" s="517">
        <f>IF(AD31&lt;2700,AD31*0.007,IF(AD31&lt;3200,AD31*0.008,IF(AD31&lt;3700,AD31*0.0097,IF(AD31&gt;3699,AD31*0.01095,""))))</f>
        <v>68.724180904522612</v>
      </c>
      <c r="AF31" s="517"/>
      <c r="AG31" s="579">
        <v>0</v>
      </c>
      <c r="AH31" s="517">
        <f>IF(AG31&lt;2700,AG31*0.0097,IF(AG31&lt;3200,AG31*0.01095,IF(AG31&lt;3700,AG31*0.0122,IF(AG31&gt;3699,AG31*0.01345,""))))</f>
        <v>0</v>
      </c>
      <c r="AI31" s="517"/>
      <c r="AJ31" s="576">
        <v>3702.0301507537688</v>
      </c>
      <c r="AK31" s="517">
        <f>IF(AJ31&lt;2700,AJ31*0.007,IF(AJ31&lt;3200,AJ31*0.008,IF(AJ31&lt;3700,AJ31*0.0097,IF(AJ31&gt;3699,AJ31*0.01095,""))))</f>
        <v>40.537230150753764</v>
      </c>
      <c r="AL31" s="517"/>
      <c r="AM31" s="576">
        <v>3237.4673366834172</v>
      </c>
      <c r="AN31" s="517">
        <f>IF(AM31&lt;2700,AM31*0.007,IF(AM31&lt;3200,AM31*0.008,IF(AM31&lt;3700,AM31*0.0097,IF(AM31&gt;3699,AM31*0.01095,""))))</f>
        <v>31.403433165829149</v>
      </c>
      <c r="AO31" s="517"/>
      <c r="AP31" s="620">
        <v>0</v>
      </c>
      <c r="AQ31" s="517">
        <f>IF(AP31&lt;2700,AP31*0.0097,IF(AP31&lt;3200,AP31*0.01095,IF(AP31&lt;3700,AP31*0.0122,IF(AP31&gt;3699,AP31*0.01345,""))))</f>
        <v>0</v>
      </c>
      <c r="AR31" s="580">
        <v>16</v>
      </c>
      <c r="AS31" s="576">
        <v>3941.3065326633168</v>
      </c>
      <c r="AT31" s="517">
        <f>IF(AS31&lt;2700,AS31*0.007,IF(AS31&lt;3200,AS31*0.008,IF(AS31&lt;3700,AS31*0.0097,IF(AS31&gt;3699,AS31*0.01095,""))))</f>
        <v>43.15730653266332</v>
      </c>
      <c r="AU31" s="517"/>
      <c r="AV31" s="578"/>
      <c r="AW31" s="517">
        <f>IF(AV31&lt;2700,AV31*0.0097,IF(AV31&lt;3200,AV31*0.01095,IF(AV31&lt;3700,AV31*0.0122,IF(AV31&gt;3699,AV31*0.01345,""))))</f>
        <v>0</v>
      </c>
      <c r="AX31" s="517"/>
      <c r="AY31" s="578"/>
      <c r="AZ31" s="517">
        <f>IF(AY31&lt;2700,AY31*0.0097,IF(AY31&lt;3200,AY31*0.01095,IF(AY31&lt;3700,AY31*0.0122,IF(AY31&gt;3699,AY31*0.01345,""))))</f>
        <v>0</v>
      </c>
      <c r="BA31" s="517"/>
      <c r="BB31" s="581">
        <f t="shared" si="35"/>
        <v>30001.206030150752</v>
      </c>
      <c r="BC31" s="582">
        <f t="shared" si="35"/>
        <v>299.76190552763819</v>
      </c>
      <c r="BD31" s="465">
        <f t="shared" si="35"/>
        <v>76</v>
      </c>
      <c r="BE31" s="587"/>
      <c r="BF31" s="637">
        <f t="shared" si="36"/>
        <v>375.76190552763819</v>
      </c>
      <c r="BG31" s="578">
        <v>3807.1959798994976</v>
      </c>
      <c r="BH31" s="517">
        <f>IF(BG31&lt;2700,BG31*0.007,IF(BG31&lt;3200,BG31*0.008,IF(BG31&lt;3700,BG31*0.0097,IF(BG31&gt;3699,BG31*0.01095,""))))</f>
        <v>41.688795979899496</v>
      </c>
      <c r="BI31" s="517"/>
      <c r="BJ31" s="578">
        <v>0</v>
      </c>
      <c r="BK31" s="517">
        <f>IF(BJ31&lt;2700,BJ31*0.0097,IF(BJ31&lt;3200,BJ31*0.01095,IF(BJ31&lt;3700,BJ31*0.0122,IF(BJ31&gt;3699,BJ31*0.01345,""))))</f>
        <v>0</v>
      </c>
      <c r="BL31" s="517">
        <v>0</v>
      </c>
      <c r="BM31" s="576">
        <v>2947.0552763819092</v>
      </c>
      <c r="BN31" s="517">
        <f>IF(BM31&lt;2700,BM31*0.007,IF(BM31&lt;3200,BM31*0.008,IF(BM31&lt;3700,BM31*0.0097,IF(BM31&gt;3699,BM31*0.01095,""))))</f>
        <v>23.576442211055273</v>
      </c>
      <c r="BO31" s="517"/>
      <c r="BP31" s="576">
        <v>2849.1256281407032</v>
      </c>
      <c r="BQ31" s="517">
        <f>IF(BP31&lt;2700,BP31*0.007,IF(BP31&lt;3200,BP31*0.008,IF(BP31&lt;3700,BP31*0.0097,IF(BP31&gt;3699,BP31*0.01095,""))))</f>
        <v>22.793005025125627</v>
      </c>
      <c r="BR31" s="517"/>
      <c r="BS31" s="576">
        <v>3192.6030150753768</v>
      </c>
      <c r="BT31" s="517">
        <f>IF(BS31&lt;2700,BS31*0.007,IF(BS31&lt;3200,BS31*0.008,IF(BS31&lt;3700,BS31*0.0097,IF(BS31&gt;3699,BS31*0.01095,""))))</f>
        <v>25.540824120603016</v>
      </c>
      <c r="BU31" s="517"/>
      <c r="BV31" s="576">
        <v>2590.5527638190956</v>
      </c>
      <c r="BW31" s="517">
        <f>IF(BV31&lt;2700,BV31*0.007,IF(BV31&lt;3200,BV31*0.008,IF(BV31&lt;3700,BV31*0.0097,IF(BV31&gt;3699,BV31*0.01095,""))))</f>
        <v>18.133869346733668</v>
      </c>
      <c r="BX31" s="517"/>
      <c r="BY31" s="576">
        <v>1296.2412060301506</v>
      </c>
      <c r="BZ31" s="517">
        <f>IF(BY31&lt;2700,BY31*0.007,IF(BY31&lt;3200,BY31*0.008,IF(BY31&lt;3700,BY31*0.0097,IF(BY31&gt;3699,BY31*0.01095,""))))</f>
        <v>9.0736884422110542</v>
      </c>
      <c r="CA31" s="517"/>
      <c r="CB31" s="578">
        <v>0</v>
      </c>
      <c r="CC31" s="517">
        <f>IF(CB31&lt;2700,CB31*0.0097,IF(CB31&lt;3200,CB31*0.01095,IF(CB31&lt;3700,CB31*0.0122,IF(CB31&gt;3699,CB31*0.01345,""))))</f>
        <v>0</v>
      </c>
      <c r="CD31" s="517">
        <v>0</v>
      </c>
      <c r="CE31" s="576">
        <v>3387.497487437186</v>
      </c>
      <c r="CF31" s="517">
        <f>IF(CE31&lt;2700,CE31*0.007,IF(CE31&lt;3200,CE31*0.008,IF(CE31&lt;3700,CE31*0.0097,IF(CE31&gt;3699,CE31*0.01095,""))))</f>
        <v>32.858725628140704</v>
      </c>
      <c r="CG31" s="517"/>
      <c r="CH31" s="578">
        <v>0</v>
      </c>
      <c r="CI31" s="517">
        <f>IF(CH31&lt;2700,CH31*0.0097,IF(CH31&lt;3200,CH31*0.01095,IF(CH31&lt;3700,CH31*0.0122,IF(CH31&gt;3699,CH31*0.01345,""))))</f>
        <v>0</v>
      </c>
      <c r="CJ31" s="517"/>
      <c r="CK31" s="620">
        <v>0</v>
      </c>
      <c r="CL31" s="517">
        <f>IF(CK31&lt;2700,CK31*0.0097,IF(CK31&lt;3200,CK31*0.01095,IF(CK31&lt;3700,CK31*0.0122,IF(CK31&gt;3699,CK31*0.01345,""))))</f>
        <v>0</v>
      </c>
      <c r="CM31" s="517"/>
      <c r="CN31" s="620">
        <v>0</v>
      </c>
      <c r="CO31" s="517">
        <f>IF(CN31&lt;2700,CN31*0.0097,IF(CN31&lt;3200,CN31*0.01095,IF(CN31&lt;3700,CN31*0.0122,IF(CN31&gt;3699,CN31*0.01345,""))))</f>
        <v>0</v>
      </c>
      <c r="CP31" s="517"/>
      <c r="CQ31" s="620">
        <v>0</v>
      </c>
      <c r="CR31" s="517">
        <f>IF(CQ31&lt;2700,CQ31*0.0097,IF(CQ31&lt;3200,CQ31*0.01095,IF(CQ31&lt;3700,CQ31*0.0122,IF(CQ31&gt;3699,CQ31*0.01345,""))))</f>
        <v>0</v>
      </c>
      <c r="CS31" s="517"/>
      <c r="CT31" s="551">
        <f t="shared" si="37"/>
        <v>20070.27135678392</v>
      </c>
      <c r="CU31" s="552">
        <f t="shared" si="37"/>
        <v>173.66535075376885</v>
      </c>
      <c r="CV31" s="553">
        <f t="shared" si="38"/>
        <v>0</v>
      </c>
      <c r="CW31" s="587"/>
      <c r="CX31" s="554">
        <f t="shared" si="39"/>
        <v>173.66535075376885</v>
      </c>
      <c r="CY31" s="588">
        <f t="shared" si="40"/>
        <v>50071.477386934668</v>
      </c>
      <c r="CZ31" s="589">
        <f t="shared" si="40"/>
        <v>473.42725628140704</v>
      </c>
      <c r="DA31" s="590">
        <f t="shared" si="40"/>
        <v>76</v>
      </c>
      <c r="DB31" s="591">
        <f t="shared" si="41"/>
        <v>549.42725628140704</v>
      </c>
      <c r="DC31" s="192"/>
      <c r="DD31" s="398"/>
      <c r="DE31" s="570"/>
      <c r="DF31" s="570"/>
      <c r="DG31" s="570"/>
      <c r="DH31" s="570"/>
      <c r="DI31" s="570"/>
      <c r="DJ31" s="570"/>
      <c r="DK31" s="570"/>
      <c r="DL31" s="570"/>
      <c r="DM31" s="570"/>
      <c r="DN31" s="570"/>
      <c r="DO31" s="570"/>
      <c r="DP31" s="570"/>
      <c r="DQ31" s="570"/>
      <c r="DR31" s="570"/>
      <c r="DS31" s="570"/>
      <c r="DT31" s="570"/>
      <c r="DU31" s="570"/>
      <c r="DV31" s="570"/>
      <c r="DW31" s="570"/>
      <c r="DX31" s="570"/>
      <c r="DY31" s="570"/>
      <c r="DZ31" s="570"/>
      <c r="EA31" s="570"/>
      <c r="EB31" s="570"/>
      <c r="EC31" s="570"/>
      <c r="ED31" s="570"/>
      <c r="EE31" s="570"/>
      <c r="EF31" s="570"/>
      <c r="EG31" s="570"/>
      <c r="EH31" s="570"/>
      <c r="EI31" s="570"/>
      <c r="EJ31" s="570"/>
      <c r="EK31" s="570"/>
      <c r="EL31" s="570"/>
      <c r="EM31" s="570"/>
      <c r="EN31" s="570"/>
      <c r="EO31" s="570"/>
      <c r="EP31" s="570"/>
      <c r="EQ31" s="570"/>
      <c r="ER31" s="570"/>
    </row>
    <row r="32" spans="1:148" s="571" customFormat="1" ht="15.75" customHeight="1" x14ac:dyDescent="0.25">
      <c r="A32" s="572">
        <f t="shared" si="42"/>
        <v>23</v>
      </c>
      <c r="B32" s="638" t="s">
        <v>68</v>
      </c>
      <c r="C32" s="670" t="s">
        <v>584</v>
      </c>
      <c r="D32" s="635" t="s">
        <v>587</v>
      </c>
      <c r="E32" s="636" t="s">
        <v>588</v>
      </c>
      <c r="F32" s="579">
        <v>0</v>
      </c>
      <c r="G32" s="517">
        <f>IF(F32&lt;2700,F32*0.0101,IF(F32&lt;3200,F32*0.01135,IF(F32&lt;3700,F32*0.0126,IF(F32&gt;3699,F32*0.01385,""))))</f>
        <v>0</v>
      </c>
      <c r="H32" s="671">
        <v>20</v>
      </c>
      <c r="I32" s="579">
        <v>0</v>
      </c>
      <c r="J32" s="517">
        <f>IF(I32&lt;2700,I32*0.0101,IF(I32&lt;3200,I32*0.01135,IF(I32&lt;3700,I32*0.0126,IF(I32&gt;3699,I32*0.01385,""))))</f>
        <v>0</v>
      </c>
      <c r="K32" s="671">
        <v>20</v>
      </c>
      <c r="L32" s="579">
        <v>0</v>
      </c>
      <c r="M32" s="517">
        <f>IF(L32&lt;2700,L32*0.0101,IF(L32&lt;3200,L32*0.01135,IF(L32&lt;3700,L32*0.0126,IF(L32&gt;3699,L32*0.01385,""))))</f>
        <v>0</v>
      </c>
      <c r="N32" s="671">
        <v>20</v>
      </c>
      <c r="O32" s="578"/>
      <c r="P32" s="517">
        <f>IF(O32&lt;2700,O32*0.0101,IF(O32&lt;3200,O32*0.01135,IF(O32&lt;3700,O32*0.0126,IF(O32&gt;3699,O32*0.01385,""))))</f>
        <v>0</v>
      </c>
      <c r="Q32" s="517"/>
      <c r="R32" s="576">
        <v>4296.8442211055271</v>
      </c>
      <c r="S32" s="517">
        <f>IF(R32&lt;2700,R32*0.0075,IF(R32&lt;3200,R32*0.009,IF(R32&lt;3700,R32*0.0101,IF(R32&gt;3699,R32*0.01135,""))))</f>
        <v>48.769181909547733</v>
      </c>
      <c r="T32" s="517"/>
      <c r="U32" s="576">
        <v>3354.6934673366832</v>
      </c>
      <c r="V32" s="517">
        <f>IF(U32&lt;2700,U32*0.0075,IF(U32&lt;3200,U32*0.009,IF(U32&lt;3700,U32*0.0101,IF(U32&gt;3699,U32*0.01135,""))))</f>
        <v>33.882404020100502</v>
      </c>
      <c r="W32" s="517"/>
      <c r="X32" s="578">
        <v>2617.0854271356784</v>
      </c>
      <c r="Y32" s="517">
        <f>IF(X32&lt;2700,X32*0.0075,IF(X32&lt;3200,X32*0.009,IF(X32&lt;3700,X32*0.0101,IF(X32&gt;3699,X32*0.01135,""))))</f>
        <v>19.628140703517587</v>
      </c>
      <c r="Z32" s="517"/>
      <c r="AA32" s="578">
        <v>2575.5979899497488</v>
      </c>
      <c r="AB32" s="517">
        <f>IF(AA32&lt;2700,AA32*0.0075,IF(AA32&lt;3200,AA32*0.009,IF(AA32&lt;3700,AA32*0.0101,IF(AA32&gt;3699,AA32*0.01135,""))))</f>
        <v>19.316984924623114</v>
      </c>
      <c r="AC32" s="517"/>
      <c r="AD32" s="576">
        <v>6276.1809045226128</v>
      </c>
      <c r="AE32" s="517">
        <f>IF(AD32&lt;2700,AD32*0.0075,IF(AD32&lt;3200,AD32*0.009,IF(AD32&lt;3700,AD32*0.0101,IF(AD32&gt;3699,AD32*0.01135,""))))</f>
        <v>71.234653266331662</v>
      </c>
      <c r="AF32" s="517"/>
      <c r="AG32" s="661">
        <v>0</v>
      </c>
      <c r="AH32" s="517">
        <f>IF(AG32&lt;2700,AG32*0.0101,IF(AG32&lt;3200,AG32*0.01135,IF(AG32&lt;3700,AG32*0.0126,IF(AG32&gt;3699,AG32*0.01385,""))))</f>
        <v>0</v>
      </c>
      <c r="AI32" s="517"/>
      <c r="AJ32" s="576">
        <v>3702.0301507537688</v>
      </c>
      <c r="AK32" s="517">
        <f>IF(AJ32&lt;2700,AJ32*0.0075,IF(AJ32&lt;3200,AJ32*0.009,IF(AJ32&lt;3700,AJ32*0.0101,IF(AJ32&gt;3699,AJ32*0.01135,""))))</f>
        <v>42.018042211055281</v>
      </c>
      <c r="AL32" s="517"/>
      <c r="AM32" s="576">
        <v>3237.4673366834172</v>
      </c>
      <c r="AN32" s="517">
        <f>IF(AM32&lt;2700,AM32*0.0075,IF(AM32&lt;3200,AM32*0.009,IF(AM32&lt;3700,AM32*0.0101,IF(AM32&gt;3699,AM32*0.01135,""))))</f>
        <v>32.69842010050251</v>
      </c>
      <c r="AO32" s="517"/>
      <c r="AP32" s="578">
        <v>0</v>
      </c>
      <c r="AQ32" s="517">
        <f>IF(AP32&lt;2700,AP32*0.0101,IF(AP32&lt;3200,AP32*0.01135,IF(AP32&lt;3700,AP32*0.0126,IF(AP32&gt;3699,AP32*0.01385,""))))</f>
        <v>0</v>
      </c>
      <c r="AR32" s="517">
        <v>16</v>
      </c>
      <c r="AS32" s="576">
        <v>3941.3065326633168</v>
      </c>
      <c r="AT32" s="517">
        <f>IF(AS32&lt;2700,AS32*0.0075,IF(AS32&lt;3200,AS32*0.009,IF(AS32&lt;3700,AS32*0.0101,IF(AS32&gt;3699,AS32*0.01135,""))))</f>
        <v>44.733829145728649</v>
      </c>
      <c r="AU32" s="517"/>
      <c r="AV32" s="578"/>
      <c r="AW32" s="517">
        <f>IF(AV32&lt;2700,AV32*0.0101,IF(AV32&lt;3200,AV32*0.01135,IF(AV32&lt;3700,AV32*0.0126,IF(AV32&gt;3699,AV32*0.01385,""))))</f>
        <v>0</v>
      </c>
      <c r="AX32" s="517"/>
      <c r="AY32" s="578"/>
      <c r="AZ32" s="517">
        <f>IF(AY32&lt;2700,AY32*0.0101,IF(AY32&lt;3200,AY32*0.01135,IF(AY32&lt;3700,AY32*0.0126,IF(AY32&gt;3699,AY32*0.01385,""))))</f>
        <v>0</v>
      </c>
      <c r="BA32" s="517"/>
      <c r="BB32" s="581">
        <f t="shared" si="35"/>
        <v>30001.206030150752</v>
      </c>
      <c r="BC32" s="582">
        <f t="shared" si="35"/>
        <v>312.28165628140704</v>
      </c>
      <c r="BD32" s="465">
        <f t="shared" si="35"/>
        <v>76</v>
      </c>
      <c r="BE32" s="583"/>
      <c r="BF32" s="584">
        <f t="shared" si="36"/>
        <v>388.28165628140704</v>
      </c>
      <c r="BG32" s="578">
        <v>3807.1959798994976</v>
      </c>
      <c r="BH32" s="517">
        <f>IF(BG32&lt;2700,BG32*0.0075,IF(BG32&lt;3200,BG32*0.009,IF(BG32&lt;3700,BG32*0.0101,IF(BG32&gt;3699,BG32*0.01135,""))))</f>
        <v>43.211674371859303</v>
      </c>
      <c r="BI32" s="517"/>
      <c r="BJ32" s="578">
        <v>0</v>
      </c>
      <c r="BK32" s="517">
        <f>IF(BJ32&lt;2700,BJ32*0.0101,IF(BJ32&lt;3200,BJ32*0.01135,IF(BJ32&lt;3700,BJ32*0.0126,IF(BJ32&gt;3699,BJ32*0.01385,""))))</f>
        <v>0</v>
      </c>
      <c r="BL32" s="517">
        <v>12</v>
      </c>
      <c r="BM32" s="576">
        <v>2947.0552763819092</v>
      </c>
      <c r="BN32" s="517">
        <f>IF(BM32&lt;2700,BM32*0.0075,IF(BM32&lt;3200,BM32*0.009,IF(BM32&lt;3700,BM32*0.0101,IF(BM32&gt;3699,BM32*0.01135,""))))</f>
        <v>26.523497487437179</v>
      </c>
      <c r="BO32" s="517"/>
      <c r="BP32" s="576">
        <v>2849.1256281407032</v>
      </c>
      <c r="BQ32" s="517">
        <f>IF(BP32&lt;2700,BP32*0.0075,IF(BP32&lt;3200,BP32*0.009,IF(BP32&lt;3700,BP32*0.0101,IF(BP32&gt;3699,BP32*0.01135,""))))</f>
        <v>25.642130653266328</v>
      </c>
      <c r="BR32" s="517"/>
      <c r="BS32" s="576">
        <v>3192.6030150753768</v>
      </c>
      <c r="BT32" s="517">
        <f>IF(BS32&lt;2700,BS32*0.0075,IF(BS32&lt;3200,BS32*0.009,IF(BS32&lt;3700,BS32*0.0101,IF(BS32&gt;3699,BS32*0.01135,""))))</f>
        <v>28.73342713567839</v>
      </c>
      <c r="BU32" s="517"/>
      <c r="BV32" s="576">
        <v>2590.5527638190956</v>
      </c>
      <c r="BW32" s="517">
        <f>IF(BV32&lt;2700,BV32*0.0075,IF(BV32&lt;3200,BV32*0.009,IF(BV32&lt;3700,BV32*0.0101,IF(BV32&gt;3699,BV32*0.01135,""))))</f>
        <v>19.429145728643217</v>
      </c>
      <c r="BX32" s="517"/>
      <c r="BY32" s="576">
        <v>1296.2412060301506</v>
      </c>
      <c r="BZ32" s="517">
        <f>IF(BY32&lt;2700,BY32*0.0075,IF(BY32&lt;3200,BY32*0.009,IF(BY32&lt;3700,BY32*0.0101,IF(BY32&gt;3699,BY32*0.01135,""))))</f>
        <v>9.721809045226129</v>
      </c>
      <c r="CA32" s="517"/>
      <c r="CB32" s="578">
        <v>0</v>
      </c>
      <c r="CC32" s="517">
        <f>IF(CB32&lt;2700,CB32*0.0101,IF(CB32&lt;3200,CB32*0.01135,IF(CB32&lt;3700,CB32*0.0126,IF(CB32&gt;3699,CB32*0.01385,""))))</f>
        <v>0</v>
      </c>
      <c r="CD32" s="517">
        <v>10</v>
      </c>
      <c r="CE32" s="576">
        <v>0</v>
      </c>
      <c r="CF32" s="517">
        <f>IF(CE32&lt;2700,CE32*0.0075,IF(CE32&lt;3200,CE32*0.009,IF(CE32&lt;3700,CE32*0.0101,IF(CE32&gt;3699,CE32*0.01135,""))))</f>
        <v>0</v>
      </c>
      <c r="CG32" s="517">
        <v>18</v>
      </c>
      <c r="CH32" s="620">
        <v>0</v>
      </c>
      <c r="CI32" s="517">
        <f>IF(CH32&lt;2700,CH32*0.0101,IF(CH32&lt;3200,CH32*0.01135,IF(CH32&lt;3700,CH32*0.0126,IF(CH32&gt;3699,CH32*0.01385,""))))</f>
        <v>0</v>
      </c>
      <c r="CJ32" s="660">
        <v>18</v>
      </c>
      <c r="CK32" s="620">
        <v>0</v>
      </c>
      <c r="CL32" s="517">
        <f>IF(CK32&lt;2700,CK32*0.0101,IF(CK32&lt;3200,CK32*0.01135,IF(CK32&lt;3700,CK32*0.0126,IF(CK32&gt;3699,CK32*0.01385,""))))</f>
        <v>0</v>
      </c>
      <c r="CM32" s="517"/>
      <c r="CN32" s="578">
        <v>0</v>
      </c>
      <c r="CO32" s="517">
        <f>IF(CN32&lt;2700,CN32*0.0101,IF(CN32&lt;3200,CN32*0.01135,IF(CN32&lt;3700,CN32*0.0126,IF(CN32&gt;3699,CN32*0.01385,""))))</f>
        <v>0</v>
      </c>
      <c r="CP32" s="517"/>
      <c r="CQ32" s="578">
        <v>0</v>
      </c>
      <c r="CR32" s="517">
        <f>IF(CQ32&lt;2700,CQ32*0.0101,IF(CQ32&lt;3200,CQ32*0.01135,IF(CQ32&lt;3700,CQ32*0.0126,IF(CQ32&gt;3699,CQ32*0.01385,""))))</f>
        <v>0</v>
      </c>
      <c r="CS32" s="517">
        <v>18</v>
      </c>
      <c r="CT32" s="551">
        <f t="shared" si="37"/>
        <v>16682.773869346733</v>
      </c>
      <c r="CU32" s="552">
        <f t="shared" si="37"/>
        <v>153.26168442211056</v>
      </c>
      <c r="CV32" s="553">
        <f t="shared" si="38"/>
        <v>76</v>
      </c>
      <c r="CW32" s="587"/>
      <c r="CX32" s="554">
        <f t="shared" si="39"/>
        <v>229.26168442211056</v>
      </c>
      <c r="CY32" s="555">
        <f t="shared" si="40"/>
        <v>46683.979899497484</v>
      </c>
      <c r="CZ32" s="556">
        <f t="shared" si="40"/>
        <v>465.54334070351763</v>
      </c>
      <c r="DA32" s="557">
        <f t="shared" si="40"/>
        <v>152</v>
      </c>
      <c r="DB32" s="558">
        <f t="shared" si="41"/>
        <v>617.54334070351763</v>
      </c>
      <c r="DC32" s="452"/>
      <c r="DD32" s="398"/>
      <c r="DE32" s="570"/>
      <c r="DF32" s="570"/>
      <c r="DG32" s="570"/>
      <c r="DH32" s="570"/>
      <c r="DI32" s="570"/>
      <c r="DJ32" s="570"/>
      <c r="DK32" s="570"/>
      <c r="DL32" s="570"/>
      <c r="DM32" s="570"/>
      <c r="DN32" s="570"/>
      <c r="DO32" s="570"/>
      <c r="DP32" s="570"/>
      <c r="DQ32" s="570"/>
      <c r="DR32" s="570"/>
      <c r="DS32" s="570"/>
      <c r="DT32" s="570"/>
      <c r="DU32" s="570"/>
      <c r="DV32" s="570"/>
      <c r="DW32" s="570"/>
      <c r="DX32" s="570"/>
      <c r="DY32" s="570"/>
      <c r="DZ32" s="570"/>
      <c r="EA32" s="570"/>
      <c r="EB32" s="570"/>
      <c r="EC32" s="570"/>
      <c r="ED32" s="570"/>
      <c r="EE32" s="570"/>
      <c r="EF32" s="570"/>
      <c r="EG32" s="570"/>
      <c r="EH32" s="570"/>
      <c r="EI32" s="570"/>
      <c r="EJ32" s="570"/>
      <c r="EK32" s="570"/>
      <c r="EL32" s="570"/>
      <c r="EM32" s="570"/>
      <c r="EN32" s="570"/>
      <c r="EO32" s="570"/>
      <c r="EP32" s="570"/>
      <c r="EQ32" s="570"/>
      <c r="ER32" s="570"/>
    </row>
    <row r="33" spans="1:148" ht="15.75" customHeight="1" thickBot="1" x14ac:dyDescent="0.3">
      <c r="A33" s="572">
        <f t="shared" si="42"/>
        <v>24</v>
      </c>
      <c r="B33" s="640" t="s">
        <v>75</v>
      </c>
      <c r="C33" s="641" t="s">
        <v>584</v>
      </c>
      <c r="D33" s="642" t="s">
        <v>589</v>
      </c>
      <c r="E33" s="643" t="s">
        <v>590</v>
      </c>
      <c r="F33" s="576">
        <v>0</v>
      </c>
      <c r="G33" s="517">
        <f>IF(F33&lt;2700,F33*0.0097,IF(F33&lt;3200,F33*0.01095,IF(F33&lt;3700,F33*0.0122,IF(F33&gt;3699,F33*0.01345,""))))</f>
        <v>0</v>
      </c>
      <c r="H33" s="517">
        <v>20</v>
      </c>
      <c r="I33" s="576">
        <v>0</v>
      </c>
      <c r="J33" s="517">
        <f>IF(I33&lt;2700,I33*0.0097,IF(I33&lt;3200,I33*0.01095,IF(I33&lt;3700,I33*0.0122,IF(I33&gt;3699,I33*0.01345,""))))</f>
        <v>0</v>
      </c>
      <c r="K33" s="517">
        <v>20</v>
      </c>
      <c r="L33" s="576">
        <v>0</v>
      </c>
      <c r="M33" s="517">
        <f>IF(L33&lt;2700,L33*0.0097,IF(L33&lt;3200,L33*0.01095,IF(L33&lt;3700,L33*0.0122,IF(L33&gt;3699,L33*0.01345,""))))</f>
        <v>0</v>
      </c>
      <c r="N33" s="517">
        <v>20</v>
      </c>
      <c r="O33" s="620"/>
      <c r="P33" s="517">
        <f>IF(O33&lt;2700,O33*0.0097,IF(O33&lt;3200,O33*0.01095,IF(O33&lt;3700,O33*0.0122,IF(O33&gt;3699,O33*0.01345,""))))</f>
        <v>0</v>
      </c>
      <c r="Q33" s="580"/>
      <c r="R33" s="579">
        <v>4296.8442211055271</v>
      </c>
      <c r="S33" s="517">
        <f>IF(R33&lt;2700,R33*0.007,IF(R33&lt;3200,R33*0.008,IF(R33&lt;3700,R33*0.0097,IF(R33&gt;3699,R33*0.01095,""))))</f>
        <v>47.050444221105522</v>
      </c>
      <c r="T33" s="580"/>
      <c r="U33" s="579">
        <v>3354.6934673366832</v>
      </c>
      <c r="V33" s="517">
        <f>IF(U33&lt;2700,U33*0.007,IF(U33&lt;3200,U33*0.008,IF(U33&lt;3700,U33*0.0097,IF(U33&gt;3699,U33*0.01095,""))))</f>
        <v>32.540526633165825</v>
      </c>
      <c r="W33" s="580"/>
      <c r="X33" s="620">
        <v>2617.0854271356784</v>
      </c>
      <c r="Y33" s="517">
        <f>IF(X33&lt;2700,X33*0.007,IF(X33&lt;3200,X33*0.008,IF(X33&lt;3700,X33*0.0097,IF(X33&gt;3699,X33*0.01095,""))))</f>
        <v>18.319597989949749</v>
      </c>
      <c r="Z33" s="580"/>
      <c r="AA33" s="620">
        <v>2575.5979899497488</v>
      </c>
      <c r="AB33" s="517">
        <f>IF(AA33&lt;2700,AA33*0.007,IF(AA33&lt;3200,AA33*0.008,IF(AA33&lt;3700,AA33*0.0097,IF(AA33&gt;3699,AA33*0.01095,""))))</f>
        <v>18.029185929648243</v>
      </c>
      <c r="AC33" s="580"/>
      <c r="AD33" s="579">
        <v>6276.1809045226128</v>
      </c>
      <c r="AE33" s="517">
        <f>IF(AD33&lt;2700,AD33*0.007,IF(AD33&lt;3200,AD33*0.008,IF(AD33&lt;3700,AD33*0.0097,IF(AD33&gt;3699,AD33*0.01095,""))))</f>
        <v>68.724180904522612</v>
      </c>
      <c r="AF33" s="580"/>
      <c r="AG33" s="576">
        <v>0</v>
      </c>
      <c r="AH33" s="517">
        <f>IF(AG33&lt;2700,AG33*0.0097,IF(AG33&lt;3200,AG33*0.01095,IF(AG33&lt;3700,AG33*0.0122,IF(AG33&gt;3699,AG33*0.01345,""))))</f>
        <v>0</v>
      </c>
      <c r="AI33" s="580"/>
      <c r="AJ33" s="579">
        <v>3702.0301507537688</v>
      </c>
      <c r="AK33" s="517">
        <f>IF(AJ33&lt;2700,AJ33*0.007,IF(AJ33&lt;3200,AJ33*0.008,IF(AJ33&lt;3700,AJ33*0.0097,IF(AJ33&gt;3699,AJ33*0.01095,""))))</f>
        <v>40.537230150753764</v>
      </c>
      <c r="AL33" s="580"/>
      <c r="AM33" s="579">
        <v>3237.4673366834172</v>
      </c>
      <c r="AN33" s="517">
        <f>IF(AM33&lt;2700,AM33*0.007,IF(AM33&lt;3200,AM33*0.008,IF(AM33&lt;3700,AM33*0.0097,IF(AM33&gt;3699,AM33*0.01095,""))))</f>
        <v>31.403433165829149</v>
      </c>
      <c r="AO33" s="580"/>
      <c r="AP33" s="620">
        <v>0</v>
      </c>
      <c r="AQ33" s="517">
        <f>IF(AP33&lt;2700,AP33*0.0097,IF(AP33&lt;3200,AP33*0.01095,IF(AP33&lt;3700,AP33*0.0122,IF(AP33&gt;3699,AP33*0.01345,""))))</f>
        <v>0</v>
      </c>
      <c r="AR33" s="580">
        <v>16</v>
      </c>
      <c r="AS33" s="579">
        <v>3941.3065326633168</v>
      </c>
      <c r="AT33" s="517">
        <f>IF(AS33&lt;2700,AS33*0.007,IF(AS33&lt;3200,AS33*0.008,IF(AS33&lt;3700,AS33*0.0097,IF(AS33&gt;3699,AS33*0.01095,""))))</f>
        <v>43.15730653266332</v>
      </c>
      <c r="AU33" s="580"/>
      <c r="AV33" s="620"/>
      <c r="AW33" s="517">
        <f>IF(AV33&lt;2700,AV33*0.0097,IF(AV33&lt;3200,AV33*0.01095,IF(AV33&lt;3700,AV33*0.0122,IF(AV33&gt;3699,AV33*0.01345,""))))</f>
        <v>0</v>
      </c>
      <c r="AX33" s="580"/>
      <c r="AY33" s="620"/>
      <c r="AZ33" s="517">
        <f>IF(AY33&lt;2700,AY33*0.0097,IF(AY33&lt;3200,AY33*0.01095,IF(AY33&lt;3700,AY33*0.0122,IF(AY33&gt;3699,AY33*0.01345,""))))</f>
        <v>0</v>
      </c>
      <c r="BA33" s="580"/>
      <c r="BB33" s="644">
        <f t="shared" si="35"/>
        <v>30001.206030150752</v>
      </c>
      <c r="BC33" s="645">
        <f t="shared" si="35"/>
        <v>299.76190552763819</v>
      </c>
      <c r="BD33" s="488">
        <f t="shared" si="35"/>
        <v>76</v>
      </c>
      <c r="BE33" s="646"/>
      <c r="BF33" s="647">
        <f t="shared" si="36"/>
        <v>375.76190552763819</v>
      </c>
      <c r="BG33" s="620">
        <v>3807.1959798994976</v>
      </c>
      <c r="BH33" s="517">
        <f>IF(BG33&lt;2700,BG33*0.007,IF(BG33&lt;3200,BG33*0.008,IF(BG33&lt;3700,BG33*0.0097,IF(BG33&gt;3699,BG33*0.01095,""))))</f>
        <v>41.688795979899496</v>
      </c>
      <c r="BI33" s="580"/>
      <c r="BJ33" s="620">
        <v>0</v>
      </c>
      <c r="BK33" s="517">
        <f>IF(BJ33&lt;2700,BJ33*0.0097,IF(BJ33&lt;3200,BJ33*0.01095,IF(BJ33&lt;3700,BJ33*0.0122,IF(BJ33&gt;3699,BJ33*0.01345,""))))</f>
        <v>0</v>
      </c>
      <c r="BL33" s="580">
        <v>12</v>
      </c>
      <c r="BM33" s="579">
        <v>2947.0552763819092</v>
      </c>
      <c r="BN33" s="517">
        <f>IF(BM33&lt;2700,BM33*0.007,IF(BM33&lt;3200,BM33*0.008,IF(BM33&lt;3700,BM33*0.0097,IF(BM33&gt;3699,BM33*0.01095,""))))</f>
        <v>23.576442211055273</v>
      </c>
      <c r="BO33" s="580"/>
      <c r="BP33" s="579">
        <v>2849.1256281407032</v>
      </c>
      <c r="BQ33" s="517">
        <f>IF(BP33&lt;2700,BP33*0.007,IF(BP33&lt;3200,BP33*0.008,IF(BP33&lt;3700,BP33*0.0097,IF(BP33&gt;3699,BP33*0.01095,""))))</f>
        <v>22.793005025125627</v>
      </c>
      <c r="BR33" s="580"/>
      <c r="BS33" s="579">
        <v>3192.6030150753768</v>
      </c>
      <c r="BT33" s="517">
        <f>IF(BS33&lt;2700,BS33*0.007,IF(BS33&lt;3200,BS33*0.008,IF(BS33&lt;3700,BS33*0.0097,IF(BS33&gt;3699,BS33*0.01095,""))))</f>
        <v>25.540824120603016</v>
      </c>
      <c r="BU33" s="580"/>
      <c r="BV33" s="579">
        <v>2590.5527638190956</v>
      </c>
      <c r="BW33" s="517">
        <f>IF(BV33&lt;2700,BV33*0.007,IF(BV33&lt;3200,BV33*0.008,IF(BV33&lt;3700,BV33*0.0097,IF(BV33&gt;3699,BV33*0.01095,""))))</f>
        <v>18.133869346733668</v>
      </c>
      <c r="BX33" s="580"/>
      <c r="BY33" s="579">
        <v>1296.2412060301506</v>
      </c>
      <c r="BZ33" s="517">
        <f>IF(BY33&lt;2700,BY33*0.007,IF(BY33&lt;3200,BY33*0.008,IF(BY33&lt;3700,BY33*0.0097,IF(BY33&gt;3699,BY33*0.01095,""))))</f>
        <v>9.0736884422110542</v>
      </c>
      <c r="CA33" s="580"/>
      <c r="CB33" s="620">
        <v>0</v>
      </c>
      <c r="CC33" s="517">
        <f>IF(CB33&lt;2700,CB33*0.0097,IF(CB33&lt;3200,CB33*0.01095,IF(CB33&lt;3700,CB33*0.0122,IF(CB33&gt;3699,CB33*0.01345,""))))</f>
        <v>0</v>
      </c>
      <c r="CD33" s="580">
        <v>10</v>
      </c>
      <c r="CE33" s="579">
        <v>3387.497487437186</v>
      </c>
      <c r="CF33" s="517">
        <f>IF(CE33&lt;2700,CE33*0.007,IF(CE33&lt;3200,CE33*0.008,IF(CE33&lt;3700,CE33*0.0097,IF(CE33&gt;3699,CE33*0.01095,""))))</f>
        <v>32.858725628140704</v>
      </c>
      <c r="CG33" s="580"/>
      <c r="CH33" s="578">
        <v>0</v>
      </c>
      <c r="CI33" s="517">
        <f>IF(CH33&lt;2700,CH33*0.0097,IF(CH33&lt;3200,CH33*0.01095,IF(CH33&lt;3700,CH33*0.0122,IF(CH33&gt;3699,CH33*0.01345,""))))</f>
        <v>0</v>
      </c>
      <c r="CJ33" s="517">
        <v>18</v>
      </c>
      <c r="CK33" s="620">
        <v>0</v>
      </c>
      <c r="CL33" s="517">
        <f>IF(CK33&lt;2700,CK33*0.0097,IF(CK33&lt;3200,CK33*0.01095,IF(CK33&lt;3700,CK33*0.0122,IF(CK33&gt;3699,CK33*0.01345,""))))</f>
        <v>0</v>
      </c>
      <c r="CM33" s="580">
        <v>18</v>
      </c>
      <c r="CN33" s="620">
        <v>0</v>
      </c>
      <c r="CO33" s="517">
        <f>IF(CN33&lt;2700,CN33*0.0097,IF(CN33&lt;3200,CN33*0.01095,IF(CN33&lt;3700,CN33*0.0122,IF(CN33&gt;3699,CN33*0.01345,""))))</f>
        <v>0</v>
      </c>
      <c r="CP33" s="580"/>
      <c r="CQ33" s="620">
        <v>0</v>
      </c>
      <c r="CR33" s="517">
        <f>IF(CQ33&lt;2700,CQ33*0.0097,IF(CQ33&lt;3200,CQ33*0.01095,IF(CQ33&lt;3700,CQ33*0.0122,IF(CQ33&gt;3699,CQ33*0.01345,""))))</f>
        <v>0</v>
      </c>
      <c r="CS33" s="580">
        <v>18</v>
      </c>
      <c r="CT33" s="495">
        <f t="shared" si="37"/>
        <v>20070.27135678392</v>
      </c>
      <c r="CU33" s="496">
        <f t="shared" si="37"/>
        <v>173.66535075376885</v>
      </c>
      <c r="CV33" s="497">
        <f t="shared" si="38"/>
        <v>76</v>
      </c>
      <c r="CW33" s="646"/>
      <c r="CX33" s="498">
        <f t="shared" si="39"/>
        <v>249.66535075376885</v>
      </c>
      <c r="CY33" s="499">
        <f t="shared" si="40"/>
        <v>50071.477386934668</v>
      </c>
      <c r="CZ33" s="500">
        <f t="shared" si="40"/>
        <v>473.42725628140704</v>
      </c>
      <c r="DA33" s="501">
        <f t="shared" si="40"/>
        <v>152</v>
      </c>
      <c r="DB33" s="502">
        <f t="shared" si="41"/>
        <v>625.42725628140704</v>
      </c>
    </row>
    <row r="34" spans="1:148" s="452" customFormat="1" ht="15.75" customHeight="1" x14ac:dyDescent="0.25">
      <c r="A34" s="592">
        <f t="shared" si="42"/>
        <v>25</v>
      </c>
      <c r="B34" s="672" t="s">
        <v>83</v>
      </c>
      <c r="C34" s="594" t="s">
        <v>591</v>
      </c>
      <c r="D34" s="649" t="s">
        <v>592</v>
      </c>
      <c r="E34" s="650" t="s">
        <v>593</v>
      </c>
      <c r="F34" s="602">
        <v>0</v>
      </c>
      <c r="G34" s="598">
        <f>IF(F34&lt;2700,F34*0.0105,IF(F34&lt;3200,F34*0.01175,IF(F34&lt;3700,F34*0.013,IF(F34&gt;3699,F34*0.01425,""))))</f>
        <v>0</v>
      </c>
      <c r="H34" s="599">
        <v>20</v>
      </c>
      <c r="I34" s="602">
        <v>1612.7035175879398</v>
      </c>
      <c r="J34" s="598">
        <f>IF(I34&lt;2700,I34*0.0085,IF(I34&lt;3200,I34*0.01,IF(I34&lt;3700,I34*0.0105,IF(I34&gt;3699,I34*0.01175,""))))</f>
        <v>13.70797989949749</v>
      </c>
      <c r="K34" s="599">
        <f>30-J34</f>
        <v>16.292020100502512</v>
      </c>
      <c r="L34" s="602">
        <v>0</v>
      </c>
      <c r="M34" s="598">
        <f>IF(L34&lt;2700,L34*0.0105,IF(L34&lt;3200,L34*0.01175,IF(L34&lt;3700,L34*0.013,IF(L34&gt;3699,L34*0.01425,""))))</f>
        <v>0</v>
      </c>
      <c r="N34" s="599">
        <v>20</v>
      </c>
      <c r="O34" s="607"/>
      <c r="P34" s="598">
        <f>IF(O34&lt;2700,O34*0.0105,IF(O34&lt;3200,O34*0.01175,IF(O34&lt;3700,O34*0.013,IF(O34&gt;3699,O34*0.01425,""))))</f>
        <v>0</v>
      </c>
      <c r="Q34" s="599"/>
      <c r="R34" s="602">
        <v>3512.924623115578</v>
      </c>
      <c r="S34" s="598">
        <f>IF(R34&lt;2700,R34*0.0085,IF(R34&lt;3200,R34*0.01,IF(R34&lt;3700,R34*0.0105,IF(R34&gt;3699,R34*0.01175,""))))</f>
        <v>36.885708542713573</v>
      </c>
      <c r="T34" s="599"/>
      <c r="U34" s="602">
        <v>3316.1005025125628</v>
      </c>
      <c r="V34" s="598">
        <f>IF(U34&lt;2700,U34*0.0085,IF(U34&lt;3200,U34*0.01,IF(U34&lt;3700,U34*0.0105,IF(U34&gt;3699,U34*0.01175,""))))</f>
        <v>34.81905527638191</v>
      </c>
      <c r="W34" s="599"/>
      <c r="X34" s="607">
        <v>2485.8693467336684</v>
      </c>
      <c r="Y34" s="598">
        <f>IF(X34&lt;2700,X34*0.0085,IF(X34&lt;3200,X34*0.01,IF(X34&lt;3700,X34*0.0105,IF(X34&gt;3699,X34*0.01175,""))))</f>
        <v>21.129889447236184</v>
      </c>
      <c r="Z34" s="599"/>
      <c r="AA34" s="607">
        <v>2361.4070351758796</v>
      </c>
      <c r="AB34" s="598">
        <f>IF(AA34&lt;2700,AA34*0.0085,IF(AA34&lt;3200,AA34*0.01,IF(AA34&lt;3700,AA34*0.0105,IF(AA34&gt;3699,AA34*0.01175,""))))</f>
        <v>20.071959798994978</v>
      </c>
      <c r="AC34" s="599"/>
      <c r="AD34" s="602">
        <v>6922.1306532663311</v>
      </c>
      <c r="AE34" s="598">
        <f>IF(AD34&lt;2700,AD34*0.0085,IF(AD34&lt;3200,AD34*0.01,IF(AD34&lt;3700,AD34*0.0105,IF(AD34&gt;3699,AD34*0.01175,""))))</f>
        <v>81.335035175879398</v>
      </c>
      <c r="AF34" s="599"/>
      <c r="AG34" s="602">
        <v>0</v>
      </c>
      <c r="AH34" s="598">
        <f>IF(AG34&lt;2700,AG34*0.0105,IF(AG34&lt;3200,AG34*0.01175,IF(AG34&lt;3700,AG34*0.013,IF(AG34&gt;3699,AG34*0.01425,""))))</f>
        <v>0</v>
      </c>
      <c r="AI34" s="599"/>
      <c r="AJ34" s="602">
        <v>4146.8140703517583</v>
      </c>
      <c r="AK34" s="598">
        <f>IF(AJ34&lt;2700,AJ34*0.0085,IF(AJ34&lt;3200,AJ34*0.01,IF(AJ34&lt;3700,AJ34*0.0105,IF(AJ34&gt;3699,AJ34*0.01175,""))))</f>
        <v>48.725065326633164</v>
      </c>
      <c r="AL34" s="599"/>
      <c r="AM34" s="602">
        <v>3157.3869346733673</v>
      </c>
      <c r="AN34" s="598">
        <f>IF(AM34&lt;2700,AM34*0.0085,IF(AM34&lt;3200,AM34*0.01,IF(AM34&lt;3700,AM34*0.0105,IF(AM34&gt;3699,AM34*0.01175,""))))</f>
        <v>31.573869346733673</v>
      </c>
      <c r="AO34" s="599"/>
      <c r="AP34" s="607">
        <v>0</v>
      </c>
      <c r="AQ34" s="598">
        <f>IF(AP34&lt;2700,AP34*0.0105,IF(AP34&lt;3200,AP34*0.01175,IF(AP34&lt;3700,AP34*0.013,IF(AP34&gt;3699,AP34*0.01425,""))))</f>
        <v>0</v>
      </c>
      <c r="AR34" s="599">
        <v>14</v>
      </c>
      <c r="AS34" s="602">
        <v>3583.3567839195985</v>
      </c>
      <c r="AT34" s="598">
        <f>IF(AS34&lt;2700,AS34*0.0085,IF(AS34&lt;3200,AS34*0.01,IF(AS34&lt;3700,AS34*0.0105,IF(AS34&gt;3699,AS34*0.01175,""))))</f>
        <v>37.625246231155785</v>
      </c>
      <c r="AU34" s="599"/>
      <c r="AV34" s="607"/>
      <c r="AW34" s="598">
        <f>IF(AV34&lt;2700,AV34*0.0105,IF(AV34&lt;3200,AV34*0.01175,IF(AV34&lt;3700,AV34*0.013,IF(AV34&gt;3699,AV34*0.01425,""))))</f>
        <v>0</v>
      </c>
      <c r="AX34" s="599"/>
      <c r="AY34" s="607"/>
      <c r="AZ34" s="598">
        <f>IF(AY34&lt;2700,AY34*0.0105,IF(AY34&lt;3200,AY34*0.01175,IF(AY34&lt;3700,AY34*0.013,IF(AY34&gt;3699,AY34*0.01425,""))))</f>
        <v>0</v>
      </c>
      <c r="BA34" s="599"/>
      <c r="BB34" s="603">
        <f t="shared" si="35"/>
        <v>31098.693467336685</v>
      </c>
      <c r="BC34" s="604">
        <f t="shared" si="35"/>
        <v>325.87380904522615</v>
      </c>
      <c r="BD34" s="605">
        <f t="shared" si="35"/>
        <v>70.292020100502512</v>
      </c>
      <c r="BE34" s="446"/>
      <c r="BF34" s="606">
        <f t="shared" si="36"/>
        <v>396.16582914572865</v>
      </c>
      <c r="BG34" s="607">
        <v>3196.9447236180904</v>
      </c>
      <c r="BH34" s="598">
        <f>IF(BG34&lt;2700,BG34*0.0085,IF(BG34&lt;3200,BG34*0.01,IF(BG34&lt;3700,BG34*0.0105,IF(BG34&gt;3699,BG34*0.01175,""))))</f>
        <v>31.969447236180905</v>
      </c>
      <c r="BI34" s="599"/>
      <c r="BJ34" s="607">
        <v>0</v>
      </c>
      <c r="BK34" s="598">
        <f>IF(BJ34&lt;2700,BJ34*0.0105,IF(BJ34&lt;3200,BJ34*0.01175,IF(BJ34&lt;3700,BJ34*0.013,IF(BJ34&gt;3699,BJ34*0.01425,""))))</f>
        <v>0</v>
      </c>
      <c r="BL34" s="599">
        <v>0</v>
      </c>
      <c r="BM34" s="602">
        <v>2853.4673366834168</v>
      </c>
      <c r="BN34" s="598">
        <f>IF(BM34&lt;2700,BM34*0.0085,IF(BM34&lt;3200,BM34*0.01,IF(BM34&lt;3700,BM34*0.0105,IF(BM34&gt;3699,BM34*0.01175,""))))</f>
        <v>28.53467336683417</v>
      </c>
      <c r="BO34" s="599"/>
      <c r="BP34" s="602">
        <v>3258.211055276382</v>
      </c>
      <c r="BQ34" s="598">
        <f>IF(BP34&lt;2700,BP34*0.0085,IF(BP34&lt;3200,BP34*0.01,IF(BP34&lt;3700,BP34*0.0105,IF(BP34&gt;3699,BP34*0.01175,""))))</f>
        <v>34.211216080402011</v>
      </c>
      <c r="BR34" s="599"/>
      <c r="BS34" s="602">
        <v>0</v>
      </c>
      <c r="BT34" s="598">
        <f>IF(BS34&lt;2700,BS34*0.0105,IF(BS34&lt;3200,BS34*0.01175,IF(BS34&lt;3700,BS34*0.013,IF(BS34&gt;3699,BS34*0.01425,""))))</f>
        <v>0</v>
      </c>
      <c r="BU34" s="599">
        <v>18</v>
      </c>
      <c r="BV34" s="602">
        <v>0</v>
      </c>
      <c r="BW34" s="598">
        <f>IF(BV34&lt;2700,BV34*0.0105,IF(BV34&lt;3200,BV34*0.01175,IF(BV34&lt;3700,BV34*0.013,IF(BV34&gt;3699,BV34*0.01425,""))))</f>
        <v>0</v>
      </c>
      <c r="BX34" s="599">
        <v>18</v>
      </c>
      <c r="BY34" s="602">
        <v>0</v>
      </c>
      <c r="BZ34" s="598">
        <f>IF(BY34&lt;2700,BY34*0.0105,IF(BY34&lt;3200,BY34*0.01175,IF(BY34&lt;3700,BY34*0.013,IF(BY34&gt;3699,BY34*0.01425,""))))</f>
        <v>0</v>
      </c>
      <c r="CA34" s="599">
        <v>18</v>
      </c>
      <c r="CB34" s="607">
        <v>0</v>
      </c>
      <c r="CC34" s="598">
        <f>IF(CB34&lt;2700,CB34*0.0105,IF(CB34&lt;3200,CB34*0.01175,IF(CB34&lt;3700,CB34*0.013,IF(CB34&gt;3699,CB34*0.01425,""))))</f>
        <v>0</v>
      </c>
      <c r="CD34" s="599">
        <v>0</v>
      </c>
      <c r="CE34" s="602">
        <v>3462.7537688442217</v>
      </c>
      <c r="CF34" s="598">
        <f>IF(CE34&lt;2700,CE34*0.0085,IF(CE34&lt;3200,CE34*0.01,IF(CE34&lt;3700,CE34*0.0105,IF(CE34&gt;3699,CE34*0.01175,""))))</f>
        <v>36.358914572864329</v>
      </c>
      <c r="CG34" s="599"/>
      <c r="CH34" s="609">
        <v>0</v>
      </c>
      <c r="CI34" s="598">
        <f>IF(CH34&lt;2700,CH34*0.0105,IF(CH34&lt;3200,CH34*0.01175,IF(CH34&lt;3700,CH34*0.013,IF(CH34&gt;3699,CH34*0.01425,""))))</f>
        <v>0</v>
      </c>
      <c r="CJ34" s="525"/>
      <c r="CK34" s="607">
        <v>0</v>
      </c>
      <c r="CL34" s="598">
        <f>IF(CK34&lt;2700,CK34*0.0105,IF(CK34&lt;3200,CK34*0.01175,IF(CK34&lt;3700,CK34*0.013,IF(CK34&gt;3699,CK34*0.01425,""))))</f>
        <v>0</v>
      </c>
      <c r="CM34" s="599"/>
      <c r="CN34" s="609">
        <v>0</v>
      </c>
      <c r="CO34" s="598">
        <f>IF(CN34&lt;2700,CN34*0.0105,IF(CN34&lt;3200,CN34*0.01175,IF(CN34&lt;3700,CN34*0.013,IF(CN34&gt;3699,CN34*0.01425,""))))</f>
        <v>0</v>
      </c>
      <c r="CP34" s="599"/>
      <c r="CQ34" s="609">
        <v>0</v>
      </c>
      <c r="CR34" s="598">
        <f>IF(CQ34&lt;2700,CQ34*0.0105,IF(CQ34&lt;3200,CQ34*0.01175,IF(CQ34&lt;3700,CQ34*0.013,IF(CQ34&gt;3699,CQ34*0.01425,""))))</f>
        <v>0</v>
      </c>
      <c r="CS34" s="599"/>
      <c r="CT34" s="443">
        <f t="shared" si="37"/>
        <v>12771.376884422112</v>
      </c>
      <c r="CU34" s="444">
        <f t="shared" si="37"/>
        <v>131.07425125628143</v>
      </c>
      <c r="CV34" s="445">
        <f t="shared" si="38"/>
        <v>54</v>
      </c>
      <c r="CW34" s="446"/>
      <c r="CX34" s="447">
        <f t="shared" si="39"/>
        <v>185.07425125628143</v>
      </c>
      <c r="CY34" s="448">
        <f t="shared" si="40"/>
        <v>43870.070351758797</v>
      </c>
      <c r="CZ34" s="449">
        <f t="shared" si="40"/>
        <v>456.94806030150755</v>
      </c>
      <c r="DA34" s="450">
        <f t="shared" si="40"/>
        <v>124.29202010050251</v>
      </c>
      <c r="DB34" s="451">
        <f t="shared" si="41"/>
        <v>581.24008040201011</v>
      </c>
      <c r="DD34" s="453"/>
      <c r="DE34" s="453"/>
      <c r="DF34" s="453"/>
      <c r="DG34" s="453"/>
      <c r="DH34" s="453"/>
      <c r="DI34" s="453"/>
      <c r="DJ34" s="453"/>
      <c r="DK34" s="453"/>
      <c r="DL34" s="453"/>
      <c r="DM34" s="453"/>
      <c r="DN34" s="453"/>
      <c r="DO34" s="453"/>
      <c r="DP34" s="453"/>
      <c r="DQ34" s="453"/>
      <c r="DR34" s="453"/>
      <c r="DS34" s="453"/>
      <c r="DT34" s="453"/>
      <c r="DU34" s="453"/>
      <c r="DV34" s="453"/>
      <c r="DW34" s="453"/>
      <c r="DX34" s="453"/>
      <c r="DY34" s="453"/>
      <c r="DZ34" s="453"/>
      <c r="EA34" s="453"/>
      <c r="EB34" s="453"/>
      <c r="EC34" s="453"/>
      <c r="ED34" s="453"/>
      <c r="EE34" s="453"/>
      <c r="EF34" s="453"/>
      <c r="EG34" s="453"/>
      <c r="EH34" s="453"/>
      <c r="EI34" s="453"/>
      <c r="EJ34" s="453"/>
      <c r="EK34" s="453"/>
      <c r="EL34" s="453"/>
      <c r="EM34" s="453"/>
      <c r="EN34" s="453"/>
      <c r="EO34" s="453"/>
      <c r="EP34" s="453"/>
      <c r="EQ34" s="453"/>
      <c r="ER34" s="453"/>
    </row>
    <row r="35" spans="1:148" s="571" customFormat="1" ht="15.75" customHeight="1" x14ac:dyDescent="0.25">
      <c r="A35" s="572">
        <f>+A34+1</f>
        <v>26</v>
      </c>
      <c r="B35" s="614" t="s">
        <v>85</v>
      </c>
      <c r="C35" s="673" t="s">
        <v>591</v>
      </c>
      <c r="D35" s="635" t="s">
        <v>594</v>
      </c>
      <c r="E35" s="636" t="s">
        <v>595</v>
      </c>
      <c r="F35" s="579">
        <v>0</v>
      </c>
      <c r="G35" s="517">
        <f>IF(F35&lt;2700,F35*0.0101,IF(F35&lt;3200,F35*0.01135,IF(F35&lt;3700,F35*0.0126,IF(F35&gt;3699,F35*0.01385,""))))</f>
        <v>0</v>
      </c>
      <c r="H35" s="660">
        <v>20</v>
      </c>
      <c r="I35" s="579">
        <v>0</v>
      </c>
      <c r="J35" s="517">
        <f>IF(I35&lt;2700,I35*0.009,IF(I35&lt;3200,I35*0.0101,IF(I35&lt;3700,I35*0.01135,IF(I35&gt;3699,I35*0.0126,""))))</f>
        <v>0</v>
      </c>
      <c r="K35" s="660">
        <v>30</v>
      </c>
      <c r="L35" s="579">
        <v>0</v>
      </c>
      <c r="M35" s="517">
        <f>IF(L35&lt;2700,L35*0.0101,IF(L35&lt;3200,L35*0.01135,IF(L35&lt;3700,L35*0.0126,IF(L35&gt;3699,L35*0.01385,""))))</f>
        <v>0</v>
      </c>
      <c r="N35" s="660">
        <v>40</v>
      </c>
      <c r="O35" s="620"/>
      <c r="P35" s="517">
        <f>IF(O35&lt;2700,O35*0.0101,IF(O35&lt;3200,O35*0.01135,IF(O35&lt;3700,O35*0.0126,IF(O35&gt;3699,O35*0.01385,""))))</f>
        <v>0</v>
      </c>
      <c r="Q35" s="660"/>
      <c r="R35" s="579">
        <v>3512.924623115578</v>
      </c>
      <c r="S35" s="517">
        <f>IF(R35&lt;2700,R35*0.0075,IF(R35&lt;3200,R35*0.009,IF(R35&lt;3700,R35*0.0101,IF(R35&gt;3699,R35*0.01135,""))))</f>
        <v>35.480538693467338</v>
      </c>
      <c r="T35" s="660"/>
      <c r="U35" s="579">
        <v>3316.1005025125628</v>
      </c>
      <c r="V35" s="517">
        <f>IF(U35&lt;2700,U35*0.0075,IF(U35&lt;3200,U35*0.009,IF(U35&lt;3700,U35*0.0101,IF(U35&gt;3699,U35*0.01135,""))))</f>
        <v>33.492615075376882</v>
      </c>
      <c r="W35" s="660"/>
      <c r="X35" s="620">
        <v>2485.8693467336684</v>
      </c>
      <c r="Y35" s="517">
        <f>IF(X35&lt;2700,X35*0.0075,IF(X35&lt;3200,X35*0.009,IF(X35&lt;3700,X35*0.0101,IF(X35&gt;3699,X35*0.01135,""))))</f>
        <v>18.644020100502512</v>
      </c>
      <c r="Z35" s="660"/>
      <c r="AA35" s="620">
        <v>2361.4070351758796</v>
      </c>
      <c r="AB35" s="517">
        <f>IF(AA35&lt;2700,AA35*0.0075,IF(AA35&lt;3200,AA35*0.009,IF(AA35&lt;3700,AA35*0.0101,IF(AA35&gt;3699,AA35*0.01135,""))))</f>
        <v>17.710552763819095</v>
      </c>
      <c r="AC35" s="660"/>
      <c r="AD35" s="579">
        <v>6922.1306532663311</v>
      </c>
      <c r="AE35" s="517">
        <f>IF(AD35&lt;2700,AD35*0.0075,IF(AD35&lt;3200,AD35*0.009,IF(AD35&lt;3700,AD35*0.0101,IF(AD35&gt;3699,AD35*0.01135,""))))</f>
        <v>78.566182914572863</v>
      </c>
      <c r="AF35" s="660"/>
      <c r="AG35" s="579">
        <v>0</v>
      </c>
      <c r="AH35" s="517">
        <f>IF(AG35&lt;2700,AG35*0.0101,IF(AG35&lt;3200,AG35*0.01135,IF(AG35&lt;3700,AG35*0.0126,IF(AG35&gt;3699,AG35*0.01385,""))))</f>
        <v>0</v>
      </c>
      <c r="AI35" s="660"/>
      <c r="AJ35" s="579">
        <v>4146.8140703517583</v>
      </c>
      <c r="AK35" s="517">
        <f>IF(AJ35&lt;2700,AJ35*0.0075,IF(AJ35&lt;3200,AJ35*0.009,IF(AJ35&lt;3700,AJ35*0.0101,IF(AJ35&gt;3699,AJ35*0.01135,""))))</f>
        <v>47.066339698492463</v>
      </c>
      <c r="AL35" s="660"/>
      <c r="AM35" s="579">
        <v>3157.3869346733673</v>
      </c>
      <c r="AN35" s="517">
        <f>IF(AM35&lt;2700,AM35*0.0075,IF(AM35&lt;3200,AM35*0.009,IF(AM35&lt;3700,AM35*0.0101,IF(AM35&gt;3699,AM35*0.01135,""))))</f>
        <v>28.416482412060304</v>
      </c>
      <c r="AO35" s="660"/>
      <c r="AP35" s="620">
        <v>0</v>
      </c>
      <c r="AQ35" s="517">
        <f>IF(AP35&lt;2700,AP35*0.0101,IF(AP35&lt;3200,AP35*0.01135,IF(AP35&lt;3700,AP35*0.0126,IF(AP35&gt;3699,AP35*0.01385,""))))</f>
        <v>0</v>
      </c>
      <c r="AR35" s="660">
        <v>14</v>
      </c>
      <c r="AS35" s="579">
        <v>3583.3567839195985</v>
      </c>
      <c r="AT35" s="517">
        <f>IF(AS35&lt;2700,AS35*0.0075,IF(AS35&lt;3200,AS35*0.009,IF(AS35&lt;3700,AS35*0.0101,IF(AS35&gt;3699,AS35*0.01135,""))))</f>
        <v>36.191903517587946</v>
      </c>
      <c r="AU35" s="660"/>
      <c r="AV35" s="620"/>
      <c r="AW35" s="517">
        <f>IF(AV35&lt;2700,AV35*0.0101,IF(AV35&lt;3200,AV35*0.01135,IF(AV35&lt;3700,AV35*0.0126,IF(AV35&gt;3699,AV35*0.01385,""))))</f>
        <v>0</v>
      </c>
      <c r="AX35" s="660"/>
      <c r="AY35" s="620"/>
      <c r="AZ35" s="517">
        <f>IF(AY35&lt;2700,AY35*0.0101,IF(AY35&lt;3200,AY35*0.01135,IF(AY35&lt;3700,AY35*0.0126,IF(AY35&gt;3699,AY35*0.01385,""))))</f>
        <v>0</v>
      </c>
      <c r="BA35" s="660"/>
      <c r="BB35" s="581">
        <f t="shared" ref="BB35:BD50" si="43">+F35+I35+L35+O35+R35+U35+X35+AA35+AD35+AG35+AJ35+AM35+AP35+AS35+AV35+AY35</f>
        <v>29485.989949748742</v>
      </c>
      <c r="BC35" s="582">
        <f t="shared" si="43"/>
        <v>295.56863517587942</v>
      </c>
      <c r="BD35" s="465">
        <f t="shared" si="43"/>
        <v>104</v>
      </c>
      <c r="BE35" s="583"/>
      <c r="BF35" s="584">
        <f t="shared" si="36"/>
        <v>399.56863517587942</v>
      </c>
      <c r="BG35" s="620">
        <v>3196.9447236180904</v>
      </c>
      <c r="BH35" s="517">
        <f>IF(BG35&lt;2700,BG35*0.0075,IF(BG35&lt;3200,BG35*0.009,IF(BG35&lt;3700,BG35*0.0101,IF(BG35&gt;3699,BG35*0.01135,""))))</f>
        <v>28.772502512562813</v>
      </c>
      <c r="BI35" s="660"/>
      <c r="BJ35" s="620">
        <v>0</v>
      </c>
      <c r="BK35" s="517">
        <f>IF(BJ35&lt;2700,BJ35*0.0101,IF(BJ35&lt;3200,BJ35*0.01135,IF(BJ35&lt;3700,BJ35*0.0126,IF(BJ35&gt;3699,BJ35*0.01385,""))))</f>
        <v>0</v>
      </c>
      <c r="BL35" s="660">
        <v>12</v>
      </c>
      <c r="BM35" s="579">
        <v>2853.4673366834168</v>
      </c>
      <c r="BN35" s="517">
        <f>IF(BM35&lt;2700,BM35*0.0075,IF(BM35&lt;3200,BM35*0.009,IF(BM35&lt;3700,BM35*0.0101,IF(BM35&gt;3699,BM35*0.01135,""))))</f>
        <v>25.681206030150747</v>
      </c>
      <c r="BO35" s="660"/>
      <c r="BP35" s="579">
        <v>3258.211055276382</v>
      </c>
      <c r="BQ35" s="517">
        <f>IF(BP35&lt;2700,BP35*0.0075,IF(BP35&lt;3200,BP35*0.009,IF(BP35&lt;3700,BP35*0.0101,IF(BP35&gt;3699,BP35*0.01135,""))))</f>
        <v>32.90793165829146</v>
      </c>
      <c r="BR35" s="660"/>
      <c r="BS35" s="576">
        <v>0</v>
      </c>
      <c r="BT35" s="517">
        <f>IF(BS35&lt;2700,BS35*0.0101,IF(BS35&lt;3200,BS35*0.01135,IF(BS35&lt;3700,BS35*0.0126,IF(BS35&gt;3699,BS35*0.01385,""))))</f>
        <v>0</v>
      </c>
      <c r="BU35" s="577">
        <v>18</v>
      </c>
      <c r="BV35" s="576">
        <v>0</v>
      </c>
      <c r="BW35" s="517">
        <f>IF(BV35&lt;2700,BV35*0.0101,IF(BV35&lt;3200,BV35*0.01135,IF(BV35&lt;3700,BV35*0.0126,IF(BV35&gt;3699,BV35*0.01385,""))))</f>
        <v>0</v>
      </c>
      <c r="BX35" s="577">
        <v>18</v>
      </c>
      <c r="BY35" s="576">
        <v>0</v>
      </c>
      <c r="BZ35" s="517">
        <f>IF(BY35&lt;2700,BY35*0.0101,IF(BY35&lt;3200,BY35*0.01135,IF(BY35&lt;3700,BY35*0.0126,IF(BY35&gt;3699,BY35*0.01385,""))))</f>
        <v>0</v>
      </c>
      <c r="CA35" s="577">
        <v>18</v>
      </c>
      <c r="CB35" s="620">
        <v>0</v>
      </c>
      <c r="CC35" s="517">
        <f>IF(CB35&lt;2700,CB35*0.0101,IF(CB35&lt;3200,CB35*0.01135,IF(CB35&lt;3700,CB35*0.0126,IF(CB35&gt;3699,CB35*0.01385,""))))</f>
        <v>0</v>
      </c>
      <c r="CD35" s="660">
        <v>10</v>
      </c>
      <c r="CE35" s="579">
        <v>3462.7537688442217</v>
      </c>
      <c r="CF35" s="517">
        <f>IF(CE35&lt;2700,CE35*0.009,IF(CE35&lt;3200,CE35*0.0101,IF(CE35&lt;3700,CE35*0.01135,IF(CE35&gt;3699,CE35*0.0126,""))))</f>
        <v>39.302255276381921</v>
      </c>
      <c r="CG35" s="660"/>
      <c r="CH35" s="620">
        <v>0</v>
      </c>
      <c r="CI35" s="517">
        <f>IF(CH35&lt;2700,CH35*0.0101,IF(CH35&lt;3200,CH35*0.01135,IF(CH35&lt;3700,CH35*0.0126,IF(CH35&gt;3699,CH35*0.01385,""))))</f>
        <v>0</v>
      </c>
      <c r="CJ35" s="660">
        <v>18</v>
      </c>
      <c r="CK35" s="620">
        <v>0</v>
      </c>
      <c r="CL35" s="517">
        <f>IF(CK35&lt;2700,CK35*0.0101,IF(CK35&lt;3200,CK35*0.01135,IF(CK35&lt;3700,CK35*0.0126,IF(CK35&gt;3699,CK35*0.01385,""))))</f>
        <v>0</v>
      </c>
      <c r="CM35" s="660">
        <v>18</v>
      </c>
      <c r="CN35" s="578">
        <v>0</v>
      </c>
      <c r="CO35" s="517">
        <f>IF(CN35&lt;2700,CN35*0.0101,IF(CN35&lt;3200,CN35*0.01135,IF(CN35&lt;3700,CN35*0.0126,IF(CN35&gt;3699,CN35*0.01385,""))))</f>
        <v>0</v>
      </c>
      <c r="CP35" s="660"/>
      <c r="CQ35" s="578">
        <v>0</v>
      </c>
      <c r="CR35" s="517">
        <f>IF(CQ35&lt;2700,CQ35*0.0101,IF(CQ35&lt;3200,CQ35*0.01135,IF(CQ35&lt;3700,CQ35*0.0126,IF(CQ35&gt;3699,CQ35*0.01385,""))))</f>
        <v>0</v>
      </c>
      <c r="CS35" s="660"/>
      <c r="CT35" s="551">
        <f t="shared" ref="CT35:CU45" si="44">BG35+BJ35+BM35+BP35+BS35+BV35+BY35+CB35+CH35+CK35+CN35+CQ35+CE35</f>
        <v>12771.376884422112</v>
      </c>
      <c r="CU35" s="552">
        <f t="shared" si="44"/>
        <v>126.66389547738694</v>
      </c>
      <c r="CV35" s="553">
        <f t="shared" si="38"/>
        <v>112</v>
      </c>
      <c r="CW35" s="587"/>
      <c r="CX35" s="554">
        <f t="shared" si="39"/>
        <v>238.66389547738694</v>
      </c>
      <c r="CY35" s="588">
        <f t="shared" ref="CY35:DA45" si="45">+BB35+CT35</f>
        <v>42257.366834170854</v>
      </c>
      <c r="CZ35" s="589">
        <f t="shared" si="45"/>
        <v>422.23253065326639</v>
      </c>
      <c r="DA35" s="590">
        <f t="shared" si="45"/>
        <v>216</v>
      </c>
      <c r="DB35" s="591">
        <f t="shared" si="41"/>
        <v>638.23253065326639</v>
      </c>
      <c r="DC35" s="196"/>
      <c r="DD35" s="398"/>
      <c r="DE35" s="570"/>
      <c r="DF35" s="570"/>
      <c r="DG35" s="570"/>
      <c r="DH35" s="570"/>
      <c r="DI35" s="570"/>
      <c r="DJ35" s="570"/>
      <c r="DK35" s="570"/>
      <c r="DL35" s="570"/>
      <c r="DM35" s="570"/>
      <c r="DN35" s="570"/>
      <c r="DO35" s="570"/>
      <c r="DP35" s="570"/>
      <c r="DQ35" s="570"/>
      <c r="DR35" s="570"/>
      <c r="DS35" s="570"/>
      <c r="DT35" s="570"/>
      <c r="DU35" s="570"/>
      <c r="DV35" s="570"/>
      <c r="DW35" s="570"/>
      <c r="DX35" s="570"/>
      <c r="DY35" s="570"/>
      <c r="DZ35" s="570"/>
      <c r="EA35" s="570"/>
      <c r="EB35" s="570"/>
      <c r="EC35" s="570"/>
      <c r="ED35" s="570"/>
      <c r="EE35" s="570"/>
      <c r="EF35" s="570"/>
      <c r="EG35" s="570"/>
      <c r="EH35" s="570"/>
      <c r="EI35" s="570"/>
      <c r="EJ35" s="570"/>
      <c r="EK35" s="570"/>
      <c r="EL35" s="570"/>
      <c r="EM35" s="570"/>
      <c r="EN35" s="570"/>
      <c r="EO35" s="570"/>
      <c r="EP35" s="570"/>
      <c r="EQ35" s="570"/>
      <c r="ER35" s="570"/>
    </row>
    <row r="36" spans="1:148" s="452" customFormat="1" ht="15.75" customHeight="1" x14ac:dyDescent="0.25">
      <c r="A36" s="592">
        <f>+A35+1</f>
        <v>27</v>
      </c>
      <c r="B36" s="674" t="s">
        <v>86</v>
      </c>
      <c r="C36" s="631" t="s">
        <v>596</v>
      </c>
      <c r="D36" s="675" t="s">
        <v>597</v>
      </c>
      <c r="E36" s="676" t="s">
        <v>598</v>
      </c>
      <c r="F36" s="602">
        <v>0</v>
      </c>
      <c r="G36" s="598">
        <f>IF(F36&lt;2700,F36*0.0105,IF(F36&lt;3200,F36*0.01175,IF(F36&lt;3700,F36*0.013,IF(F36&gt;3699,F36*0.01425,""))))</f>
        <v>0</v>
      </c>
      <c r="H36" s="599">
        <v>20</v>
      </c>
      <c r="I36" s="602">
        <v>2625.7688442211056</v>
      </c>
      <c r="J36" s="598">
        <f>IF(I36&lt;2700,I36*0.0085,IF(I36&lt;3200,I36*0.01,IF(I36&lt;3700,I36*0.0105,IF(I36&gt;3699,I36*0.01175,""))))</f>
        <v>22.319035175879399</v>
      </c>
      <c r="K36" s="599">
        <f>30-J36</f>
        <v>7.6809648241206006</v>
      </c>
      <c r="L36" s="602">
        <v>3790.7939698492464</v>
      </c>
      <c r="M36" s="598">
        <f>IF(L36&lt;2700,L36*0.0085,IF(L36&lt;3200,L36*0.01,IF(L36&lt;3700,L36*0.0105,IF(L36&gt;3699,L36*0.01175,""))))</f>
        <v>44.541829145728649</v>
      </c>
      <c r="N36" s="599"/>
      <c r="O36" s="607"/>
      <c r="P36" s="598">
        <f>IF(O36&lt;2700,O36*0.0105,IF(O36&lt;3200,O36*0.01175,IF(O36&lt;3700,O36*0.013,IF(O36&gt;3699,O36*0.01425,""))))</f>
        <v>0</v>
      </c>
      <c r="Q36" s="599"/>
      <c r="R36" s="602">
        <v>4258.2512562814072</v>
      </c>
      <c r="S36" s="598">
        <f>IF(R36&lt;2700,R36*0.0085,IF(R36&lt;3200,R36*0.01,IF(R36&lt;3700,R36*0.0105,IF(R36&gt;3699,R36*0.01175,""))))</f>
        <v>50.034452261306534</v>
      </c>
      <c r="T36" s="599"/>
      <c r="U36" s="602">
        <v>3747.8592964824115</v>
      </c>
      <c r="V36" s="598">
        <f>IF(U36&lt;2700,U36*0.0085,IF(U36&lt;3200,U36*0.01,IF(U36&lt;3700,U36*0.0105,IF(U36&gt;3699,U36*0.01175,""))))</f>
        <v>44.037346733668336</v>
      </c>
      <c r="W36" s="599"/>
      <c r="X36" s="607">
        <v>3012.1809045226132</v>
      </c>
      <c r="Y36" s="598">
        <f>IF(X36&lt;2700,X36*0.0085,IF(X36&lt;3200,X36*0.01,IF(X36&lt;3700,X36*0.0105,IF(X36&gt;3699,X36*0.01175,""))))</f>
        <v>30.121809045226133</v>
      </c>
      <c r="Z36" s="599"/>
      <c r="AA36" s="607">
        <v>2680.7638190954772</v>
      </c>
      <c r="AB36" s="598">
        <f>IF(AA36&lt;2700,AA36*0.0085,IF(AA36&lt;3200,AA36*0.01,IF(AA36&lt;3700,AA36*0.0105,IF(AA36&gt;3699,AA36*0.01175,""))))</f>
        <v>22.786492462311557</v>
      </c>
      <c r="AC36" s="599"/>
      <c r="AD36" s="602">
        <v>7911.0753768844224</v>
      </c>
      <c r="AE36" s="598">
        <f>IF(AD36&lt;2700,AD36*0.0085,IF(AD36&lt;3200,AD36*0.01,IF(AD36&lt;3700,AD36*0.0105,IF(AD36&gt;3699,AD36*0.01175,""))))</f>
        <v>92.955135678391969</v>
      </c>
      <c r="AF36" s="599"/>
      <c r="AG36" s="602">
        <v>0</v>
      </c>
      <c r="AH36" s="598">
        <f>IF(AG36&lt;2700,AG36*0.0105,IF(AG36&lt;3200,AG36*0.01175,IF(AG36&lt;3700,AG36*0.013,IF(AG36&gt;3699,AG36*0.01425,""))))</f>
        <v>0</v>
      </c>
      <c r="AI36" s="599"/>
      <c r="AJ36" s="602">
        <v>4200.844221105528</v>
      </c>
      <c r="AK36" s="598">
        <f>IF(AJ36&lt;2700,AJ36*0.0085,IF(AJ36&lt;3200,AJ36*0.01,IF(AJ36&lt;3700,AJ36*0.0105,IF(AJ36&gt;3699,AJ36*0.01175,""))))</f>
        <v>49.359919597989958</v>
      </c>
      <c r="AL36" s="599"/>
      <c r="AM36" s="602">
        <v>0</v>
      </c>
      <c r="AN36" s="598">
        <f>IF(AM36&lt;2700,AM36*0.01,IF(AM36&lt;3200,AM36*0.0105,IF(AM36&lt;3700,AM36*0.01175,IF(AM36&gt;3699,AM36*0.013,""))))</f>
        <v>0</v>
      </c>
      <c r="AO36" s="599">
        <v>18</v>
      </c>
      <c r="AP36" s="607">
        <v>0</v>
      </c>
      <c r="AQ36" s="598">
        <f>IF(AP36&lt;2700,AP36*0.0105,IF(AP36&lt;3200,AP36*0.01175,IF(AP36&lt;3700,AP36*0.013,IF(AP36&gt;3699,AP36*0.01425,""))))</f>
        <v>0</v>
      </c>
      <c r="AR36" s="599"/>
      <c r="AS36" s="602">
        <v>4656.723618090452</v>
      </c>
      <c r="AT36" s="598">
        <f>IF(AS36&lt;2700,AS36*0.01,IF(AS36&lt;3200,AS36*0.0105,IF(AS36&lt;3700,AS36*0.01175,IF(AS36&gt;3699,AS36*0.013,""))))</f>
        <v>60.537407035175875</v>
      </c>
      <c r="AU36" s="599"/>
      <c r="AV36" s="607"/>
      <c r="AW36" s="598">
        <f>IF(AV36&lt;2700,AV36*0.0105,IF(AV36&lt;3200,AV36*0.01175,IF(AV36&lt;3700,AV36*0.013,IF(AV36&gt;3699,AV36*0.01425,""))))</f>
        <v>0</v>
      </c>
      <c r="AX36" s="599"/>
      <c r="AY36" s="607"/>
      <c r="AZ36" s="598">
        <f>IF(AY36&lt;2700,AY36*0.0105,IF(AY36&lt;3200,AY36*0.01175,IF(AY36&lt;3700,AY36*0.013,IF(AY36&gt;3699,AY36*0.01425,""))))</f>
        <v>0</v>
      </c>
      <c r="BA36" s="599"/>
      <c r="BB36" s="603">
        <f t="shared" si="43"/>
        <v>36884.261306532666</v>
      </c>
      <c r="BC36" s="604">
        <f t="shared" si="43"/>
        <v>416.69342713567841</v>
      </c>
      <c r="BD36" s="605">
        <f t="shared" si="43"/>
        <v>45.680964824120601</v>
      </c>
      <c r="BE36" s="446"/>
      <c r="BF36" s="606">
        <f t="shared" si="36"/>
        <v>462.37439195979903</v>
      </c>
      <c r="BG36" s="609">
        <v>4331.0954773869344</v>
      </c>
      <c r="BH36" s="598">
        <f>IF(BG36&lt;2700,BG36*0.0085,IF(BG36&lt;3200,BG36*0.01,IF(BG36&lt;3700,BG36*0.0105,IF(BG36&gt;3699,BG36*0.01175,""))))</f>
        <v>50.890371859296479</v>
      </c>
      <c r="BI36" s="525"/>
      <c r="BJ36" s="607">
        <v>0</v>
      </c>
      <c r="BK36" s="598">
        <f>IF(BJ36&lt;2700,BJ36*0.0105,IF(BJ36&lt;3200,BJ36*0.01175,IF(BJ36&lt;3700,BJ36*0.013,IF(BJ36&gt;3699,BJ36*0.01425,""))))</f>
        <v>0</v>
      </c>
      <c r="BL36" s="599">
        <v>0</v>
      </c>
      <c r="BM36" s="602">
        <v>3048.8442211055276</v>
      </c>
      <c r="BN36" s="598">
        <f>IF(BM36&lt;2700,BM36*0.0085,IF(BM36&lt;3200,BM36*0.01,IF(BM36&lt;3700,BM36*0.0105,IF(BM36&gt;3699,BM36*0.01175,""))))</f>
        <v>30.488442211055276</v>
      </c>
      <c r="BO36" s="599"/>
      <c r="BP36" s="602">
        <v>3343.5979899497488</v>
      </c>
      <c r="BQ36" s="598">
        <f>IF(BP36&lt;2700,BP36*0.0085,IF(BP36&lt;3200,BP36*0.01,IF(BP36&lt;3700,BP36*0.0105,IF(BP36&gt;3699,BP36*0.01175,""))))</f>
        <v>35.107778894472368</v>
      </c>
      <c r="BR36" s="599"/>
      <c r="BS36" s="602">
        <v>0</v>
      </c>
      <c r="BT36" s="598">
        <f>IF(BS36&lt;2700,BS36*0.0105,IF(BS36&lt;3200,BS36*0.01175,IF(BS36&lt;3700,BS36*0.013,IF(BS36&gt;3699,BS36*0.01425,""))))</f>
        <v>0</v>
      </c>
      <c r="BU36" s="599">
        <v>18</v>
      </c>
      <c r="BV36" s="602">
        <v>0</v>
      </c>
      <c r="BW36" s="598">
        <f>IF(BV36&lt;2700,BV36*0.0105,IF(BV36&lt;3200,BV36*0.01175,IF(BV36&lt;3700,BV36*0.013,IF(BV36&gt;3699,BV36*0.01425,""))))</f>
        <v>0</v>
      </c>
      <c r="BX36" s="599">
        <v>18</v>
      </c>
      <c r="BY36" s="602">
        <v>0</v>
      </c>
      <c r="BZ36" s="598">
        <f>IF(BY36&lt;2700,BY36*0.0105,IF(BY36&lt;3200,BY36*0.01175,IF(BY36&lt;3700,BY36*0.013,IF(BY36&gt;3699,BY36*0.01425,""))))</f>
        <v>0</v>
      </c>
      <c r="CA36" s="599">
        <v>18</v>
      </c>
      <c r="CB36" s="607">
        <v>0</v>
      </c>
      <c r="CC36" s="598">
        <f>IF(CB36&lt;2700,CB36*0.0105,IF(CB36&lt;3200,CB36*0.01175,IF(CB36&lt;3700,CB36*0.013,IF(CB36&gt;3699,CB36*0.01425,""))))</f>
        <v>0</v>
      </c>
      <c r="CD36" s="599">
        <v>10</v>
      </c>
      <c r="CE36" s="602">
        <v>4419.3768844221104</v>
      </c>
      <c r="CF36" s="598">
        <f>IF(CE36&lt;2700,CE36*0.0085,IF(CE36&lt;3200,CE36*0.01,IF(CE36&lt;3700,CE36*0.0105,IF(CE36&gt;3699,CE36*0.01175,""))))</f>
        <v>51.927678391959795</v>
      </c>
      <c r="CG36" s="599"/>
      <c r="CH36" s="609">
        <v>0</v>
      </c>
      <c r="CI36" s="598">
        <f>IF(CH36&lt;2700,CH36*0.0105,IF(CH36&lt;3200,CH36*0.01175,IF(CH36&lt;3700,CH36*0.013,IF(CH36&gt;3699,CH36*0.01425,""))))</f>
        <v>0</v>
      </c>
      <c r="CJ36" s="525"/>
      <c r="CK36" s="607">
        <v>0</v>
      </c>
      <c r="CL36" s="598">
        <f>IF(CK36&lt;2700,CK36*0.0105,IF(CK36&lt;3200,CK36*0.01175,IF(CK36&lt;3700,CK36*0.013,IF(CK36&gt;3699,CK36*0.01425,""))))</f>
        <v>0</v>
      </c>
      <c r="CM36" s="599"/>
      <c r="CN36" s="609">
        <v>0</v>
      </c>
      <c r="CO36" s="598">
        <f>IF(CN36&lt;2700,CN36*0.0105,IF(CN36&lt;3200,CN36*0.01175,IF(CN36&lt;3700,CN36*0.013,IF(CN36&gt;3699,CN36*0.01425,""))))</f>
        <v>0</v>
      </c>
      <c r="CP36" s="599"/>
      <c r="CQ36" s="609">
        <v>0</v>
      </c>
      <c r="CR36" s="598">
        <f>IF(CQ36&lt;2700,CQ36*0.0105,IF(CQ36&lt;3200,CQ36*0.01175,IF(CQ36&lt;3700,CQ36*0.013,IF(CQ36&gt;3699,CQ36*0.01425,""))))</f>
        <v>0</v>
      </c>
      <c r="CS36" s="599"/>
      <c r="CT36" s="677">
        <f t="shared" si="44"/>
        <v>15142.914572864322</v>
      </c>
      <c r="CU36" s="678">
        <f t="shared" si="44"/>
        <v>168.41427135678393</v>
      </c>
      <c r="CV36" s="679">
        <f t="shared" si="38"/>
        <v>64</v>
      </c>
      <c r="CW36" s="446"/>
      <c r="CX36" s="680">
        <f t="shared" si="39"/>
        <v>232.41427135678393</v>
      </c>
      <c r="CY36" s="448">
        <f t="shared" si="45"/>
        <v>52027.175879396986</v>
      </c>
      <c r="CZ36" s="449">
        <f t="shared" si="45"/>
        <v>585.1076984924623</v>
      </c>
      <c r="DA36" s="450">
        <f t="shared" si="45"/>
        <v>109.68096482412059</v>
      </c>
      <c r="DB36" s="451">
        <f t="shared" si="41"/>
        <v>694.78866331658287</v>
      </c>
      <c r="DD36" s="453"/>
      <c r="DE36" s="681"/>
      <c r="DF36" s="682"/>
      <c r="DG36" s="453"/>
      <c r="DH36" s="453"/>
      <c r="DI36" s="453"/>
      <c r="DJ36" s="453"/>
      <c r="DK36" s="453"/>
      <c r="DL36" s="453"/>
      <c r="DM36" s="453"/>
      <c r="DN36" s="453"/>
      <c r="DO36" s="453"/>
      <c r="DP36" s="453"/>
      <c r="DQ36" s="453"/>
      <c r="DR36" s="453"/>
      <c r="DS36" s="453"/>
      <c r="DT36" s="453"/>
      <c r="DU36" s="453"/>
      <c r="DV36" s="453"/>
      <c r="DW36" s="453"/>
      <c r="DX36" s="453"/>
      <c r="DY36" s="453"/>
      <c r="DZ36" s="453"/>
      <c r="EA36" s="453"/>
      <c r="EB36" s="453"/>
      <c r="EC36" s="453"/>
      <c r="ED36" s="453"/>
      <c r="EE36" s="453"/>
      <c r="EF36" s="453"/>
      <c r="EG36" s="453"/>
      <c r="EH36" s="453"/>
      <c r="EI36" s="453"/>
      <c r="EJ36" s="453"/>
      <c r="EK36" s="453"/>
      <c r="EL36" s="453"/>
      <c r="EM36" s="453"/>
      <c r="EN36" s="453"/>
      <c r="EO36" s="453"/>
      <c r="EP36" s="453"/>
      <c r="EQ36" s="453"/>
      <c r="ER36" s="453"/>
    </row>
    <row r="37" spans="1:148" s="571" customFormat="1" ht="15.75" customHeight="1" x14ac:dyDescent="0.25">
      <c r="A37" s="572">
        <f t="shared" si="42"/>
        <v>28</v>
      </c>
      <c r="B37" s="638" t="s">
        <v>87</v>
      </c>
      <c r="C37" s="639" t="s">
        <v>596</v>
      </c>
      <c r="D37" s="635" t="s">
        <v>599</v>
      </c>
      <c r="E37" s="636" t="s">
        <v>600</v>
      </c>
      <c r="F37" s="579">
        <v>0</v>
      </c>
      <c r="G37" s="517">
        <f>IF(F37&lt;2700,F37*0.0097,IF(F37&lt;3200,F37*0.01095,IF(F37&lt;3700,F37*0.0122,IF(F37&gt;3699,F37*0.01345,""))))</f>
        <v>0</v>
      </c>
      <c r="H37" s="580">
        <v>20</v>
      </c>
      <c r="I37" s="579">
        <v>2625.7688442211056</v>
      </c>
      <c r="J37" s="517">
        <f>IF(I37&lt;2700,I37*0.007,IF(I37&lt;3200,I37*0.008,IF(I37&lt;3700,I37*0.0097,IF(I37&gt;3699,I37*0.01095,""))))</f>
        <v>18.38038190954774</v>
      </c>
      <c r="K37" s="580">
        <f>30-J37</f>
        <v>11.61961809045226</v>
      </c>
      <c r="L37" s="579">
        <v>3790.7939698492464</v>
      </c>
      <c r="M37" s="517">
        <f>IF(L37&lt;2700,L37*0.007,IF(L37&lt;3200,L37*0.008,IF(L37&lt;3700,L37*0.0097,IF(L37&gt;3699,L37*0.01095,""))))</f>
        <v>41.50919396984925</v>
      </c>
      <c r="N37" s="580"/>
      <c r="O37" s="620"/>
      <c r="P37" s="517">
        <f>IF(O37&lt;2700,O37*0.0097,IF(O37&lt;3200,O37*0.01095,IF(O37&lt;3700,O37*0.0122,IF(O37&gt;3699,O37*0.01345,""))))</f>
        <v>0</v>
      </c>
      <c r="Q37" s="580"/>
      <c r="R37" s="579">
        <v>0</v>
      </c>
      <c r="S37" s="517">
        <f>IF(R37&lt;2700,R37*0.008,IF(R37&lt;3200,R37*0.0097,IF(R37&lt;3700,R37*0.01095,IF(R37&gt;3699,R37*0.0122,""))))</f>
        <v>0</v>
      </c>
      <c r="T37" s="580">
        <v>25</v>
      </c>
      <c r="U37" s="579">
        <v>3747.8592964824115</v>
      </c>
      <c r="V37" s="517">
        <f>IF(U37&lt;2700,U37*0.007,IF(U37&lt;3200,U37*0.008,IF(U37&lt;3700,U37*0.0097,IF(U37&gt;3699,U37*0.01095,""))))</f>
        <v>41.039059296482407</v>
      </c>
      <c r="W37" s="580"/>
      <c r="X37" s="620">
        <v>3012.1809045226132</v>
      </c>
      <c r="Y37" s="517">
        <f>IF(X37&lt;2700,X37*0.007,IF(X37&lt;3200,X37*0.008,IF(X37&lt;3700,X37*0.0097,IF(X37&gt;3699,X37*0.01095,""))))</f>
        <v>24.097447236180905</v>
      </c>
      <c r="Z37" s="580"/>
      <c r="AA37" s="620">
        <v>2680.7638190954772</v>
      </c>
      <c r="AB37" s="517">
        <f>IF(AA37&lt;2700,AA37*0.007,IF(AA37&lt;3200,AA37*0.008,IF(AA37&lt;3700,AA37*0.0097,IF(AA37&gt;3699,AA37*0.01095,""))))</f>
        <v>18.765346733668341</v>
      </c>
      <c r="AC37" s="580"/>
      <c r="AD37" s="579">
        <v>7911.0753768844224</v>
      </c>
      <c r="AE37" s="517">
        <f>IF(AD37&lt;2700,AD37*0.007,IF(AD37&lt;3200,AD37*0.008,IF(AD37&lt;3700,AD37*0.0097,IF(AD37&gt;3699,AD37*0.01095,""))))</f>
        <v>86.626275376884422</v>
      </c>
      <c r="AF37" s="580"/>
      <c r="AG37" s="579">
        <v>0</v>
      </c>
      <c r="AH37" s="517">
        <f>IF(AG37&lt;2700,AG37*0.0097,IF(AG37&lt;3200,AG37*0.01095,IF(AG37&lt;3700,AG37*0.0122,IF(AG37&gt;3699,AG37*0.01345,""))))</f>
        <v>0</v>
      </c>
      <c r="AI37" s="580"/>
      <c r="AJ37" s="579">
        <v>4200.844221105528</v>
      </c>
      <c r="AK37" s="517">
        <f>IF(AJ37&lt;2700,AJ37*0.007,IF(AJ37&lt;3200,AJ37*0.008,IF(AJ37&lt;3700,AJ37*0.0097,IF(AJ37&gt;3699,AJ37*0.01095,""))))</f>
        <v>45.999244221105528</v>
      </c>
      <c r="AL37" s="580"/>
      <c r="AM37" s="579">
        <v>0</v>
      </c>
      <c r="AN37" s="517">
        <f>IF(AM37&lt;2700,AM37*0.008,IF(AM37&lt;3200,AM37*0.0097,IF(AM37&lt;3700,AM37*0.01095,IF(AM37&gt;3699,AM37*0.0122,""))))</f>
        <v>0</v>
      </c>
      <c r="AO37" s="580">
        <v>20</v>
      </c>
      <c r="AP37" s="620">
        <v>0</v>
      </c>
      <c r="AQ37" s="517">
        <f>IF(AP37&lt;2700,AP37*0.0097,IF(AP37&lt;3200,AP37*0.01095,IF(AP37&lt;3700,AP37*0.0122,IF(AP37&gt;3699,AP37*0.01345,""))))</f>
        <v>0</v>
      </c>
      <c r="AR37" s="580">
        <v>12</v>
      </c>
      <c r="AS37" s="579">
        <v>4656.723618090452</v>
      </c>
      <c r="AT37" s="517">
        <f>IF(AS37&lt;2700,AS37*0.007,IF(AS37&lt;3200,AS37*0.008,IF(AS37&lt;3700,AS37*0.0097,IF(AS37&gt;3699,AS37*0.01095,""))))</f>
        <v>50.991123618090448</v>
      </c>
      <c r="AU37" s="580"/>
      <c r="AV37" s="620"/>
      <c r="AW37" s="517">
        <f>IF(AV37&lt;2700,AV37*0.0097,IF(AV37&lt;3200,AV37*0.01095,IF(AV37&lt;3700,AV37*0.0122,IF(AV37&gt;3699,AV37*0.01345,""))))</f>
        <v>0</v>
      </c>
      <c r="AX37" s="580"/>
      <c r="AY37" s="620"/>
      <c r="AZ37" s="517">
        <f>IF(AY37&lt;2700,AY37*0.0097,IF(AY37&lt;3200,AY37*0.01095,IF(AY37&lt;3700,AY37*0.0122,IF(AY37&gt;3699,AY37*0.01345,""))))</f>
        <v>0</v>
      </c>
      <c r="BA37" s="580"/>
      <c r="BB37" s="581">
        <f t="shared" si="43"/>
        <v>32626.010050251258</v>
      </c>
      <c r="BC37" s="582">
        <f t="shared" si="43"/>
        <v>327.40807236180905</v>
      </c>
      <c r="BD37" s="465">
        <f t="shared" si="43"/>
        <v>88.619618090452263</v>
      </c>
      <c r="BE37" s="587"/>
      <c r="BF37" s="637">
        <f t="shared" si="36"/>
        <v>416.02769045226131</v>
      </c>
      <c r="BG37" s="620">
        <v>4331.0954773869344</v>
      </c>
      <c r="BH37" s="517">
        <f>IF(BG37&lt;2700,BG37*0.007,IF(BG37&lt;3200,BG37*0.008,IF(BG37&lt;3700,BG37*0.0097,IF(BG37&gt;3699,BG37*0.01095,""))))</f>
        <v>47.425495477386931</v>
      </c>
      <c r="BI37" s="580"/>
      <c r="BJ37" s="620">
        <v>0</v>
      </c>
      <c r="BK37" s="517">
        <f>IF(BJ37&lt;2700,BJ37*0.0097,IF(BJ37&lt;3200,BJ37*0.01095,IF(BJ37&lt;3700,BJ37*0.0122,IF(BJ37&gt;3699,BJ37*0.01345,""))))</f>
        <v>0</v>
      </c>
      <c r="BL37" s="580">
        <v>0</v>
      </c>
      <c r="BM37" s="579">
        <v>3048.8442211055276</v>
      </c>
      <c r="BN37" s="517">
        <f>IF(BM37&lt;2700,BM37*0.007,IF(BM37&lt;3200,BM37*0.008,IF(BM37&lt;3700,BM37*0.0097,IF(BM37&gt;3699,BM37*0.01095,""))))</f>
        <v>24.39075376884422</v>
      </c>
      <c r="BO37" s="580"/>
      <c r="BP37" s="579">
        <v>3343.5979899497488</v>
      </c>
      <c r="BQ37" s="517">
        <f>IF(BP37&lt;2700,BP37*0.007,IF(BP37&lt;3200,BP37*0.008,IF(BP37&lt;3700,BP37*0.0097,IF(BP37&gt;3699,BP37*0.01095,""))))</f>
        <v>32.432900502512567</v>
      </c>
      <c r="BR37" s="580"/>
      <c r="BS37" s="579">
        <v>0</v>
      </c>
      <c r="BT37" s="517">
        <f>IF(BS37&lt;2700,BS37*0.0097,IF(BS37&lt;3200,BS37*0.01095,IF(BS37&lt;3700,BS37*0.0122,IF(BS37&gt;3699,BS37*0.01345,""))))</f>
        <v>0</v>
      </c>
      <c r="BU37" s="580">
        <v>18</v>
      </c>
      <c r="BV37" s="579">
        <v>0</v>
      </c>
      <c r="BW37" s="517">
        <f>IF(BV37&lt;2700,BV37*0.0097,IF(BV37&lt;3200,BV37*0.01095,IF(BV37&lt;3700,BV37*0.0122,IF(BV37&gt;3699,BV37*0.01345,""))))</f>
        <v>0</v>
      </c>
      <c r="BX37" s="580">
        <v>18</v>
      </c>
      <c r="BY37" s="579">
        <v>0</v>
      </c>
      <c r="BZ37" s="517">
        <f>IF(BY37&lt;2700,BY37*0.0097,IF(BY37&lt;3200,BY37*0.01095,IF(BY37&lt;3700,BY37*0.0122,IF(BY37&gt;3699,BY37*0.01345,""))))</f>
        <v>0</v>
      </c>
      <c r="CA37" s="580">
        <v>18</v>
      </c>
      <c r="CB37" s="620">
        <v>0</v>
      </c>
      <c r="CC37" s="517">
        <f>IF(CB37&lt;2700,CB37*0.0097,IF(CB37&lt;3200,CB37*0.01095,IF(CB37&lt;3700,CB37*0.0122,IF(CB37&gt;3699,CB37*0.01345,""))))</f>
        <v>0</v>
      </c>
      <c r="CD37" s="580">
        <v>10</v>
      </c>
      <c r="CE37" s="579">
        <v>4419.3768844221104</v>
      </c>
      <c r="CF37" s="517">
        <f>IF(CE37&lt;2700,CE37*0.007,IF(CE37&lt;3200,CE37*0.008,IF(CE37&lt;3700,CE37*0.0097,IF(CE37&gt;3699,CE37*0.01095,""))))</f>
        <v>48.392176884422106</v>
      </c>
      <c r="CG37" s="580"/>
      <c r="CH37" s="578">
        <v>0</v>
      </c>
      <c r="CI37" s="517">
        <f>IF(CH37&lt;2700,CH37*0.0097,IF(CH37&lt;3200,CH37*0.01095,IF(CH37&lt;3700,CH37*0.0122,IF(CH37&gt;3699,CH37*0.01345,""))))</f>
        <v>0</v>
      </c>
      <c r="CJ37" s="517"/>
      <c r="CK37" s="620">
        <v>0</v>
      </c>
      <c r="CL37" s="517">
        <f>IF(CK37&lt;2700,CK37*0.0097,IF(CK37&lt;3200,CK37*0.01095,IF(CK37&lt;3700,CK37*0.0122,IF(CK37&gt;3699,CK37*0.01345,""))))</f>
        <v>0</v>
      </c>
      <c r="CM37" s="580"/>
      <c r="CN37" s="620">
        <v>0</v>
      </c>
      <c r="CO37" s="517">
        <f>IF(CN37&lt;2700,CN37*0.0097,IF(CN37&lt;3200,CN37*0.01095,IF(CN37&lt;3700,CN37*0.0122,IF(CN37&gt;3699,CN37*0.01345,""))))</f>
        <v>0</v>
      </c>
      <c r="CP37" s="580"/>
      <c r="CQ37" s="620">
        <v>0</v>
      </c>
      <c r="CR37" s="517">
        <f>IF(CQ37&lt;2700,CQ37*0.0097,IF(CQ37&lt;3200,CQ37*0.01095,IF(CQ37&lt;3700,CQ37*0.0122,IF(CQ37&gt;3699,CQ37*0.01345,""))))</f>
        <v>0</v>
      </c>
      <c r="CS37" s="580"/>
      <c r="CT37" s="551">
        <f t="shared" si="44"/>
        <v>15142.914572864322</v>
      </c>
      <c r="CU37" s="552">
        <f t="shared" si="44"/>
        <v>152.64132663316582</v>
      </c>
      <c r="CV37" s="553">
        <f t="shared" si="38"/>
        <v>64</v>
      </c>
      <c r="CW37" s="587"/>
      <c r="CX37" s="554">
        <f t="shared" si="39"/>
        <v>216.64132663316582</v>
      </c>
      <c r="CY37" s="588">
        <f t="shared" si="45"/>
        <v>47768.924623115578</v>
      </c>
      <c r="CZ37" s="589">
        <f t="shared" si="45"/>
        <v>480.04939899497487</v>
      </c>
      <c r="DA37" s="590">
        <f t="shared" si="45"/>
        <v>152.61961809045226</v>
      </c>
      <c r="DB37" s="591">
        <f t="shared" si="41"/>
        <v>632.66901708542719</v>
      </c>
      <c r="DC37" s="452"/>
      <c r="DD37" s="398"/>
      <c r="DE37" s="683"/>
      <c r="DF37" s="684"/>
      <c r="DG37" s="570"/>
      <c r="DH37" s="570"/>
      <c r="DI37" s="570"/>
      <c r="DJ37" s="570"/>
      <c r="DK37" s="570"/>
      <c r="DL37" s="570"/>
      <c r="DM37" s="570"/>
      <c r="DN37" s="570"/>
      <c r="DO37" s="570"/>
      <c r="DP37" s="570"/>
      <c r="DQ37" s="570"/>
      <c r="DR37" s="570"/>
      <c r="DS37" s="570"/>
      <c r="DT37" s="570"/>
      <c r="DU37" s="570"/>
      <c r="DV37" s="570"/>
      <c r="DW37" s="570"/>
      <c r="DX37" s="570"/>
      <c r="DY37" s="570"/>
      <c r="DZ37" s="570"/>
      <c r="EA37" s="570"/>
      <c r="EB37" s="570"/>
      <c r="EC37" s="570"/>
      <c r="ED37" s="570"/>
      <c r="EE37" s="570"/>
      <c r="EF37" s="570"/>
      <c r="EG37" s="570"/>
      <c r="EH37" s="570"/>
      <c r="EI37" s="570"/>
      <c r="EJ37" s="570"/>
      <c r="EK37" s="570"/>
      <c r="EL37" s="570"/>
      <c r="EM37" s="570"/>
      <c r="EN37" s="570"/>
      <c r="EO37" s="570"/>
      <c r="EP37" s="570"/>
      <c r="EQ37" s="570"/>
      <c r="ER37" s="570"/>
    </row>
    <row r="38" spans="1:148" ht="15.75" customHeight="1" x14ac:dyDescent="0.25">
      <c r="A38" s="572">
        <f t="shared" si="42"/>
        <v>29</v>
      </c>
      <c r="B38" s="638" t="s">
        <v>88</v>
      </c>
      <c r="C38" s="639" t="s">
        <v>596</v>
      </c>
      <c r="D38" s="635" t="s">
        <v>601</v>
      </c>
      <c r="E38" s="636" t="s">
        <v>602</v>
      </c>
      <c r="F38" s="576">
        <v>0</v>
      </c>
      <c r="G38" s="517">
        <f>IF(F38&lt;2700,F38*0.0101,IF(F38&lt;3200,F38*0.01135,IF(F38&lt;3700,F38*0.0126,IF(F38&gt;3699,F38*0.01385,""))))</f>
        <v>0</v>
      </c>
      <c r="H38" s="517">
        <v>20</v>
      </c>
      <c r="I38" s="576">
        <v>2625.7688442211056</v>
      </c>
      <c r="J38" s="517">
        <f>IF(I38&lt;2700,I38*0.0075,IF(I38&lt;3200,I38*0.009,IF(I38&lt;3700,I38*0.0101,IF(I38&gt;3699,I38*0.01135,""))))</f>
        <v>19.69326633165829</v>
      </c>
      <c r="K38" s="580">
        <f>30-J38</f>
        <v>10.30673366834171</v>
      </c>
      <c r="L38" s="576">
        <v>3790.7939698492464</v>
      </c>
      <c r="M38" s="517">
        <f>IF(L38&lt;2700,L38*0.0075,IF(L38&lt;3200,L38*0.009,IF(L38&lt;3700,L38*0.0101,IF(L38&gt;3699,L38*0.01135,""))))</f>
        <v>43.025511557788953</v>
      </c>
      <c r="N38" s="517"/>
      <c r="O38" s="578"/>
      <c r="P38" s="517">
        <f>IF(O38&lt;2700,O38*0.0101,IF(O38&lt;3200,O38*0.01135,IF(O38&lt;3700,O38*0.0126,IF(O38&gt;3699,O38*0.01385,""))))</f>
        <v>0</v>
      </c>
      <c r="Q38" s="517"/>
      <c r="R38" s="576">
        <v>4258.2512562814072</v>
      </c>
      <c r="S38" s="517">
        <f>IF(R38&lt;2700,R38*0.0075,IF(R38&lt;3200,R38*0.009,IF(R38&lt;3700,R38*0.0101,IF(R38&gt;3699,R38*0.01135,""))))</f>
        <v>48.331151758793972</v>
      </c>
      <c r="T38" s="517"/>
      <c r="U38" s="576">
        <v>3747.8592964824115</v>
      </c>
      <c r="V38" s="517">
        <f>IF(U38&lt;2700,U38*0.0075,IF(U38&lt;3200,U38*0.009,IF(U38&lt;3700,U38*0.0101,IF(U38&gt;3699,U38*0.01135,""))))</f>
        <v>42.538203015075375</v>
      </c>
      <c r="W38" s="517"/>
      <c r="X38" s="578">
        <v>3012.1809045226132</v>
      </c>
      <c r="Y38" s="517">
        <f>IF(X38&lt;2700,X38*0.0075,IF(X38&lt;3200,X38*0.009,IF(X38&lt;3700,X38*0.0101,IF(X38&gt;3699,X38*0.01135,""))))</f>
        <v>27.109628140703517</v>
      </c>
      <c r="Z38" s="517"/>
      <c r="AA38" s="578">
        <v>2680.7638190954772</v>
      </c>
      <c r="AB38" s="517">
        <f>IF(AA38&lt;2700,AA38*0.0075,IF(AA38&lt;3200,AA38*0.009,IF(AA38&lt;3700,AA38*0.0101,IF(AA38&gt;3699,AA38*0.01135,""))))</f>
        <v>20.105728643216079</v>
      </c>
      <c r="AC38" s="517"/>
      <c r="AD38" s="576">
        <v>7911.0753768844224</v>
      </c>
      <c r="AE38" s="517">
        <f>IF(AD38&lt;2700,AD38*0.0075,IF(AD38&lt;3200,AD38*0.009,IF(AD38&lt;3700,AD38*0.0101,IF(AD38&gt;3699,AD38*0.01135,""))))</f>
        <v>89.790705527638195</v>
      </c>
      <c r="AF38" s="517"/>
      <c r="AG38" s="661">
        <v>0</v>
      </c>
      <c r="AH38" s="517">
        <f>IF(AG38&lt;2700,AG38*0.0101,IF(AG38&lt;3200,AG38*0.01135,IF(AG38&lt;3700,AG38*0.0126,IF(AG38&gt;3699,AG38*0.01385,""))))</f>
        <v>0</v>
      </c>
      <c r="AI38" s="517"/>
      <c r="AJ38" s="576">
        <v>4200.844221105528</v>
      </c>
      <c r="AK38" s="517">
        <f>IF(AJ38&lt;2700,AJ38*0.0075,IF(AJ38&lt;3200,AJ38*0.009,IF(AJ38&lt;3700,AJ38*0.0101,IF(AJ38&gt;3699,AJ38*0.01135,""))))</f>
        <v>47.67958190954775</v>
      </c>
      <c r="AL38" s="517"/>
      <c r="AM38" s="576">
        <v>0</v>
      </c>
      <c r="AN38" s="517">
        <f>IF(AM38&lt;2700,AM38*0.009,IF(AM38&lt;3200,AM38*0.0101,IF(AM38&lt;3700,AM38*0.01135,IF(AM38&gt;3699,AM38*0.0126,""))))</f>
        <v>0</v>
      </c>
      <c r="AO38" s="517">
        <v>18</v>
      </c>
      <c r="AP38" s="578">
        <v>0</v>
      </c>
      <c r="AQ38" s="517">
        <f>IF(AP38&lt;2700,AP38*0.0101,IF(AP38&lt;3200,AP38*0.01135,IF(AP38&lt;3700,AP38*0.0126,IF(AP38&gt;3699,AP38*0.01385,""))))</f>
        <v>0</v>
      </c>
      <c r="AR38" s="517">
        <v>12</v>
      </c>
      <c r="AS38" s="576">
        <v>4656.723618090452</v>
      </c>
      <c r="AT38" s="517">
        <f>IF(AS38&lt;2700,AS38*0.0075,IF(AS38&lt;3200,AS38*0.009,IF(AS38&lt;3700,AS38*0.0101,IF(AS38&gt;3699,AS38*0.01135,""))))</f>
        <v>52.853813065326634</v>
      </c>
      <c r="AU38" s="517"/>
      <c r="AV38" s="578"/>
      <c r="AW38" s="517">
        <f>IF(AV38&lt;2700,AV38*0.0101,IF(AV38&lt;3200,AV38*0.01135,IF(AV38&lt;3700,AV38*0.0126,IF(AV38&gt;3699,AV38*0.01385,""))))</f>
        <v>0</v>
      </c>
      <c r="AX38" s="517"/>
      <c r="AY38" s="578"/>
      <c r="AZ38" s="517">
        <f>IF(AY38&lt;2700,AY38*0.0101,IF(AY38&lt;3200,AY38*0.01135,IF(AY38&lt;3700,AY38*0.0126,IF(AY38&gt;3699,AY38*0.01385,""))))</f>
        <v>0</v>
      </c>
      <c r="BA38" s="517"/>
      <c r="BB38" s="581">
        <f t="shared" si="43"/>
        <v>36884.261306532666</v>
      </c>
      <c r="BC38" s="582">
        <f t="shared" si="43"/>
        <v>391.12758994974871</v>
      </c>
      <c r="BD38" s="465">
        <f t="shared" si="43"/>
        <v>60.306733668341707</v>
      </c>
      <c r="BE38" s="583"/>
      <c r="BF38" s="584">
        <f t="shared" si="36"/>
        <v>451.43432361809039</v>
      </c>
      <c r="BG38" s="620">
        <v>4331.0954773869344</v>
      </c>
      <c r="BH38" s="517">
        <f>IF(BG38&lt;2700,BG38*0.0075,IF(BG38&lt;3200,BG38*0.009,IF(BG38&lt;3700,BG38*0.0101,IF(BG38&gt;3699,BG38*0.01135,""))))</f>
        <v>49.157933668341705</v>
      </c>
      <c r="BI38" s="660"/>
      <c r="BJ38" s="620">
        <v>0</v>
      </c>
      <c r="BK38" s="517">
        <f>IF(BJ38&lt;2700,BJ38*0.0101,IF(BJ38&lt;3200,BJ38*0.01135,IF(BJ38&lt;3700,BJ38*0.0126,IF(BJ38&gt;3699,BJ38*0.01385,""))))</f>
        <v>0</v>
      </c>
      <c r="BL38" s="660">
        <v>12</v>
      </c>
      <c r="BM38" s="576">
        <v>0</v>
      </c>
      <c r="BN38" s="585">
        <f>IF(BM38&lt;2700,BM38*0.0101,IF(BM38&lt;3200,BM38*0.01135,IF(BM38&lt;3700,BM38*0.0126,IF(BM38&gt;3699,BM38*0.01385,""))))</f>
        <v>0</v>
      </c>
      <c r="BO38" s="517"/>
      <c r="BP38" s="576">
        <v>3343.5979899497488</v>
      </c>
      <c r="BQ38" s="517">
        <f>IF(BP38&lt;2700,BP38*0.009,IF(BP38&lt;3200,BP38*0.0101,IF(BP38&lt;3700,BP38*0.01135,IF(BP38&gt;3699,BP38*0.0126,""))))</f>
        <v>37.949837185929653</v>
      </c>
      <c r="BR38" s="517"/>
      <c r="BS38" s="576">
        <v>0</v>
      </c>
      <c r="BT38" s="517">
        <f>IF(BS38&lt;2700,BS38*0.0101,IF(BS38&lt;3200,BS38*0.01135,IF(BS38&lt;3700,BS38*0.0126,IF(BS38&gt;3699,BS38*0.01385,""))))</f>
        <v>0</v>
      </c>
      <c r="BU38" s="517">
        <v>18</v>
      </c>
      <c r="BV38" s="576">
        <v>0</v>
      </c>
      <c r="BW38" s="517">
        <f>IF(BV38&lt;2700,BV38*0.0101,IF(BV38&lt;3200,BV38*0.01135,IF(BV38&lt;3700,BV38*0.0126,IF(BV38&gt;3699,BV38*0.01385,""))))</f>
        <v>0</v>
      </c>
      <c r="BX38" s="517">
        <v>18</v>
      </c>
      <c r="BY38" s="576">
        <v>0</v>
      </c>
      <c r="BZ38" s="517">
        <f>IF(BY38&lt;2700,BY38*0.0101,IF(BY38&lt;3200,BY38*0.01135,IF(BY38&lt;3700,BY38*0.0126,IF(BY38&gt;3699,BY38*0.01385,""))))</f>
        <v>0</v>
      </c>
      <c r="CA38" s="517">
        <v>18</v>
      </c>
      <c r="CB38" s="578">
        <v>0</v>
      </c>
      <c r="CC38" s="517">
        <f>IF(CB38&lt;2700,CB38*0.0101,IF(CB38&lt;3200,CB38*0.01135,IF(CB38&lt;3700,CB38*0.0126,IF(CB38&gt;3699,CB38*0.01385,""))))</f>
        <v>0</v>
      </c>
      <c r="CD38" s="517">
        <v>10</v>
      </c>
      <c r="CE38" s="576">
        <v>4419.3768844221104</v>
      </c>
      <c r="CF38" s="517">
        <f>IF(CE38&lt;2700,CE38*0.0075,IF(CE38&lt;3200,CE38*0.009,IF(CE38&lt;3700,CE38*0.0101,IF(CE38&gt;3699,CE38*0.01135,""))))</f>
        <v>50.159927638190958</v>
      </c>
      <c r="CG38" s="517"/>
      <c r="CH38" s="620">
        <v>0</v>
      </c>
      <c r="CI38" s="517">
        <f>IF(CH38&lt;2700,CH38*0.0101,IF(CH38&lt;3200,CH38*0.01135,IF(CH38&lt;3700,CH38*0.0126,IF(CH38&gt;3699,CH38*0.01385,""))))</f>
        <v>0</v>
      </c>
      <c r="CJ38" s="660">
        <v>18</v>
      </c>
      <c r="CK38" s="620">
        <v>0</v>
      </c>
      <c r="CL38" s="517">
        <f>IF(CK38&lt;2700,CK38*0.0101,IF(CK38&lt;3200,CK38*0.01135,IF(CK38&lt;3700,CK38*0.0126,IF(CK38&gt;3699,CK38*0.01385,""))))</f>
        <v>0</v>
      </c>
      <c r="CM38" s="517">
        <v>18</v>
      </c>
      <c r="CN38" s="578">
        <v>0</v>
      </c>
      <c r="CO38" s="517">
        <f>IF(CN38&lt;2700,CN38*0.0101,IF(CN38&lt;3200,CN38*0.01135,IF(CN38&lt;3700,CN38*0.0126,IF(CN38&gt;3699,CN38*0.01385,""))))</f>
        <v>0</v>
      </c>
      <c r="CP38" s="517"/>
      <c r="CQ38" s="578">
        <v>0</v>
      </c>
      <c r="CR38" s="517">
        <f>IF(CQ38&lt;2700,CQ38*0.0101,IF(CQ38&lt;3200,CQ38*0.01135,IF(CQ38&lt;3700,CQ38*0.0126,IF(CQ38&gt;3699,CQ38*0.01385,""))))</f>
        <v>0</v>
      </c>
      <c r="CS38" s="517"/>
      <c r="CT38" s="551">
        <f t="shared" si="44"/>
        <v>12094.070351758794</v>
      </c>
      <c r="CU38" s="552">
        <f t="shared" si="44"/>
        <v>137.26769849246233</v>
      </c>
      <c r="CV38" s="553">
        <f t="shared" si="38"/>
        <v>112</v>
      </c>
      <c r="CW38" s="587"/>
      <c r="CX38" s="554">
        <f t="shared" si="39"/>
        <v>249.26769849246233</v>
      </c>
      <c r="CY38" s="588">
        <f t="shared" si="45"/>
        <v>48978.331658291456</v>
      </c>
      <c r="CZ38" s="589">
        <f t="shared" si="45"/>
        <v>528.39528844221104</v>
      </c>
      <c r="DA38" s="590">
        <f t="shared" si="45"/>
        <v>172.30673366834171</v>
      </c>
      <c r="DB38" s="591">
        <f t="shared" si="41"/>
        <v>700.70202211055278</v>
      </c>
      <c r="DC38" s="452"/>
      <c r="DE38" s="453"/>
      <c r="DF38" s="453"/>
    </row>
    <row r="39" spans="1:148" s="453" customFormat="1" ht="15.75" customHeight="1" thickBot="1" x14ac:dyDescent="0.3">
      <c r="A39" s="592">
        <f>+A38+1</f>
        <v>30</v>
      </c>
      <c r="B39" s="672" t="s">
        <v>79</v>
      </c>
      <c r="C39" s="594" t="s">
        <v>603</v>
      </c>
      <c r="D39" s="649" t="s">
        <v>604</v>
      </c>
      <c r="E39" s="650" t="s">
        <v>605</v>
      </c>
      <c r="F39" s="597">
        <v>3383.638190954774</v>
      </c>
      <c r="G39" s="598">
        <f>IF(F39&lt;2700,F39*0.0085,IF(F39&lt;3200,F39*0.01,IF(F39&lt;3700,F39*0.0105,IF(F39&gt;3699,F39*0.01175,""))))</f>
        <v>35.528201005025132</v>
      </c>
      <c r="H39" s="525"/>
      <c r="I39" s="597">
        <v>2919.075376884422</v>
      </c>
      <c r="J39" s="598">
        <f>IF(I39&lt;2700,I39*0.0085,IF(I39&lt;3200,I39*0.01,IF(I39&lt;3700,I39*0.0105,IF(I39&gt;3699,I39*0.01175,""))))</f>
        <v>29.190753768844221</v>
      </c>
      <c r="K39" s="525"/>
      <c r="L39" s="597">
        <v>3692.86432160804</v>
      </c>
      <c r="M39" s="598">
        <f>IF(L39&lt;2700,L39*0.0085,IF(L39&lt;3200,L39*0.01,IF(L39&lt;3700,L39*0.0105,IF(L39&gt;3699,L39*0.01175,""))))</f>
        <v>38.775075376884423</v>
      </c>
      <c r="N39" s="525"/>
      <c r="O39" s="609"/>
      <c r="P39" s="598">
        <f>IF(O39&lt;2700,O39*0.0105,IF(O39&lt;3200,O39*0.01175,IF(O39&lt;3700,O39*0.013,IF(O39&gt;3699,O39*0.01425,""))))</f>
        <v>0</v>
      </c>
      <c r="Q39" s="525"/>
      <c r="R39" s="597">
        <v>3653.3065326633164</v>
      </c>
      <c r="S39" s="598">
        <f>IF(R39&lt;2700,R39*0.0085,IF(R39&lt;3200,R39*0.01,IF(R39&lt;3700,R39*0.0105,IF(R39&gt;3699,R39*0.01175,""))))</f>
        <v>38.359718592964825</v>
      </c>
      <c r="T39" s="525"/>
      <c r="U39" s="597">
        <v>0</v>
      </c>
      <c r="V39" s="598">
        <f>IF(U39&lt;2700,U39*0.01,IF(U39&lt;3200,U39*0.0105,IF(U39&lt;3700,U39*0.01175,IF(U39&gt;3699,U39*0.013,""))))</f>
        <v>0</v>
      </c>
      <c r="W39" s="525">
        <v>20</v>
      </c>
      <c r="X39" s="609">
        <v>0</v>
      </c>
      <c r="Y39" s="598">
        <f>IF(X39&lt;2700,X39*0.01,IF(X39&lt;3200,X39*0.0105,IF(X39&lt;3700,X39*0.01175,IF(X39&gt;3699,X39*0.013,""))))</f>
        <v>0</v>
      </c>
      <c r="Z39" s="525">
        <v>20</v>
      </c>
      <c r="AA39" s="609">
        <v>0</v>
      </c>
      <c r="AB39" s="598">
        <f>IF(AA39&lt;2700,AA39*0.01,IF(AA39&lt;3200,AA39*0.0105,IF(AA39&lt;3700,AA39*0.01175,IF(AA39&gt;3699,AA39*0.013,""))))</f>
        <v>0</v>
      </c>
      <c r="AC39" s="525">
        <v>18</v>
      </c>
      <c r="AD39" s="597">
        <v>0</v>
      </c>
      <c r="AE39" s="598">
        <f>IF(AD39&lt;2700,AD39*0.01,IF(AD39&lt;3200,AD39*0.0105,IF(AD39&lt;3700,AD39*0.01175,IF(AD39&gt;3699,AD39*0.013,""))))</f>
        <v>0</v>
      </c>
      <c r="AF39" s="525">
        <v>18</v>
      </c>
      <c r="AG39" s="597">
        <v>0</v>
      </c>
      <c r="AH39" s="598">
        <f>IF(AG39&lt;2700,AG39*0.0105,IF(AG39&lt;3200,AG39*0.01175,IF(AG39&lt;3700,AG39*0.013,IF(AG39&gt;3699,AG39*0.01425,""))))</f>
        <v>0</v>
      </c>
      <c r="AI39" s="525">
        <v>18</v>
      </c>
      <c r="AJ39" s="597">
        <v>0</v>
      </c>
      <c r="AK39" s="598">
        <f>IF(AJ39&lt;2700,AJ39*0.01,IF(AJ39&lt;3200,AJ39*0.0105,IF(AJ39&lt;3700,AJ39*0.01175,IF(AJ39&gt;3699,AJ39*0.013,""))))</f>
        <v>0</v>
      </c>
      <c r="AL39" s="525">
        <v>18</v>
      </c>
      <c r="AM39" s="597">
        <v>0</v>
      </c>
      <c r="AN39" s="598">
        <f>IF(AM39&lt;2700,AM39*0.01,IF(AM39&lt;3200,AM39*0.0105,IF(AM39&lt;3700,AM39*0.01175,IF(AM39&gt;3699,AM39*0.013,""))))</f>
        <v>0</v>
      </c>
      <c r="AO39" s="525">
        <v>18</v>
      </c>
      <c r="AP39" s="597">
        <v>0</v>
      </c>
      <c r="AQ39" s="598">
        <f>IF(AP39&lt;2700,AP39*0.0105,IF(AP39&lt;3200,AP39*0.01175,IF(AP39&lt;3700,AP39*0.013,IF(AP39&gt;3699,AP39*0.01425,""))))</f>
        <v>0</v>
      </c>
      <c r="AR39" s="525">
        <v>18</v>
      </c>
      <c r="AS39" s="597">
        <v>3106.7336683417079</v>
      </c>
      <c r="AT39" s="598">
        <f>IF(AS39&lt;2700,AS39*0.0085,IF(AS39&lt;3200,AS39*0.01,IF(AS39&lt;3700,AS39*0.0105,IF(AS39&gt;3699,AS39*0.01175,""))))</f>
        <v>31.067336683417079</v>
      </c>
      <c r="AU39" s="525"/>
      <c r="AV39" s="609"/>
      <c r="AW39" s="598">
        <f>IF(AV39&lt;2700,AV39*0.0105,IF(AV39&lt;3200,AV39*0.01175,IF(AV39&lt;3700,AV39*0.013,IF(AV39&gt;3699,AV39*0.01425,""))))</f>
        <v>0</v>
      </c>
      <c r="AX39" s="525"/>
      <c r="AY39" s="609"/>
      <c r="AZ39" s="598">
        <f>IF(AY39&lt;2700,AY39*0.0105,IF(AY39&lt;3200,AY39*0.01175,IF(AY39&lt;3700,AY39*0.013,IF(AY39&gt;3699,AY39*0.01425,""))))</f>
        <v>0</v>
      </c>
      <c r="BA39" s="525"/>
      <c r="BB39" s="603">
        <f t="shared" si="43"/>
        <v>16755.618090452259</v>
      </c>
      <c r="BC39" s="604">
        <f t="shared" si="43"/>
        <v>172.92108542713567</v>
      </c>
      <c r="BD39" s="605">
        <f t="shared" si="43"/>
        <v>148</v>
      </c>
      <c r="BE39" s="446"/>
      <c r="BF39" s="606">
        <f t="shared" si="36"/>
        <v>320.92108542713567</v>
      </c>
      <c r="BG39" s="609">
        <v>3482.0502512562812</v>
      </c>
      <c r="BH39" s="598">
        <f>IF(BG39&lt;2700,BG39*0.0085,IF(BG39&lt;3200,BG39*0.01,IF(BG39&lt;3700,BG39*0.0105,IF(BG39&gt;3699,BG39*0.01175,""))))</f>
        <v>36.561527638190952</v>
      </c>
      <c r="BI39" s="525"/>
      <c r="BJ39" s="609">
        <v>0</v>
      </c>
      <c r="BK39" s="598">
        <f>IF(BJ39&lt;2700,BJ39*0.0105,IF(BJ39&lt;3200,BJ39*0.01175,IF(BJ39&lt;3700,BJ39*0.013,IF(BJ39&gt;3699,BJ39*0.01425,""))))</f>
        <v>0</v>
      </c>
      <c r="BL39" s="525">
        <v>0</v>
      </c>
      <c r="BM39" s="597">
        <v>2514.3316582914572</v>
      </c>
      <c r="BN39" s="598">
        <f t="shared" ref="BN39:BN40" si="46">IF(BM39&lt;2700,BM39*0.0085,IF(BM39&lt;3200,BM39*0.01,IF(BM39&lt;3700,BM39*0.0105,IF(BM39&gt;3699,BM39*0.01175,""))))</f>
        <v>21.371819095477388</v>
      </c>
      <c r="BO39" s="525"/>
      <c r="BP39" s="597">
        <v>0</v>
      </c>
      <c r="BQ39" s="598">
        <f>IF(BP39&lt;2700,BP39*0.0105,IF(BP39&lt;3200,BP39*0.01175,IF(BP39&lt;3700,BP39*0.013,IF(BP39&gt;3699,BP39*0.01425,""))))</f>
        <v>0</v>
      </c>
      <c r="BR39" s="525">
        <v>18</v>
      </c>
      <c r="BS39" s="597">
        <v>0</v>
      </c>
      <c r="BT39" s="598">
        <f>IF(BS39&lt;2700,BS39*0.0105,IF(BS39&lt;3200,BS39*0.01175,IF(BS39&lt;3700,BS39*0.013,IF(BS39&gt;3699,BS39*0.01425,""))))</f>
        <v>0</v>
      </c>
      <c r="BU39" s="525">
        <v>18</v>
      </c>
      <c r="BV39" s="597">
        <v>0</v>
      </c>
      <c r="BW39" s="598">
        <f>IF(BV39&lt;2700,BV39*0.0105,IF(BV39&lt;3200,BV39*0.01175,IF(BV39&lt;3700,BV39*0.013,IF(BV39&gt;3699,BV39*0.01425,""))))</f>
        <v>0</v>
      </c>
      <c r="BX39" s="525">
        <v>18</v>
      </c>
      <c r="BY39" s="597">
        <v>0</v>
      </c>
      <c r="BZ39" s="598">
        <f>IF(BY39&lt;2700,BY39*0.0105,IF(BY39&lt;3200,BY39*0.01175,IF(BY39&lt;3700,BY39*0.013,IF(BY39&gt;3699,BY39*0.01425,""))))</f>
        <v>0</v>
      </c>
      <c r="CA39" s="525">
        <v>18</v>
      </c>
      <c r="CB39" s="609">
        <v>0</v>
      </c>
      <c r="CC39" s="598">
        <f>IF(CB39&lt;2700,CB39*0.0105,IF(CB39&lt;3200,CB39*0.01175,IF(CB39&lt;3700,CB39*0.013,IF(CB39&gt;3699,CB39*0.01425,""))))</f>
        <v>0</v>
      </c>
      <c r="CD39" s="525">
        <v>0</v>
      </c>
      <c r="CE39" s="597">
        <v>0</v>
      </c>
      <c r="CF39" s="598">
        <f>IF(CE39&lt;2700,CE39*0.0105,IF(CE39&lt;3200,CE39*0.01175,IF(CE39&lt;3700,CE39*0.013,IF(CE39&gt;3699,CE39*0.01425,""))))</f>
        <v>0</v>
      </c>
      <c r="CG39" s="525">
        <v>18</v>
      </c>
      <c r="CH39" s="609">
        <v>0</v>
      </c>
      <c r="CI39" s="598">
        <f>IF(CH39&lt;2700,CH39*0.0105,IF(CH39&lt;3200,CH39*0.01175,IF(CH39&lt;3700,CH39*0.013,IF(CH39&gt;3699,CH39*0.01425,""))))</f>
        <v>0</v>
      </c>
      <c r="CJ39" s="525">
        <v>0</v>
      </c>
      <c r="CK39" s="609">
        <v>0</v>
      </c>
      <c r="CL39" s="598">
        <f>IF(CK39&lt;2700,CK39*0.0105,IF(CK39&lt;3200,CK39*0.01175,IF(CK39&lt;3700,CK39*0.013,IF(CK39&gt;3699,CK39*0.01425,""))))</f>
        <v>0</v>
      </c>
      <c r="CM39" s="525"/>
      <c r="CN39" s="609">
        <v>0</v>
      </c>
      <c r="CO39" s="598">
        <f>IF(CN39&lt;2700,CN39*0.0105,IF(CN39&lt;3200,CN39*0.01175,IF(CN39&lt;3700,CN39*0.013,IF(CN39&gt;3699,CN39*0.01425,""))))</f>
        <v>0</v>
      </c>
      <c r="CP39" s="525"/>
      <c r="CQ39" s="609">
        <v>0</v>
      </c>
      <c r="CR39" s="598">
        <f>IF(CQ39&lt;2700,CQ39*0.0105,IF(CQ39&lt;3200,CQ39*0.01175,IF(CQ39&lt;3700,CQ39*0.013,IF(CQ39&gt;3699,CQ39*0.01425,""))))</f>
        <v>0</v>
      </c>
      <c r="CS39" s="525"/>
      <c r="CT39" s="443">
        <f t="shared" si="44"/>
        <v>5996.3819095477384</v>
      </c>
      <c r="CU39" s="444">
        <f t="shared" si="44"/>
        <v>57.933346733668344</v>
      </c>
      <c r="CV39" s="445">
        <f t="shared" si="38"/>
        <v>90</v>
      </c>
      <c r="CW39" s="446"/>
      <c r="CX39" s="447">
        <f t="shared" si="39"/>
        <v>147.93334673366834</v>
      </c>
      <c r="CY39" s="448">
        <f t="shared" si="45"/>
        <v>22751.999999999996</v>
      </c>
      <c r="CZ39" s="449">
        <f t="shared" si="45"/>
        <v>230.85443216080401</v>
      </c>
      <c r="DA39" s="450">
        <f t="shared" si="45"/>
        <v>238</v>
      </c>
      <c r="DB39" s="451">
        <f t="shared" si="41"/>
        <v>468.85443216080398</v>
      </c>
      <c r="DC39" s="452"/>
    </row>
    <row r="40" spans="1:148" s="452" customFormat="1" ht="15.75" customHeight="1" x14ac:dyDescent="0.25">
      <c r="A40" s="592">
        <f>+A39+1</f>
        <v>31</v>
      </c>
      <c r="B40" s="630" t="s">
        <v>74</v>
      </c>
      <c r="C40" s="669" t="s">
        <v>610</v>
      </c>
      <c r="D40" s="632"/>
      <c r="E40" s="655"/>
      <c r="F40" s="685">
        <v>3577.0854271356784</v>
      </c>
      <c r="G40" s="598">
        <f>IF(F40&lt;2700,F40*0.0085,IF(F40&lt;3200,F40*0.01,IF(F40&lt;3700,F40*0.0105,IF(F40&gt;3699,F40*0.01175,""))))</f>
        <v>37.559396984924625</v>
      </c>
      <c r="H40" s="598"/>
      <c r="I40" s="685">
        <v>3163.6582914572864</v>
      </c>
      <c r="J40" s="598">
        <f>IF(I40&lt;2700,I40*0.0085,IF(I40&lt;3200,I40*0.01,IF(I40&lt;3700,I40*0.0105,IF(I40&gt;3699,I40*0.01175,""))))</f>
        <v>31.636582914572866</v>
      </c>
      <c r="K40" s="598"/>
      <c r="L40" s="685">
        <v>3378.3316582914572</v>
      </c>
      <c r="M40" s="598">
        <f>IF(L40&lt;2700,L40*0.0085,IF(L40&lt;3200,L40*0.01,IF(L40&lt;3700,L40*0.0105,IF(L40&gt;3699,L40*0.01175,""))))</f>
        <v>35.472482412060302</v>
      </c>
      <c r="N40" s="598"/>
      <c r="O40" s="686"/>
      <c r="P40" s="598">
        <f>IF(O40&lt;2700,O40*0.0105,IF(O40&lt;3200,O40*0.01175,IF(O40&lt;3700,O40*0.013,IF(O40&gt;3699,O40*0.01425,""))))</f>
        <v>0</v>
      </c>
      <c r="Q40" s="598"/>
      <c r="R40" s="685">
        <v>0</v>
      </c>
      <c r="S40" s="598">
        <f>IF(R40&lt;2700,R40*0.0105,IF(R40&lt;3200,R40*0.01175,IF(R40&lt;3700,R40*0.013,IF(R40&gt;3699,R40*0.01425,""))))</f>
        <v>0</v>
      </c>
      <c r="T40" s="598">
        <v>20</v>
      </c>
      <c r="U40" s="685">
        <v>0</v>
      </c>
      <c r="V40" s="598">
        <f>IF(U40&lt;2700,U40*0.0105,IF(U40&lt;3200,U40*0.01175,IF(U40&lt;3700,U40*0.013,IF(U40&gt;3699,U40*0.01425,""))))</f>
        <v>0</v>
      </c>
      <c r="W40" s="598">
        <v>20</v>
      </c>
      <c r="X40" s="686">
        <v>0</v>
      </c>
      <c r="Y40" s="598">
        <f>IF(X40&lt;2700,X40*0.0105,IF(X40&lt;3200,X40*0.01175,IF(X40&lt;3700,X40*0.013,IF(X40&gt;3699,X40*0.01425,""))))</f>
        <v>0</v>
      </c>
      <c r="Z40" s="598">
        <v>18</v>
      </c>
      <c r="AA40" s="686">
        <v>0</v>
      </c>
      <c r="AB40" s="598">
        <f>IF(AA40&lt;2700,AA40*0.0105,IF(AA40&lt;3200,AA40*0.01175,IF(AA40&lt;3700,AA40*0.013,IF(AA40&gt;3699,AA40*0.01425,""))))</f>
        <v>0</v>
      </c>
      <c r="AC40" s="598">
        <v>18</v>
      </c>
      <c r="AD40" s="685">
        <v>0</v>
      </c>
      <c r="AE40" s="598">
        <f>IF(AD40&lt;2700,AD40*0.01,IF(AD40&lt;3200,AD40*0.0105,IF(AD40&lt;3700,AD40*0.01175,IF(AD40&gt;3699,AD40*0.013,""))))</f>
        <v>0</v>
      </c>
      <c r="AF40" s="598">
        <v>18</v>
      </c>
      <c r="AG40" s="685">
        <v>0</v>
      </c>
      <c r="AH40" s="598">
        <f>IF(AG40&lt;2700,AG40*0.0105,IF(AG40&lt;3200,AG40*0.01175,IF(AG40&lt;3700,AG40*0.013,IF(AG40&gt;3699,AG40*0.01425,""))))</f>
        <v>0</v>
      </c>
      <c r="AI40" s="598">
        <v>18</v>
      </c>
      <c r="AJ40" s="597">
        <v>3698.653266331658</v>
      </c>
      <c r="AK40" s="598">
        <f>IF(AJ40&lt;2700,AJ40*0.0085,IF(AJ40&lt;3200,AJ40*0.01,IF(AJ40&lt;3700,AJ40*0.0105,IF(AJ40&gt;3699,AJ40*0.01175,""))))</f>
        <v>38.835859296482411</v>
      </c>
      <c r="AL40" s="598"/>
      <c r="AM40" s="685">
        <v>0</v>
      </c>
      <c r="AN40" s="598">
        <f>IF(AM40&lt;2700,AM40*0.01,IF(AM40&lt;3200,AM40*0.0105,IF(AM40&lt;3700,AM40*0.01175,IF(AM40&gt;3699,AM40*0.013,""))))</f>
        <v>0</v>
      </c>
      <c r="AO40" s="598">
        <v>18</v>
      </c>
      <c r="AP40" s="686">
        <v>0</v>
      </c>
      <c r="AQ40" s="598">
        <f>IF(AP40&lt;2700,AP40*0.0105,IF(AP40&lt;3200,AP40*0.01175,IF(AP40&lt;3700,AP40*0.013,IF(AP40&gt;3699,AP40*0.01425,""))))</f>
        <v>0</v>
      </c>
      <c r="AR40" s="598">
        <v>12</v>
      </c>
      <c r="AS40" s="685">
        <v>3283.7788944723611</v>
      </c>
      <c r="AT40" s="598">
        <f>IF(AS40&lt;2700,AS40*0.0085,IF(AS40&lt;3200,AS40*0.01,IF(AS40&lt;3700,AS40*0.0105,IF(AS40&gt;3699,AS40*0.01175,""))))</f>
        <v>34.479678391959794</v>
      </c>
      <c r="AU40" s="598"/>
      <c r="AV40" s="686"/>
      <c r="AW40" s="598">
        <f>IF(AV40&lt;2700,AV40*0.0105,IF(AV40&lt;3200,AV40*0.01175,IF(AV40&lt;3700,AV40*0.013,IF(AV40&gt;3699,AV40*0.01425,""))))</f>
        <v>0</v>
      </c>
      <c r="AX40" s="598"/>
      <c r="AY40" s="686"/>
      <c r="AZ40" s="598">
        <f>IF(AY40&lt;2700,AY40*0.0105,IF(AY40&lt;3200,AY40*0.01175,IF(AY40&lt;3700,AY40*0.013,IF(AY40&gt;3699,AY40*0.01425,""))))</f>
        <v>0</v>
      </c>
      <c r="BA40" s="598"/>
      <c r="BB40" s="651">
        <f t="shared" si="43"/>
        <v>17101.507537688442</v>
      </c>
      <c r="BC40" s="664">
        <f t="shared" si="43"/>
        <v>177.98399999999998</v>
      </c>
      <c r="BD40" s="665">
        <f t="shared" si="43"/>
        <v>142</v>
      </c>
      <c r="BE40" s="612"/>
      <c r="BF40" s="606">
        <f t="shared" si="36"/>
        <v>319.98399999999998</v>
      </c>
      <c r="BG40" s="686">
        <v>3462.7537688442208</v>
      </c>
      <c r="BH40" s="598">
        <f>IF(BG40&lt;2700,BG40*0.0085,IF(BG40&lt;3200,BG40*0.01,IF(BG40&lt;3700,BG40*0.0105,IF(BG40&gt;3699,BG40*0.01175,""))))</f>
        <v>36.358914572864322</v>
      </c>
      <c r="BI40" s="598"/>
      <c r="BJ40" s="686">
        <v>0</v>
      </c>
      <c r="BK40" s="598">
        <f>IF(BJ40&lt;2700,BJ40*0.0105,IF(BJ40&lt;3200,BJ40*0.01175,IF(BJ40&lt;3700,BJ40*0.013,IF(BJ40&gt;3699,BJ40*0.01425,""))))</f>
        <v>0</v>
      </c>
      <c r="BL40" s="598">
        <v>0</v>
      </c>
      <c r="BM40" s="685">
        <v>2597.3065326633164</v>
      </c>
      <c r="BN40" s="598">
        <f t="shared" si="46"/>
        <v>22.077105527638192</v>
      </c>
      <c r="BO40" s="598"/>
      <c r="BP40" s="685">
        <v>0</v>
      </c>
      <c r="BQ40" s="598">
        <f>IF(BP40&lt;2700,BP40*0.0105,IF(BP40&lt;3200,BP40*0.01175,IF(BP40&lt;3700,BP40*0.013,IF(BP40&gt;3699,BP40*0.01425,""))))</f>
        <v>0</v>
      </c>
      <c r="BR40" s="598">
        <v>18</v>
      </c>
      <c r="BS40" s="685">
        <v>0</v>
      </c>
      <c r="BT40" s="598">
        <f>IF(BS40&lt;2700,BS40*0.0105,IF(BS40&lt;3200,BS40*0.01175,IF(BS40&lt;3700,BS40*0.013,IF(BS40&gt;3699,BS40*0.01425,""))))</f>
        <v>0</v>
      </c>
      <c r="BU40" s="598">
        <v>18</v>
      </c>
      <c r="BV40" s="685">
        <v>0</v>
      </c>
      <c r="BW40" s="598">
        <f>IF(BV40&lt;2700,BV40*0.0105,IF(BV40&lt;3200,BV40*0.01175,IF(BV40&lt;3700,BV40*0.013,IF(BV40&gt;3699,BV40*0.01425,""))))</f>
        <v>0</v>
      </c>
      <c r="BX40" s="598">
        <v>18</v>
      </c>
      <c r="BY40" s="685">
        <v>1378.251256281407</v>
      </c>
      <c r="BZ40" s="517">
        <f>IF(BY40&lt;2700,BY40*0.007,IF(BY40&lt;3200,BY40*0.008,IF(BY40&lt;3700,BY40*0.0097,IF(BY40&gt;3699,BY40*0.01095,""))))</f>
        <v>9.6477587939698495</v>
      </c>
      <c r="CA40" s="598"/>
      <c r="CB40" s="686">
        <v>0</v>
      </c>
      <c r="CC40" s="598">
        <f>IF(CB40&lt;2700,CB40*0.0105,IF(CB40&lt;3200,CB40*0.01175,IF(CB40&lt;3700,CB40*0.013,IF(CB40&gt;3699,CB40*0.01425,""))))</f>
        <v>0</v>
      </c>
      <c r="CD40" s="598">
        <v>0</v>
      </c>
      <c r="CE40" s="685">
        <v>0</v>
      </c>
      <c r="CF40" s="608">
        <f>IF(CE40&lt;2700,CE40*0.0105,IF(CE40&lt;3200,CE40*0.01175,IF(CE40&lt;3700,CE40*0.013,IF(CE40&gt;3699,CE40*0.01425,""))))</f>
        <v>0</v>
      </c>
      <c r="CG40" s="608">
        <v>0</v>
      </c>
      <c r="CH40" s="686">
        <v>0</v>
      </c>
      <c r="CI40" s="598">
        <f>IF(CH40&lt;2700,CH40*0.0105,IF(CH40&lt;3200,CH40*0.01175,IF(CH40&lt;3700,CH40*0.013,IF(CH40&gt;3699,CH40*0.01425,""))))</f>
        <v>0</v>
      </c>
      <c r="CJ40" s="598">
        <v>0</v>
      </c>
      <c r="CK40" s="686">
        <v>0</v>
      </c>
      <c r="CL40" s="598">
        <f>IF(CK40&lt;2700,CK40*0.0105,IF(CK40&lt;3200,CK40*0.01175,IF(CK40&lt;3700,CK40*0.013,IF(CK40&gt;3699,CK40*0.01425,""))))</f>
        <v>0</v>
      </c>
      <c r="CM40" s="598"/>
      <c r="CN40" s="686">
        <v>0</v>
      </c>
      <c r="CO40" s="598">
        <f>IF(CN40&lt;2700,CN40*0.0105,IF(CN40&lt;3200,CN40*0.01175,IF(CN40&lt;3700,CN40*0.013,IF(CN40&gt;3699,CN40*0.01425,""))))</f>
        <v>0</v>
      </c>
      <c r="CP40" s="598"/>
      <c r="CQ40" s="686">
        <v>0</v>
      </c>
      <c r="CR40" s="598">
        <f>IF(CQ40&lt;2700,CQ40*0.0105,IF(CQ40&lt;3200,CQ40*0.01175,IF(CQ40&lt;3700,CQ40*0.013,IF(CQ40&gt;3699,CQ40*0.01425,""))))</f>
        <v>0</v>
      </c>
      <c r="CS40" s="598"/>
      <c r="CT40" s="677">
        <f t="shared" si="44"/>
        <v>7438.3115577889448</v>
      </c>
      <c r="CU40" s="678">
        <f t="shared" si="44"/>
        <v>68.083778894472374</v>
      </c>
      <c r="CV40" s="679">
        <f t="shared" si="38"/>
        <v>54</v>
      </c>
      <c r="CW40" s="446"/>
      <c r="CX40" s="680">
        <f t="shared" si="39"/>
        <v>122.08377889447237</v>
      </c>
      <c r="CY40" s="448">
        <f t="shared" si="45"/>
        <v>24539.819095477385</v>
      </c>
      <c r="CZ40" s="449">
        <f t="shared" si="45"/>
        <v>246.06777889447235</v>
      </c>
      <c r="DA40" s="450">
        <f t="shared" si="45"/>
        <v>196</v>
      </c>
      <c r="DB40" s="451">
        <f t="shared" si="41"/>
        <v>442.06777889447233</v>
      </c>
      <c r="DD40" s="453"/>
      <c r="DE40" s="453"/>
      <c r="DF40" s="453"/>
      <c r="DG40" s="453"/>
      <c r="DH40" s="453"/>
      <c r="DI40" s="453"/>
      <c r="DJ40" s="453"/>
      <c r="DK40" s="453"/>
      <c r="DL40" s="453"/>
      <c r="DM40" s="453"/>
      <c r="DN40" s="453"/>
      <c r="DO40" s="453"/>
      <c r="DP40" s="453"/>
      <c r="DQ40" s="453"/>
      <c r="DR40" s="453"/>
      <c r="DS40" s="453"/>
      <c r="DT40" s="453"/>
      <c r="DU40" s="453"/>
      <c r="DV40" s="453"/>
      <c r="DW40" s="453"/>
      <c r="DX40" s="453"/>
      <c r="DY40" s="453"/>
      <c r="DZ40" s="453"/>
      <c r="EA40" s="453"/>
      <c r="EB40" s="453"/>
      <c r="EC40" s="453"/>
      <c r="ED40" s="453"/>
      <c r="EE40" s="453"/>
      <c r="EF40" s="453"/>
      <c r="EG40" s="453"/>
      <c r="EH40" s="453"/>
      <c r="EI40" s="453"/>
      <c r="EJ40" s="453"/>
      <c r="EK40" s="453"/>
      <c r="EL40" s="453"/>
      <c r="EM40" s="453"/>
      <c r="EN40" s="453"/>
      <c r="EO40" s="453"/>
      <c r="EP40" s="453"/>
      <c r="EQ40" s="453"/>
      <c r="ER40" s="453"/>
    </row>
    <row r="41" spans="1:148" ht="15.75" customHeight="1" x14ac:dyDescent="0.25">
      <c r="A41" s="572">
        <f t="shared" si="42"/>
        <v>32</v>
      </c>
      <c r="B41" s="687" t="s">
        <v>95</v>
      </c>
      <c r="C41" s="688" t="s">
        <v>613</v>
      </c>
      <c r="D41" s="689"/>
      <c r="E41" s="690"/>
      <c r="F41" s="691">
        <v>0</v>
      </c>
      <c r="G41" s="692">
        <f>IF(F41&lt;2700,F41*0.0097,IF(F41&lt;3200,F41*0.01095,IF(F41&lt;3700,F41*0.0122,IF(F41&gt;3699,F41*0.01345,""))))</f>
        <v>0</v>
      </c>
      <c r="H41" s="693">
        <v>14.285714285714286</v>
      </c>
      <c r="I41" s="691">
        <v>0</v>
      </c>
      <c r="J41" s="692">
        <f>IF(I41&lt;2700,I41*0.0097,IF(I41&lt;3200,I41*0.01095,IF(I41&lt;3700,I41*0.0122,IF(I41&gt;3699,I41*0.01345,""))))</f>
        <v>0</v>
      </c>
      <c r="K41" s="693">
        <v>14.285714285714286</v>
      </c>
      <c r="L41" s="691">
        <v>0</v>
      </c>
      <c r="M41" s="692">
        <f>IF(L41&lt;2700,L41*0.0097,IF(L41&lt;3200,L41*0.01095,IF(L41&lt;3700,L41*0.0122,IF(L41&gt;3699,L41*0.01345,""))))</f>
        <v>0</v>
      </c>
      <c r="N41" s="693">
        <v>14.285714285714286</v>
      </c>
      <c r="O41" s="691">
        <v>0</v>
      </c>
      <c r="P41" s="692">
        <f>IF(O41&lt;2700,O41*0.0097,IF(O41&lt;3200,O41*0.01095,IF(O41&lt;3700,O41*0.0122,IF(O41&gt;3699,O41*0.01345,""))))</f>
        <v>0</v>
      </c>
      <c r="Q41" s="693">
        <v>14.285714285714286</v>
      </c>
      <c r="R41" s="691">
        <v>0</v>
      </c>
      <c r="S41" s="692">
        <f>IF(R41&lt;2700,R41*0.0097,IF(R41&lt;3200,R41*0.01095,IF(R41&lt;3700,R41*0.0122,IF(R41&gt;3699,R41*0.01345,""))))</f>
        <v>0</v>
      </c>
      <c r="T41" s="693">
        <v>14.285714285714286</v>
      </c>
      <c r="U41" s="691">
        <v>0</v>
      </c>
      <c r="V41" s="692">
        <f>IF(U41&lt;2700,U41*0.0097,IF(U41&lt;3200,U41*0.01095,IF(U41&lt;3700,U41*0.0122,IF(U41&gt;3699,U41*0.01345,""))))</f>
        <v>0</v>
      </c>
      <c r="W41" s="693">
        <v>14.285714285714286</v>
      </c>
      <c r="X41" s="691">
        <v>0</v>
      </c>
      <c r="Y41" s="692">
        <f>IF(X41&lt;2700,X41*0.0097,IF(X41&lt;3200,X41*0.01095,IF(X41&lt;3700,X41*0.0122,IF(X41&gt;3699,X41*0.01345,""))))</f>
        <v>0</v>
      </c>
      <c r="Z41" s="693">
        <v>14.285714285714286</v>
      </c>
      <c r="AA41" s="691">
        <v>0</v>
      </c>
      <c r="AB41" s="692">
        <f>IF(AA41&lt;2700,AA41*0.0097,IF(AA41&lt;3200,AA41*0.01095,IF(AA41&lt;3700,AA41*0.0122,IF(AA41&gt;3699,AA41*0.01345,""))))</f>
        <v>0</v>
      </c>
      <c r="AC41" s="693">
        <v>14.285714285714286</v>
      </c>
      <c r="AD41" s="691">
        <v>0</v>
      </c>
      <c r="AE41" s="692">
        <f>IF(AD41&lt;2700,AD41*0.0097,IF(AD41&lt;3200,AD41*0.01095,IF(AD41&lt;3700,AD41*0.0122,IF(AD41&gt;3699,AD41*0.01345,""))))</f>
        <v>0</v>
      </c>
      <c r="AF41" s="693">
        <v>14.285714285714286</v>
      </c>
      <c r="AG41" s="691">
        <v>0</v>
      </c>
      <c r="AH41" s="692">
        <f>IF(AG41&lt;2700,AG41*0.0097,IF(AG41&lt;3200,AG41*0.01095,IF(AG41&lt;3700,AG41*0.0122,IF(AG41&gt;3699,AG41*0.01345,""))))</f>
        <v>0</v>
      </c>
      <c r="AI41" s="693">
        <v>14.285714285714286</v>
      </c>
      <c r="AJ41" s="691">
        <v>0</v>
      </c>
      <c r="AK41" s="692">
        <f>IF(AJ41&lt;2700,AJ41*0.0097,IF(AJ41&lt;3200,AJ41*0.01095,IF(AJ41&lt;3700,AJ41*0.0122,IF(AJ41&gt;3699,AJ41*0.01345,""))))</f>
        <v>0</v>
      </c>
      <c r="AL41" s="693">
        <v>14.285714285714286</v>
      </c>
      <c r="AM41" s="691">
        <v>0</v>
      </c>
      <c r="AN41" s="692">
        <f>IF(AM41&lt;2700,AM41*0.0097,IF(AM41&lt;3200,AM41*0.01095,IF(AM41&lt;3700,AM41*0.0122,IF(AM41&gt;3699,AM41*0.01345,""))))</f>
        <v>0</v>
      </c>
      <c r="AO41" s="693">
        <v>14.285714285714286</v>
      </c>
      <c r="AP41" s="691">
        <v>0</v>
      </c>
      <c r="AQ41" s="692">
        <f>IF(AP41&lt;2700,AP41*0.0097,IF(AP41&lt;3200,AP41*0.01095,IF(AP41&lt;3700,AP41*0.0122,IF(AP41&gt;3699,AP41*0.01345,""))))</f>
        <v>0</v>
      </c>
      <c r="AR41" s="693">
        <v>14.285714285714286</v>
      </c>
      <c r="AS41" s="691">
        <v>0</v>
      </c>
      <c r="AT41" s="692">
        <f>IF(AS41&lt;2700,AS41*0.0097,IF(AS41&lt;3200,AS41*0.01095,IF(AS41&lt;3700,AS41*0.0122,IF(AS41&gt;3699,AS41*0.01345,""))))</f>
        <v>0</v>
      </c>
      <c r="AU41" s="693">
        <v>14.285714285714286</v>
      </c>
      <c r="AV41" s="654"/>
      <c r="AW41" s="692">
        <f>IF(AV41&lt;2700,AV41*0.0097,IF(AV41&lt;3200,AV41*0.01095,IF(AV41&lt;3700,AV41*0.0122,IF(AV41&gt;3699,AV41*0.01345,""))))</f>
        <v>0</v>
      </c>
      <c r="AX41" s="599"/>
      <c r="AY41" s="654"/>
      <c r="AZ41" s="692">
        <f>IF(AY41&lt;2700,AY41*0.0097,IF(AY41&lt;3200,AY41*0.01095,IF(AY41&lt;3700,AY41*0.0122,IF(AY41&gt;3699,AY41*0.01345,""))))</f>
        <v>0</v>
      </c>
      <c r="BA41" s="599"/>
      <c r="BB41" s="694">
        <f t="shared" si="43"/>
        <v>0</v>
      </c>
      <c r="BC41" s="695">
        <f t="shared" si="43"/>
        <v>0</v>
      </c>
      <c r="BD41" s="696">
        <f t="shared" si="43"/>
        <v>199.99999999999997</v>
      </c>
      <c r="BE41" s="583"/>
      <c r="BF41" s="584">
        <f t="shared" si="36"/>
        <v>199.99999999999997</v>
      </c>
      <c r="BG41" s="697">
        <v>0</v>
      </c>
      <c r="BH41" s="692">
        <f>IF(BG41&lt;2700,BG41*0.0097,IF(BG41&lt;3200,BG41*0.01095,IF(BG41&lt;3700,BG41*0.0122,IF(BG41&gt;3699,BG41*0.01345,""))))</f>
        <v>0</v>
      </c>
      <c r="BI41" s="693">
        <v>15.384615384615385</v>
      </c>
      <c r="BJ41" s="697">
        <v>0</v>
      </c>
      <c r="BK41" s="692">
        <f>IF(BJ41&lt;2700,BJ41*0.0097,IF(BJ41&lt;3200,BJ41*0.01095,IF(BJ41&lt;3700,BJ41*0.0122,IF(BJ41&gt;3699,BJ41*0.01345,""))))</f>
        <v>0</v>
      </c>
      <c r="BL41" s="693">
        <v>15.384615384615385</v>
      </c>
      <c r="BM41" s="691">
        <v>0</v>
      </c>
      <c r="BN41" s="692">
        <f>IF(BM41&lt;2700,BM41*0.0097,IF(BM41&lt;3200,BM41*0.01095,IF(BM41&lt;3700,BM41*0.0122,IF(BM41&gt;3699,BM41*0.01345,""))))</f>
        <v>0</v>
      </c>
      <c r="BO41" s="693">
        <v>15.384615384615385</v>
      </c>
      <c r="BP41" s="691">
        <v>0</v>
      </c>
      <c r="BQ41" s="692">
        <f>IF(BP41&lt;2700,BP41*0.0097,IF(BP41&lt;3200,BP41*0.01095,IF(BP41&lt;3700,BP41*0.0122,IF(BP41&gt;3699,BP41*0.01345,""))))</f>
        <v>0</v>
      </c>
      <c r="BR41" s="693">
        <v>15.384615384615385</v>
      </c>
      <c r="BS41" s="691">
        <v>0</v>
      </c>
      <c r="BT41" s="692">
        <f>IF(BS41&lt;2700,BS41*0.0097,IF(BS41&lt;3200,BS41*0.01095,IF(BS41&lt;3700,BS41*0.0122,IF(BS41&gt;3699,BS41*0.01345,""))))</f>
        <v>0</v>
      </c>
      <c r="BU41" s="693">
        <v>15.384615384615385</v>
      </c>
      <c r="BV41" s="691">
        <v>0</v>
      </c>
      <c r="BW41" s="692">
        <f>IF(BV41&lt;2700,BV41*0.0097,IF(BV41&lt;3200,BV41*0.01095,IF(BV41&lt;3700,BV41*0.0122,IF(BV41&gt;3699,BV41*0.01345,""))))</f>
        <v>0</v>
      </c>
      <c r="BX41" s="693">
        <v>15.384615384615385</v>
      </c>
      <c r="BY41" s="697">
        <v>0</v>
      </c>
      <c r="BZ41" s="692">
        <f>IF(BY41&lt;2700,BY41*0.0097,IF(BY41&lt;3200,BY41*0.01095,IF(BY41&lt;3700,BY41*0.0122,IF(BY41&gt;3699,BY41*0.01345,""))))</f>
        <v>0</v>
      </c>
      <c r="CA41" s="693">
        <v>15.384615384615385</v>
      </c>
      <c r="CB41" s="697">
        <v>0</v>
      </c>
      <c r="CC41" s="692">
        <f>IF(CB41&lt;2700,CB41*0.0097,IF(CB41&lt;3200,CB41*0.01095,IF(CB41&lt;3700,CB41*0.0122,IF(CB41&gt;3699,CB41*0.01345,""))))</f>
        <v>0</v>
      </c>
      <c r="CD41" s="693">
        <v>15.384615384615385</v>
      </c>
      <c r="CE41" s="697">
        <v>0</v>
      </c>
      <c r="CF41" s="692">
        <f>IF(CE41&lt;2700,CE41*0.0097,IF(CE41&lt;3200,CE41*0.01095,IF(CE41&lt;3700,CE41*0.0122,IF(CE41&gt;3699,CE41*0.01345,""))))</f>
        <v>0</v>
      </c>
      <c r="CG41" s="693">
        <v>15.384615384615385</v>
      </c>
      <c r="CH41" s="697">
        <v>0</v>
      </c>
      <c r="CI41" s="692">
        <f>IF(CH41&lt;2700,CH41*0.0097,IF(CH41&lt;3200,CH41*0.01095,IF(CH41&lt;3700,CH41*0.0122,IF(CH41&gt;3699,CH41*0.01345,""))))</f>
        <v>0</v>
      </c>
      <c r="CJ41" s="693">
        <v>15.384615384615385</v>
      </c>
      <c r="CK41" s="697">
        <v>0</v>
      </c>
      <c r="CL41" s="692">
        <f>IF(CK41&lt;2700,CK41*0.0097,IF(CK41&lt;3200,CK41*0.01095,IF(CK41&lt;3700,CK41*0.0122,IF(CK41&gt;3699,CK41*0.01345,""))))</f>
        <v>0</v>
      </c>
      <c r="CM41" s="693">
        <v>15.384615384615385</v>
      </c>
      <c r="CN41" s="697">
        <v>0</v>
      </c>
      <c r="CO41" s="692">
        <f>IF(CN41&lt;2700,CN41*0.0097,IF(CN41&lt;3200,CN41*0.01095,IF(CN41&lt;3700,CN41*0.0122,IF(CN41&gt;3699,CN41*0.01345,""))))</f>
        <v>0</v>
      </c>
      <c r="CP41" s="693">
        <v>15.384615384615385</v>
      </c>
      <c r="CQ41" s="697">
        <v>0</v>
      </c>
      <c r="CR41" s="692">
        <f>IF(CQ41&lt;2700,CQ41*0.0097,IF(CQ41&lt;3200,CQ41*0.01095,IF(CQ41&lt;3700,CQ41*0.0122,IF(CQ41&gt;3699,CQ41*0.01345,""))))</f>
        <v>0</v>
      </c>
      <c r="CS41" s="693">
        <v>15.384615384615385</v>
      </c>
      <c r="CT41" s="698">
        <f t="shared" si="44"/>
        <v>0</v>
      </c>
      <c r="CU41" s="699">
        <f t="shared" si="44"/>
        <v>0</v>
      </c>
      <c r="CV41" s="700">
        <f t="shared" si="38"/>
        <v>200</v>
      </c>
      <c r="CW41" s="583"/>
      <c r="CX41" s="701">
        <f t="shared" si="39"/>
        <v>200</v>
      </c>
      <c r="CY41" s="588">
        <f t="shared" si="45"/>
        <v>0</v>
      </c>
      <c r="CZ41" s="589">
        <f t="shared" si="45"/>
        <v>0</v>
      </c>
      <c r="DA41" s="590">
        <f t="shared" si="45"/>
        <v>400</v>
      </c>
      <c r="DB41" s="591">
        <f t="shared" si="41"/>
        <v>400</v>
      </c>
    </row>
    <row r="42" spans="1:148" s="707" customFormat="1" ht="15.75" customHeight="1" x14ac:dyDescent="0.25">
      <c r="A42" s="572">
        <f t="shared" si="42"/>
        <v>33</v>
      </c>
      <c r="B42" s="687" t="s">
        <v>96</v>
      </c>
      <c r="C42" s="688" t="s">
        <v>614</v>
      </c>
      <c r="D42" s="689"/>
      <c r="E42" s="690"/>
      <c r="F42" s="691">
        <v>3527.6984924623121</v>
      </c>
      <c r="G42" s="692">
        <f>IF(F42&lt;2700,F42*0.0043,IF(F42&lt;3200,F42*0.005,IF(F42&lt;3700,F42*0.0057,IF(F42&gt;3699,F42*0.0064,""))))</f>
        <v>20.10788140703518</v>
      </c>
      <c r="H42" s="599"/>
      <c r="I42" s="691">
        <v>2824.9173138419369</v>
      </c>
      <c r="J42" s="692">
        <f>IF(I42&lt;2700,I42*0.0043,IF(I42&lt;3200,I42*0.005,IF(I42&lt;3700,I42*0.0057,IF(I42&gt;3699,I42*0.0064,""))))</f>
        <v>14.124586569209685</v>
      </c>
      <c r="K42" s="599"/>
      <c r="L42" s="691">
        <v>3521.4326176336235</v>
      </c>
      <c r="M42" s="692">
        <f>IF(L42&lt;2700,L42*0.0043,IF(L42&lt;3200,L42*0.005,IF(L42&lt;3700,L42*0.0057,IF(L42&gt;3699,L42*0.0064,""))))</f>
        <v>20.072165920511654</v>
      </c>
      <c r="N42" s="599"/>
      <c r="O42" s="654"/>
      <c r="P42" s="692">
        <f>IF(O42&lt;2700,O42*0.0097,IF(O42&lt;3200,O42*0.01095,IF(O42&lt;3700,O42*0.0122,IF(O42&gt;3699,O42*0.01345,""))))</f>
        <v>0</v>
      </c>
      <c r="Q42" s="599"/>
      <c r="R42" s="691">
        <v>4186.0210141617172</v>
      </c>
      <c r="S42" s="692">
        <f t="shared" ref="S42:S44" si="47">IF(R42&lt;2700,R42*0.0043,IF(R42&lt;3200,R42*0.005,IF(R42&lt;3700,R42*0.0057,IF(R42&gt;3699,R42*0.0064,""))))</f>
        <v>26.79053449063499</v>
      </c>
      <c r="T42" s="599"/>
      <c r="U42" s="691">
        <v>3398.9788944723614</v>
      </c>
      <c r="V42" s="692">
        <f t="shared" ref="V42:V48" si="48">IF(U42&lt;2700,U42*0.0043,IF(U42&lt;3200,U42*0.005,IF(U42&lt;3700,U42*0.0057,IF(U42&gt;3699,U42*0.0064,""))))</f>
        <v>19.374179698492462</v>
      </c>
      <c r="W42" s="599"/>
      <c r="X42" s="691">
        <v>2831.4693467336683</v>
      </c>
      <c r="Y42" s="692">
        <f t="shared" ref="Y42:Y48" si="49">IF(X42&lt;2700,X42*0.0043,IF(X42&lt;3200,X42*0.005,IF(X42&lt;3700,X42*0.0057,IF(X42&gt;3699,X42*0.0064,""))))</f>
        <v>14.157346733668343</v>
      </c>
      <c r="Z42" s="599"/>
      <c r="AA42" s="691">
        <v>2318.713567839196</v>
      </c>
      <c r="AB42" s="692">
        <f t="shared" ref="AB42:AB48" si="50">IF(AA42&lt;2700,AA42*0.0043,IF(AA42&lt;3200,AA42*0.005,IF(AA42&lt;3700,AA42*0.0057,IF(AA42&gt;3699,AA42*0.0064,""))))</f>
        <v>9.9704683417085427</v>
      </c>
      <c r="AC42" s="599"/>
      <c r="AD42" s="691">
        <v>6049.3266331658297</v>
      </c>
      <c r="AE42" s="692">
        <f>IF(AD42&lt;2700,AD42*0.0043,IF(AD42&lt;3200,AD42*0.005,IF(AD42&lt;3700,AD42*0.0057,IF(AD42&gt;3699,AD42*0.0064,""))))</f>
        <v>38.715690452261313</v>
      </c>
      <c r="AF42" s="599"/>
      <c r="AG42" s="618"/>
      <c r="AH42" s="692">
        <f>IF(AG42&lt;2700,AG42*0.0097,IF(AG42&lt;3200,AG42*0.01095,IF(AG42&lt;3700,AG42*0.0122,IF(AG42&gt;3699,AG42*0.01345,""))))</f>
        <v>0</v>
      </c>
      <c r="AI42" s="599"/>
      <c r="AJ42" s="691">
        <v>3721.4143444495203</v>
      </c>
      <c r="AK42" s="692">
        <f t="shared" ref="AK42:AK48" si="51">IF(AJ42&lt;2700,AJ42*0.0043,IF(AJ42&lt;3200,AJ42*0.005,IF(AJ42&lt;3700,AJ42*0.0057,IF(AJ42&gt;3699,AJ42*0.0064,""))))</f>
        <v>23.817051804476932</v>
      </c>
      <c r="AL42" s="599"/>
      <c r="AM42" s="691">
        <v>3271.1396984924622</v>
      </c>
      <c r="AN42" s="692">
        <f t="shared" ref="AN42:AN48" si="52">IF(AM42&lt;2700,AM42*0.0043,IF(AM42&lt;3200,AM42*0.005,IF(AM42&lt;3700,AM42*0.0057,IF(AM42&gt;3699,AM42*0.0064,""))))</f>
        <v>18.645496281407034</v>
      </c>
      <c r="AO42" s="599"/>
      <c r="AP42" s="702">
        <v>0</v>
      </c>
      <c r="AQ42" s="703">
        <v>0</v>
      </c>
      <c r="AR42" s="692">
        <v>25</v>
      </c>
      <c r="AS42" s="691">
        <v>3769.9018167761888</v>
      </c>
      <c r="AT42" s="692">
        <f t="shared" ref="AT42:AT48" si="53">IF(AS42&lt;2700,AS42*0.0043,IF(AS42&lt;3200,AS42*0.005,IF(AS42&lt;3700,AS42*0.0057,IF(AS42&gt;3699,AS42*0.0064,""))))</f>
        <v>24.127371627367609</v>
      </c>
      <c r="AU42" s="599"/>
      <c r="AV42" s="654"/>
      <c r="AW42" s="692">
        <f>IF(AV42&lt;2700,AV42*0.0097,IF(AV42&lt;3200,AV42*0.01095,IF(AV42&lt;3700,AV42*0.0122,IF(AV42&gt;3699,AV42*0.01345,""))))</f>
        <v>0</v>
      </c>
      <c r="AX42" s="599"/>
      <c r="AY42" s="654"/>
      <c r="AZ42" s="692">
        <f>IF(AY42&lt;2700,AY42*0.0097,IF(AY42&lt;3200,AY42*0.01095,IF(AY42&lt;3700,AY42*0.0122,IF(AY42&gt;3699,AY42*0.01345,""))))</f>
        <v>0</v>
      </c>
      <c r="BA42" s="599"/>
      <c r="BB42" s="581">
        <f t="shared" si="43"/>
        <v>39421.013740028822</v>
      </c>
      <c r="BC42" s="582">
        <f t="shared" si="43"/>
        <v>229.90277332677374</v>
      </c>
      <c r="BD42" s="465">
        <f t="shared" si="43"/>
        <v>25</v>
      </c>
      <c r="BE42" s="587"/>
      <c r="BF42" s="637">
        <f t="shared" si="36"/>
        <v>254.90277332677374</v>
      </c>
      <c r="BG42" s="697">
        <v>3598.3919597989952</v>
      </c>
      <c r="BH42" s="692">
        <f t="shared" ref="BH42:BH48" si="54">IF(BG42&lt;2700,BG42*0.0043,IF(BG42&lt;3200,BG42*0.005,IF(BG42&lt;3700,BG42*0.0057,IF(BG42&gt;3699,BG42*0.0064,""))))</f>
        <v>20.510834170854274</v>
      </c>
      <c r="BI42" s="599"/>
      <c r="BJ42" s="697">
        <v>0</v>
      </c>
      <c r="BK42" s="692">
        <f>IF(BJ42&lt;2700,BJ42*0.0097,IF(BJ42&lt;3200,BJ42*0.01095,IF(BJ42&lt;3700,BJ42*0.0122,IF(BJ42&gt;3699,BJ42*0.01345,""))))</f>
        <v>0</v>
      </c>
      <c r="BL42" s="693">
        <v>20</v>
      </c>
      <c r="BM42" s="691">
        <v>2796.582914572864</v>
      </c>
      <c r="BN42" s="692">
        <f t="shared" ref="BN42:BN48" si="55">IF(BM42&lt;2700,BM42*0.0043,IF(BM42&lt;3200,BM42*0.005,IF(BM42&lt;3700,BM42*0.0057,IF(BM42&gt;3699,BM42*0.0064,""))))</f>
        <v>13.98291457286432</v>
      </c>
      <c r="BO42" s="599"/>
      <c r="BP42" s="691">
        <v>2949.4190954773867</v>
      </c>
      <c r="BQ42" s="692">
        <f t="shared" ref="BQ42:BQ48" si="56">IF(BP42&lt;2700,BP42*0.0043,IF(BP42&lt;3200,BP42*0.005,IF(BP42&lt;3700,BP42*0.0057,IF(BP42&gt;3699,BP42*0.0064,""))))</f>
        <v>14.747095477386933</v>
      </c>
      <c r="BR42" s="599"/>
      <c r="BS42" s="691">
        <v>2923.8994974874372</v>
      </c>
      <c r="BT42" s="692">
        <f t="shared" ref="BT42:BT48" si="57">IF(BS42&lt;2700,BS42*0.0043,IF(BS42&lt;3200,BS42*0.005,IF(BS42&lt;3700,BS42*0.0057,IF(BS42&gt;3699,BS42*0.0064,""))))</f>
        <v>14.619497487437187</v>
      </c>
      <c r="BU42" s="599"/>
      <c r="BV42" s="691">
        <v>2666.1467336683418</v>
      </c>
      <c r="BW42" s="692">
        <f t="shared" ref="BW42:BW48" si="58">IF(BV42&lt;2700,BV42*0.0043,IF(BV42&lt;3200,BV42*0.005,IF(BV42&lt;3700,BV42*0.0057,IF(BV42&gt;3699,BV42*0.0064,""))))</f>
        <v>11.464430954773869</v>
      </c>
      <c r="BX42" s="599"/>
      <c r="BY42" s="697">
        <v>1424.4180904522614</v>
      </c>
      <c r="BZ42" s="692">
        <f t="shared" ref="BZ42:BZ48" si="59">IF(BY42&lt;2700,BY42*0.0043,IF(BY42&lt;3200,BY42*0.005,IF(BY42&lt;3700,BY42*0.0057,IF(BY42&gt;3699,BY42*0.0064,""))))</f>
        <v>6.1249977889447242</v>
      </c>
      <c r="CA42" s="599"/>
      <c r="CB42" s="704">
        <v>0</v>
      </c>
      <c r="CC42" s="703">
        <v>0</v>
      </c>
      <c r="CD42" s="692">
        <v>12.5</v>
      </c>
      <c r="CE42" s="697">
        <v>3339.497487437186</v>
      </c>
      <c r="CF42" s="692">
        <f t="shared" ref="CF42:CF48" si="60">IF(CE42&lt;2700,CE42*0.0043,IF(CE42&lt;3200,CE42*0.005,IF(CE42&lt;3700,CE42*0.0057,IF(CE42&gt;3699,CE42*0.0064,""))))</f>
        <v>19.03513567839196</v>
      </c>
      <c r="CG42" s="601"/>
      <c r="CH42" s="704">
        <v>0</v>
      </c>
      <c r="CI42" s="703">
        <v>0</v>
      </c>
      <c r="CJ42" s="692">
        <v>20</v>
      </c>
      <c r="CK42" s="704">
        <v>0</v>
      </c>
      <c r="CL42" s="703">
        <v>0</v>
      </c>
      <c r="CM42" s="692">
        <v>20</v>
      </c>
      <c r="CN42" s="704">
        <v>0</v>
      </c>
      <c r="CO42" s="705">
        <v>0</v>
      </c>
      <c r="CP42" s="692"/>
      <c r="CQ42" s="704">
        <v>0</v>
      </c>
      <c r="CR42" s="705">
        <v>0</v>
      </c>
      <c r="CS42" s="599"/>
      <c r="CT42" s="551">
        <f t="shared" si="44"/>
        <v>19698.355778894474</v>
      </c>
      <c r="CU42" s="552">
        <f t="shared" si="44"/>
        <v>100.48490613065329</v>
      </c>
      <c r="CV42" s="553">
        <f t="shared" si="38"/>
        <v>72.5</v>
      </c>
      <c r="CW42" s="587"/>
      <c r="CX42" s="554">
        <f t="shared" si="39"/>
        <v>172.98490613065329</v>
      </c>
      <c r="CY42" s="588">
        <f t="shared" si="45"/>
        <v>59119.369518923297</v>
      </c>
      <c r="CZ42" s="589">
        <f t="shared" si="45"/>
        <v>330.387679457427</v>
      </c>
      <c r="DA42" s="590">
        <f t="shared" si="45"/>
        <v>97.5</v>
      </c>
      <c r="DB42" s="591">
        <f t="shared" si="41"/>
        <v>427.887679457427</v>
      </c>
      <c r="DC42" s="192" t="s">
        <v>859</v>
      </c>
      <c r="DD42" s="398"/>
      <c r="DE42" s="706"/>
      <c r="DF42" s="706"/>
      <c r="DG42" s="706"/>
      <c r="DH42" s="706"/>
      <c r="DI42" s="706"/>
      <c r="DJ42" s="706"/>
      <c r="DK42" s="706"/>
      <c r="DL42" s="706"/>
      <c r="DM42" s="706"/>
      <c r="DN42" s="706"/>
      <c r="DO42" s="706"/>
      <c r="DP42" s="706"/>
      <c r="DQ42" s="706"/>
      <c r="DR42" s="706"/>
      <c r="DS42" s="706"/>
      <c r="DT42" s="706"/>
      <c r="DU42" s="706"/>
      <c r="DV42" s="706"/>
      <c r="DW42" s="706"/>
      <c r="DX42" s="706"/>
      <c r="DY42" s="706"/>
      <c r="DZ42" s="706"/>
      <c r="EA42" s="706"/>
      <c r="EB42" s="706"/>
      <c r="EC42" s="706"/>
      <c r="ED42" s="706"/>
      <c r="EE42" s="706"/>
      <c r="EF42" s="706"/>
      <c r="EG42" s="706"/>
      <c r="EH42" s="706"/>
      <c r="EI42" s="706"/>
      <c r="EJ42" s="706"/>
      <c r="EK42" s="706"/>
      <c r="EL42" s="706"/>
      <c r="EM42" s="706"/>
      <c r="EN42" s="706"/>
      <c r="EO42" s="706"/>
      <c r="EP42" s="706"/>
      <c r="EQ42" s="706"/>
      <c r="ER42" s="706"/>
    </row>
    <row r="43" spans="1:148" s="707" customFormat="1" ht="15.75" customHeight="1" x14ac:dyDescent="0.25">
      <c r="A43" s="572">
        <f t="shared" si="42"/>
        <v>34</v>
      </c>
      <c r="B43" s="708" t="s">
        <v>615</v>
      </c>
      <c r="C43" s="688" t="s">
        <v>614</v>
      </c>
      <c r="D43" s="689"/>
      <c r="E43" s="690"/>
      <c r="F43" s="691">
        <v>3527.6984924623121</v>
      </c>
      <c r="G43" s="692">
        <f t="shared" ref="G43:G48" si="61">IF(F43&lt;2700,F43*0.0043,IF(F43&lt;3200,F43*0.005,IF(F43&lt;3700,F43*0.0057,IF(F43&gt;3699,F43*0.0064,""))))</f>
        <v>20.10788140703518</v>
      </c>
      <c r="H43" s="709"/>
      <c r="I43" s="691">
        <v>2824.9173138419369</v>
      </c>
      <c r="J43" s="692">
        <f t="shared" ref="J43:J48" si="62">IF(I43&lt;2700,I43*0.0043,IF(I43&lt;3200,I43*0.005,IF(I43&lt;3700,I43*0.0057,IF(I43&gt;3699,I43*0.0064,""))))</f>
        <v>14.124586569209685</v>
      </c>
      <c r="K43" s="709"/>
      <c r="L43" s="691">
        <v>3521.4326176336235</v>
      </c>
      <c r="M43" s="692">
        <f t="shared" ref="M43:M48" si="63">IF(L43&lt;2700,L43*0.0043,IF(L43&lt;3200,L43*0.005,IF(L43&lt;3700,L43*0.0057,IF(L43&gt;3699,L43*0.0064,""))))</f>
        <v>20.072165920511654</v>
      </c>
      <c r="N43" s="709"/>
      <c r="O43" s="654"/>
      <c r="P43" s="692">
        <f>IF(O43&lt;2700,O43*0.0097,IF(O43&lt;3200,O43*0.01095,IF(O43&lt;3700,O43*0.0122,IF(O43&gt;3699,O43*0.01345,""))))</f>
        <v>0</v>
      </c>
      <c r="Q43" s="709"/>
      <c r="R43" s="691">
        <v>4186.0210141617172</v>
      </c>
      <c r="S43" s="692">
        <f t="shared" si="47"/>
        <v>26.79053449063499</v>
      </c>
      <c r="T43" s="709"/>
      <c r="U43" s="691">
        <v>3398.9788944723614</v>
      </c>
      <c r="V43" s="692">
        <f t="shared" si="48"/>
        <v>19.374179698492462</v>
      </c>
      <c r="W43" s="709"/>
      <c r="X43" s="691">
        <v>2831.4693467336683</v>
      </c>
      <c r="Y43" s="692">
        <f t="shared" si="49"/>
        <v>14.157346733668343</v>
      </c>
      <c r="Z43" s="709"/>
      <c r="AA43" s="691">
        <v>2318.713567839196</v>
      </c>
      <c r="AB43" s="692">
        <f t="shared" si="50"/>
        <v>9.9704683417085427</v>
      </c>
      <c r="AC43" s="709"/>
      <c r="AD43" s="691">
        <v>0</v>
      </c>
      <c r="AE43" s="692">
        <f t="shared" ref="AE43" si="64">IF(AD43&lt;2700,AD43*0.005,IF(AD43&lt;3200,AD43*0.0057,IF(AD43&lt;3700,AD43*0.0064,IF(AD43&gt;3699,AD43*0.0071,""))))</f>
        <v>0</v>
      </c>
      <c r="AF43" s="711">
        <v>20</v>
      </c>
      <c r="AG43" s="691">
        <v>0</v>
      </c>
      <c r="AH43" s="692">
        <f>IF(AG43&lt;2700,AG43*0.0097,IF(AG43&lt;3200,AG43*0.01095,IF(AG43&lt;3700,AG43*0.0122,IF(AG43&gt;3699,AG43*0.01345,""))))</f>
        <v>0</v>
      </c>
      <c r="AI43" s="709">
        <v>20</v>
      </c>
      <c r="AJ43" s="691">
        <v>3721.4143444495203</v>
      </c>
      <c r="AK43" s="692">
        <f t="shared" si="51"/>
        <v>23.817051804476932</v>
      </c>
      <c r="AL43" s="709"/>
      <c r="AM43" s="691">
        <v>3271.1396984924622</v>
      </c>
      <c r="AN43" s="692">
        <f t="shared" si="52"/>
        <v>18.645496281407034</v>
      </c>
      <c r="AO43" s="709"/>
      <c r="AP43" s="702">
        <v>0</v>
      </c>
      <c r="AQ43" s="703">
        <v>0</v>
      </c>
      <c r="AR43" s="692">
        <v>25</v>
      </c>
      <c r="AS43" s="691">
        <v>3769.9018167761888</v>
      </c>
      <c r="AT43" s="692">
        <f t="shared" si="53"/>
        <v>24.127371627367609</v>
      </c>
      <c r="AU43" s="709"/>
      <c r="AV43" s="654"/>
      <c r="AW43" s="692">
        <f>IF(AV43&lt;2700,AV43*0.0097,IF(AV43&lt;3200,AV43*0.01095,IF(AV43&lt;3700,AV43*0.0122,IF(AV43&gt;3699,AV43*0.01345,""))))</f>
        <v>0</v>
      </c>
      <c r="AX43" s="709"/>
      <c r="AY43" s="654"/>
      <c r="AZ43" s="692">
        <f>IF(AY43&lt;2700,AY43*0.0097,IF(AY43&lt;3200,AY43*0.01095,IF(AY43&lt;3700,AY43*0.0122,IF(AY43&gt;3699,AY43*0.01345,""))))</f>
        <v>0</v>
      </c>
      <c r="BA43" s="709"/>
      <c r="BB43" s="581">
        <f t="shared" si="43"/>
        <v>33371.687106862984</v>
      </c>
      <c r="BC43" s="582">
        <f t="shared" si="43"/>
        <v>191.18708287451244</v>
      </c>
      <c r="BD43" s="465">
        <f t="shared" si="43"/>
        <v>65</v>
      </c>
      <c r="BE43" s="587"/>
      <c r="BF43" s="637">
        <f t="shared" si="36"/>
        <v>256.18708287451244</v>
      </c>
      <c r="BG43" s="697">
        <v>3598.3919597989952</v>
      </c>
      <c r="BH43" s="692">
        <f t="shared" si="54"/>
        <v>20.510834170854274</v>
      </c>
      <c r="BI43" s="709"/>
      <c r="BJ43" s="697">
        <v>0</v>
      </c>
      <c r="BK43" s="692">
        <f>IF(BJ43&lt;2700,BJ43*0.0097,IF(BJ43&lt;3200,BJ43*0.01095,IF(BJ43&lt;3700,BJ43*0.0122,IF(BJ43&gt;3699,BJ43*0.01345,""))))</f>
        <v>0</v>
      </c>
      <c r="BL43" s="693">
        <v>20</v>
      </c>
      <c r="BM43" s="691">
        <v>2796.582914572864</v>
      </c>
      <c r="BN43" s="692">
        <f t="shared" si="55"/>
        <v>13.98291457286432</v>
      </c>
      <c r="BO43" s="709"/>
      <c r="BP43" s="691">
        <v>2949.4190954773867</v>
      </c>
      <c r="BQ43" s="692">
        <f t="shared" si="56"/>
        <v>14.747095477386933</v>
      </c>
      <c r="BR43" s="709"/>
      <c r="BS43" s="691">
        <v>2923.8994974874372</v>
      </c>
      <c r="BT43" s="692">
        <f t="shared" si="57"/>
        <v>14.619497487437187</v>
      </c>
      <c r="BU43" s="709"/>
      <c r="BV43" s="691">
        <v>2666.1467336683418</v>
      </c>
      <c r="BW43" s="692">
        <f t="shared" si="58"/>
        <v>11.464430954773869</v>
      </c>
      <c r="BX43" s="709"/>
      <c r="BY43" s="697">
        <v>1424.4180904522614</v>
      </c>
      <c r="BZ43" s="692">
        <f t="shared" si="59"/>
        <v>6.1249977889447242</v>
      </c>
      <c r="CA43" s="709"/>
      <c r="CB43" s="704">
        <v>0</v>
      </c>
      <c r="CC43" s="703">
        <v>0</v>
      </c>
      <c r="CD43" s="692">
        <v>12.5</v>
      </c>
      <c r="CE43" s="697">
        <v>3339.497487437186</v>
      </c>
      <c r="CF43" s="692">
        <f t="shared" si="60"/>
        <v>19.03513567839196</v>
      </c>
      <c r="CG43" s="709"/>
      <c r="CH43" s="704">
        <v>0</v>
      </c>
      <c r="CI43" s="703">
        <v>0</v>
      </c>
      <c r="CJ43" s="692">
        <v>20</v>
      </c>
      <c r="CK43" s="704">
        <v>0</v>
      </c>
      <c r="CL43" s="703">
        <v>0</v>
      </c>
      <c r="CM43" s="692">
        <v>20</v>
      </c>
      <c r="CN43" s="704">
        <v>0</v>
      </c>
      <c r="CO43" s="703">
        <v>0</v>
      </c>
      <c r="CP43" s="692">
        <v>15</v>
      </c>
      <c r="CQ43" s="704">
        <v>0</v>
      </c>
      <c r="CR43" s="703">
        <v>0</v>
      </c>
      <c r="CS43" s="692">
        <v>20</v>
      </c>
      <c r="CT43" s="551">
        <f t="shared" si="44"/>
        <v>19698.355778894474</v>
      </c>
      <c r="CU43" s="552">
        <f t="shared" si="44"/>
        <v>100.48490613065329</v>
      </c>
      <c r="CV43" s="553">
        <f t="shared" si="38"/>
        <v>107.5</v>
      </c>
      <c r="CW43" s="587"/>
      <c r="CX43" s="554">
        <f t="shared" si="39"/>
        <v>207.98490613065329</v>
      </c>
      <c r="CY43" s="588">
        <f t="shared" si="45"/>
        <v>53070.042885757459</v>
      </c>
      <c r="CZ43" s="589">
        <f t="shared" si="45"/>
        <v>291.67198900516576</v>
      </c>
      <c r="DA43" s="590">
        <f t="shared" si="45"/>
        <v>172.5</v>
      </c>
      <c r="DB43" s="591">
        <f t="shared" si="41"/>
        <v>464.17198900516576</v>
      </c>
      <c r="DC43" s="192" t="s">
        <v>616</v>
      </c>
      <c r="DD43" s="398"/>
      <c r="DE43" s="706"/>
      <c r="DF43" s="706"/>
      <c r="DG43" s="706"/>
      <c r="DH43" s="706"/>
      <c r="DI43" s="706"/>
      <c r="DJ43" s="706"/>
      <c r="DK43" s="706"/>
      <c r="DL43" s="706"/>
      <c r="DM43" s="706"/>
      <c r="DN43" s="706"/>
      <c r="DO43" s="706"/>
      <c r="DP43" s="706"/>
      <c r="DQ43" s="706"/>
      <c r="DR43" s="706"/>
      <c r="DS43" s="706"/>
      <c r="DT43" s="706"/>
      <c r="DU43" s="706"/>
      <c r="DV43" s="706"/>
      <c r="DW43" s="706"/>
      <c r="DX43" s="706"/>
      <c r="DY43" s="706"/>
      <c r="DZ43" s="706"/>
      <c r="EA43" s="706"/>
      <c r="EB43" s="706"/>
      <c r="EC43" s="706"/>
      <c r="ED43" s="706"/>
      <c r="EE43" s="706"/>
      <c r="EF43" s="706"/>
      <c r="EG43" s="706"/>
      <c r="EH43" s="706"/>
      <c r="EI43" s="706"/>
      <c r="EJ43" s="706"/>
      <c r="EK43" s="706"/>
      <c r="EL43" s="706"/>
      <c r="EM43" s="706"/>
      <c r="EN43" s="706"/>
      <c r="EO43" s="706"/>
      <c r="EP43" s="706"/>
      <c r="EQ43" s="706"/>
      <c r="ER43" s="706"/>
    </row>
    <row r="44" spans="1:148" s="707" customFormat="1" ht="15.75" customHeight="1" x14ac:dyDescent="0.25">
      <c r="A44" s="572">
        <f t="shared" si="42"/>
        <v>35</v>
      </c>
      <c r="B44" s="710" t="s">
        <v>204</v>
      </c>
      <c r="C44" s="688" t="s">
        <v>617</v>
      </c>
      <c r="D44" s="574" t="s">
        <v>618</v>
      </c>
      <c r="E44" s="575" t="s">
        <v>619</v>
      </c>
      <c r="F44" s="691">
        <v>3527.6984924623121</v>
      </c>
      <c r="G44" s="692">
        <f t="shared" si="61"/>
        <v>20.10788140703518</v>
      </c>
      <c r="H44" s="711"/>
      <c r="I44" s="691">
        <v>2824.9173138419369</v>
      </c>
      <c r="J44" s="692">
        <f t="shared" si="62"/>
        <v>14.124586569209685</v>
      </c>
      <c r="K44" s="711"/>
      <c r="L44" s="691">
        <v>3521.4326176336235</v>
      </c>
      <c r="M44" s="692">
        <f t="shared" si="63"/>
        <v>20.072165920511654</v>
      </c>
      <c r="N44" s="711"/>
      <c r="O44" s="654"/>
      <c r="P44" s="712">
        <v>0</v>
      </c>
      <c r="Q44" s="711"/>
      <c r="R44" s="691">
        <v>4186.0210141617172</v>
      </c>
      <c r="S44" s="692">
        <f t="shared" si="47"/>
        <v>26.79053449063499</v>
      </c>
      <c r="T44" s="711"/>
      <c r="U44" s="691">
        <v>3398.9788944723614</v>
      </c>
      <c r="V44" s="692">
        <f t="shared" si="48"/>
        <v>19.374179698492462</v>
      </c>
      <c r="W44" s="711"/>
      <c r="X44" s="691">
        <v>2831.4693467336683</v>
      </c>
      <c r="Y44" s="692">
        <f t="shared" si="49"/>
        <v>14.157346733668343</v>
      </c>
      <c r="Z44" s="711"/>
      <c r="AA44" s="691">
        <v>2318.713567839196</v>
      </c>
      <c r="AB44" s="692">
        <f t="shared" si="50"/>
        <v>9.9704683417085427</v>
      </c>
      <c r="AC44" s="711"/>
      <c r="AD44" s="691">
        <v>6049.3266331658297</v>
      </c>
      <c r="AE44" s="692">
        <f t="shared" ref="AE44:AE48" si="65">IF(AD44&lt;2700,AD44*0.0043,IF(AD44&lt;3200,AD44*0.005,IF(AD44&lt;3700,AD44*0.0057,IF(AD44&gt;3699,AD44*0.0064,""))))</f>
        <v>38.715690452261313</v>
      </c>
      <c r="AF44" s="711"/>
      <c r="AG44" s="618"/>
      <c r="AH44" s="712">
        <v>0</v>
      </c>
      <c r="AI44" s="711"/>
      <c r="AJ44" s="691">
        <v>3721.4143444495203</v>
      </c>
      <c r="AK44" s="692">
        <f t="shared" si="51"/>
        <v>23.817051804476932</v>
      </c>
      <c r="AL44" s="711"/>
      <c r="AM44" s="691">
        <v>3271.1396984924622</v>
      </c>
      <c r="AN44" s="692">
        <f t="shared" si="52"/>
        <v>18.645496281407034</v>
      </c>
      <c r="AO44" s="711"/>
      <c r="AP44" s="702">
        <v>0</v>
      </c>
      <c r="AQ44" s="703">
        <v>0</v>
      </c>
      <c r="AR44" s="692">
        <v>25</v>
      </c>
      <c r="AS44" s="691">
        <v>3769.9018167761888</v>
      </c>
      <c r="AT44" s="692">
        <f t="shared" si="53"/>
        <v>24.127371627367609</v>
      </c>
      <c r="AU44" s="711"/>
      <c r="AV44" s="654"/>
      <c r="AW44" s="712">
        <v>0</v>
      </c>
      <c r="AX44" s="711"/>
      <c r="AY44" s="654"/>
      <c r="AZ44" s="712">
        <v>0</v>
      </c>
      <c r="BA44" s="711"/>
      <c r="BB44" s="581">
        <f t="shared" si="43"/>
        <v>39421.013740028822</v>
      </c>
      <c r="BC44" s="582">
        <f>+G44+J44+M44+P44+S44+V44+Y44+AB44+AE44+AH44+AK44+AN44+AQ44+AT44+AW44+AZ44</f>
        <v>229.90277332677374</v>
      </c>
      <c r="BD44" s="465">
        <f t="shared" si="43"/>
        <v>25</v>
      </c>
      <c r="BE44" s="587"/>
      <c r="BF44" s="637">
        <f t="shared" si="36"/>
        <v>254.90277332677374</v>
      </c>
      <c r="BG44" s="697">
        <v>3598.3919597989952</v>
      </c>
      <c r="BH44" s="692">
        <f t="shared" si="54"/>
        <v>20.510834170854274</v>
      </c>
      <c r="BI44" s="711"/>
      <c r="BJ44" s="697">
        <v>0</v>
      </c>
      <c r="BK44" s="712">
        <v>0</v>
      </c>
      <c r="BL44" s="693">
        <v>20</v>
      </c>
      <c r="BM44" s="691">
        <v>2796.582914572864</v>
      </c>
      <c r="BN44" s="692">
        <f t="shared" si="55"/>
        <v>13.98291457286432</v>
      </c>
      <c r="BO44" s="711"/>
      <c r="BP44" s="691">
        <v>2949.4190954773867</v>
      </c>
      <c r="BQ44" s="692">
        <f t="shared" si="56"/>
        <v>14.747095477386933</v>
      </c>
      <c r="BR44" s="711"/>
      <c r="BS44" s="691">
        <v>2923.8994974874372</v>
      </c>
      <c r="BT44" s="692">
        <f t="shared" si="57"/>
        <v>14.619497487437187</v>
      </c>
      <c r="BU44" s="711"/>
      <c r="BV44" s="691">
        <v>2666.1467336683418</v>
      </c>
      <c r="BW44" s="692">
        <f t="shared" si="58"/>
        <v>11.464430954773869</v>
      </c>
      <c r="BX44" s="711"/>
      <c r="BY44" s="697">
        <v>1424.4180904522614</v>
      </c>
      <c r="BZ44" s="692">
        <f t="shared" si="59"/>
        <v>6.1249977889447242</v>
      </c>
      <c r="CA44" s="711"/>
      <c r="CB44" s="704">
        <v>0</v>
      </c>
      <c r="CC44" s="703">
        <v>0</v>
      </c>
      <c r="CD44" s="692">
        <v>12.5</v>
      </c>
      <c r="CE44" s="697">
        <v>3339.497487437186</v>
      </c>
      <c r="CF44" s="692">
        <f t="shared" si="60"/>
        <v>19.03513567839196</v>
      </c>
      <c r="CG44" s="711"/>
      <c r="CH44" s="704">
        <v>0</v>
      </c>
      <c r="CI44" s="703">
        <v>0</v>
      </c>
      <c r="CJ44" s="692">
        <v>20</v>
      </c>
      <c r="CK44" s="704">
        <v>0</v>
      </c>
      <c r="CL44" s="703">
        <v>0</v>
      </c>
      <c r="CM44" s="692">
        <v>20</v>
      </c>
      <c r="CN44" s="704">
        <v>0</v>
      </c>
      <c r="CO44" s="703">
        <v>0</v>
      </c>
      <c r="CP44" s="692">
        <v>20</v>
      </c>
      <c r="CQ44" s="704">
        <v>0</v>
      </c>
      <c r="CR44" s="703">
        <v>0</v>
      </c>
      <c r="CS44" s="692">
        <v>20</v>
      </c>
      <c r="CT44" s="713">
        <f t="shared" si="44"/>
        <v>19698.355778894474</v>
      </c>
      <c r="CU44" s="623">
        <f t="shared" si="44"/>
        <v>100.48490613065329</v>
      </c>
      <c r="CV44" s="624">
        <f t="shared" si="38"/>
        <v>112.5</v>
      </c>
      <c r="CW44" s="587"/>
      <c r="CX44" s="625">
        <f t="shared" si="39"/>
        <v>212.98490613065329</v>
      </c>
      <c r="CY44" s="714">
        <f t="shared" si="45"/>
        <v>59119.369518923297</v>
      </c>
      <c r="CZ44" s="627">
        <f t="shared" si="45"/>
        <v>330.387679457427</v>
      </c>
      <c r="DA44" s="628">
        <f t="shared" si="45"/>
        <v>137.5</v>
      </c>
      <c r="DB44" s="629">
        <f t="shared" si="41"/>
        <v>467.887679457427</v>
      </c>
      <c r="DC44" s="715"/>
      <c r="DD44" s="570"/>
      <c r="DE44" s="706"/>
      <c r="DF44" s="706"/>
      <c r="DG44" s="706"/>
      <c r="DH44" s="706"/>
      <c r="DI44" s="706"/>
      <c r="DJ44" s="706"/>
      <c r="DK44" s="706"/>
      <c r="DL44" s="706"/>
      <c r="DM44" s="706"/>
      <c r="DN44" s="706"/>
      <c r="DO44" s="706"/>
      <c r="DP44" s="706"/>
      <c r="DQ44" s="706"/>
      <c r="DR44" s="706"/>
      <c r="DS44" s="706"/>
      <c r="DT44" s="706"/>
      <c r="DU44" s="706"/>
      <c r="DV44" s="706"/>
      <c r="DW44" s="706"/>
      <c r="DX44" s="706"/>
      <c r="DY44" s="706"/>
      <c r="DZ44" s="706"/>
      <c r="EA44" s="706"/>
      <c r="EB44" s="706"/>
      <c r="EC44" s="706"/>
      <c r="ED44" s="706"/>
      <c r="EE44" s="706"/>
      <c r="EF44" s="706"/>
      <c r="EG44" s="706"/>
      <c r="EH44" s="706"/>
      <c r="EI44" s="706"/>
      <c r="EJ44" s="706"/>
      <c r="EK44" s="706"/>
      <c r="EL44" s="706"/>
      <c r="EM44" s="706"/>
      <c r="EN44" s="706"/>
      <c r="EO44" s="706"/>
      <c r="EP44" s="706"/>
      <c r="EQ44" s="706"/>
      <c r="ER44" s="706"/>
    </row>
    <row r="45" spans="1:148" s="707" customFormat="1" ht="15.75" customHeight="1" x14ac:dyDescent="0.25">
      <c r="A45" s="572">
        <f t="shared" si="42"/>
        <v>36</v>
      </c>
      <c r="B45" s="716" t="s">
        <v>99</v>
      </c>
      <c r="C45" s="688" t="s">
        <v>617</v>
      </c>
      <c r="D45" s="717"/>
      <c r="E45" s="718"/>
      <c r="F45" s="719">
        <v>3527.6984924623121</v>
      </c>
      <c r="G45" s="692">
        <f t="shared" si="61"/>
        <v>20.10788140703518</v>
      </c>
      <c r="H45" s="709"/>
      <c r="I45" s="719">
        <v>2824.9173138419369</v>
      </c>
      <c r="J45" s="692">
        <f t="shared" si="62"/>
        <v>14.124586569209685</v>
      </c>
      <c r="K45" s="709"/>
      <c r="L45" s="719">
        <v>3521.4326176336235</v>
      </c>
      <c r="M45" s="692">
        <f t="shared" si="63"/>
        <v>20.072165920511654</v>
      </c>
      <c r="N45" s="709"/>
      <c r="O45" s="720"/>
      <c r="P45" s="692">
        <f>IF(O45&lt;2700,O45*0.008,IF(O45&lt;3200,O45*0.009,IF(O45&lt;3700,O45*0.01,IF(O45&gt;3699,O45*0.011,""))))</f>
        <v>0</v>
      </c>
      <c r="Q45" s="709"/>
      <c r="R45" s="719">
        <v>0</v>
      </c>
      <c r="S45" s="692">
        <f>IF(R45&lt;2700,R45*0.01,IF(R45&lt;3200,R45*0.01125,IF(R45&lt;3700,R45*0.0125,IF(R45&gt;3699,R45*0.01375,""))))</f>
        <v>0</v>
      </c>
      <c r="T45" s="709"/>
      <c r="U45" s="719">
        <v>3398.9788944723614</v>
      </c>
      <c r="V45" s="692">
        <f t="shared" si="48"/>
        <v>19.374179698492462</v>
      </c>
      <c r="W45" s="709"/>
      <c r="X45" s="719">
        <v>2831.4693467336683</v>
      </c>
      <c r="Y45" s="692">
        <f t="shared" si="49"/>
        <v>14.157346733668343</v>
      </c>
      <c r="Z45" s="709"/>
      <c r="AA45" s="719">
        <v>2318.713567839196</v>
      </c>
      <c r="AB45" s="692">
        <f t="shared" si="50"/>
        <v>9.9704683417085427</v>
      </c>
      <c r="AC45" s="709"/>
      <c r="AD45" s="691">
        <v>6049.3266331658297</v>
      </c>
      <c r="AE45" s="692">
        <f t="shared" si="65"/>
        <v>38.715690452261313</v>
      </c>
      <c r="AF45" s="711"/>
      <c r="AG45" s="719"/>
      <c r="AH45" s="692">
        <f>IF(AG45&lt;2700,AG45*0.008,IF(AG45&lt;3200,AG45*0.009,IF(AG45&lt;3700,AG45*0.01,IF(AG45&gt;3699,AG45*0.011,""))))</f>
        <v>0</v>
      </c>
      <c r="AI45" s="709"/>
      <c r="AJ45" s="719">
        <v>3721.4143444495203</v>
      </c>
      <c r="AK45" s="692">
        <f t="shared" si="51"/>
        <v>23.817051804476932</v>
      </c>
      <c r="AL45" s="709"/>
      <c r="AM45" s="719">
        <v>3271.1396984924622</v>
      </c>
      <c r="AN45" s="692">
        <f t="shared" si="52"/>
        <v>18.645496281407034</v>
      </c>
      <c r="AO45" s="709"/>
      <c r="AP45" s="702">
        <v>0</v>
      </c>
      <c r="AQ45" s="703">
        <v>0</v>
      </c>
      <c r="AR45" s="692">
        <v>25</v>
      </c>
      <c r="AS45" s="719">
        <v>3769.9018167761888</v>
      </c>
      <c r="AT45" s="692">
        <f t="shared" si="53"/>
        <v>24.127371627367609</v>
      </c>
      <c r="AU45" s="709"/>
      <c r="AV45" s="720"/>
      <c r="AW45" s="692">
        <f>IF(AV45&lt;2700,AV45*0.008,IF(AV45&lt;3200,AV45*0.009,IF(AV45&lt;3700,AV45*0.01,IF(AV45&gt;3699,AV45*0.011,""))))</f>
        <v>0</v>
      </c>
      <c r="AX45" s="709"/>
      <c r="AY45" s="720"/>
      <c r="AZ45" s="692">
        <f>IF(AY45&lt;2700,AY45*0.008,IF(AY45&lt;3200,AY45*0.009,IF(AY45&lt;3700,AY45*0.01,IF(AY45&gt;3699,AY45*0.011,""))))</f>
        <v>0</v>
      </c>
      <c r="BA45" s="709"/>
      <c r="BB45" s="581">
        <f t="shared" si="43"/>
        <v>35234.992725867101</v>
      </c>
      <c r="BC45" s="582">
        <f t="shared" si="43"/>
        <v>203.11223883613877</v>
      </c>
      <c r="BD45" s="465">
        <f t="shared" si="43"/>
        <v>25</v>
      </c>
      <c r="BE45" s="587"/>
      <c r="BF45" s="637">
        <f t="shared" si="36"/>
        <v>228.11223883613877</v>
      </c>
      <c r="BG45" s="720">
        <v>3598.3919597989952</v>
      </c>
      <c r="BH45" s="692">
        <f t="shared" si="54"/>
        <v>20.510834170854274</v>
      </c>
      <c r="BI45" s="709"/>
      <c r="BJ45" s="720">
        <v>0</v>
      </c>
      <c r="BK45" s="692">
        <f>IF(BJ45&lt;2700,BJ45*0.008,IF(BJ45&lt;3200,BJ45*0.009,IF(BJ45&lt;3700,BJ45*0.01,IF(BJ45&gt;3699,BJ45*0.011,""))))</f>
        <v>0</v>
      </c>
      <c r="BL45" s="693">
        <v>20</v>
      </c>
      <c r="BM45" s="719">
        <v>2796.582914572864</v>
      </c>
      <c r="BN45" s="692">
        <f t="shared" si="55"/>
        <v>13.98291457286432</v>
      </c>
      <c r="BO45" s="709"/>
      <c r="BP45" s="719">
        <v>2949.4190954773867</v>
      </c>
      <c r="BQ45" s="692">
        <f t="shared" si="56"/>
        <v>14.747095477386933</v>
      </c>
      <c r="BR45" s="709"/>
      <c r="BS45" s="719">
        <v>2923.8994974874372</v>
      </c>
      <c r="BT45" s="692">
        <f t="shared" si="57"/>
        <v>14.619497487437187</v>
      </c>
      <c r="BU45" s="709"/>
      <c r="BV45" s="691">
        <v>2666.1467336683418</v>
      </c>
      <c r="BW45" s="692">
        <f t="shared" si="58"/>
        <v>11.464430954773869</v>
      </c>
      <c r="BX45" s="711"/>
      <c r="BY45" s="720">
        <v>1424.4180904522614</v>
      </c>
      <c r="BZ45" s="692">
        <f t="shared" si="59"/>
        <v>6.1249977889447242</v>
      </c>
      <c r="CA45" s="709"/>
      <c r="CB45" s="704">
        <v>0</v>
      </c>
      <c r="CC45" s="703">
        <v>0</v>
      </c>
      <c r="CD45" s="692">
        <v>12.5</v>
      </c>
      <c r="CE45" s="720">
        <v>3339.497487437186</v>
      </c>
      <c r="CF45" s="692">
        <f t="shared" si="60"/>
        <v>19.03513567839196</v>
      </c>
      <c r="CG45" s="709"/>
      <c r="CH45" s="704">
        <v>0</v>
      </c>
      <c r="CI45" s="703">
        <v>0</v>
      </c>
      <c r="CJ45" s="692">
        <v>20</v>
      </c>
      <c r="CK45" s="704">
        <v>0</v>
      </c>
      <c r="CL45" s="703">
        <v>0</v>
      </c>
      <c r="CM45" s="692">
        <v>20</v>
      </c>
      <c r="CN45" s="704">
        <v>0</v>
      </c>
      <c r="CO45" s="703">
        <v>0</v>
      </c>
      <c r="CP45" s="692">
        <v>20</v>
      </c>
      <c r="CQ45" s="704">
        <v>0</v>
      </c>
      <c r="CR45" s="703">
        <v>0</v>
      </c>
      <c r="CS45" s="692">
        <v>20</v>
      </c>
      <c r="CT45" s="551">
        <f t="shared" si="44"/>
        <v>19698.355778894474</v>
      </c>
      <c r="CU45" s="552">
        <f t="shared" si="44"/>
        <v>100.48490613065329</v>
      </c>
      <c r="CV45" s="553">
        <f t="shared" si="38"/>
        <v>112.5</v>
      </c>
      <c r="CW45" s="587"/>
      <c r="CX45" s="554">
        <f t="shared" si="39"/>
        <v>212.98490613065329</v>
      </c>
      <c r="CY45" s="588">
        <f t="shared" si="45"/>
        <v>54933.348504761576</v>
      </c>
      <c r="CZ45" s="589">
        <f t="shared" si="45"/>
        <v>303.59714496679203</v>
      </c>
      <c r="DA45" s="590">
        <f t="shared" si="45"/>
        <v>137.5</v>
      </c>
      <c r="DB45" s="591">
        <f t="shared" si="41"/>
        <v>441.09714496679203</v>
      </c>
      <c r="DC45" s="192"/>
      <c r="DD45" s="398"/>
      <c r="DE45" s="706"/>
      <c r="DF45" s="706"/>
      <c r="DG45" s="706"/>
      <c r="DH45" s="706"/>
      <c r="DI45" s="706"/>
      <c r="DJ45" s="706"/>
      <c r="DK45" s="706"/>
      <c r="DL45" s="706"/>
      <c r="DM45" s="706"/>
      <c r="DN45" s="706"/>
      <c r="DO45" s="706"/>
      <c r="DP45" s="706"/>
      <c r="DQ45" s="706"/>
      <c r="DR45" s="706"/>
      <c r="DS45" s="706"/>
      <c r="DT45" s="706"/>
      <c r="DU45" s="706"/>
      <c r="DV45" s="706"/>
      <c r="DW45" s="706"/>
      <c r="DX45" s="706"/>
      <c r="DY45" s="706"/>
      <c r="DZ45" s="706"/>
      <c r="EA45" s="706"/>
      <c r="EB45" s="706"/>
      <c r="EC45" s="706"/>
      <c r="ED45" s="706"/>
      <c r="EE45" s="706"/>
      <c r="EF45" s="706"/>
      <c r="EG45" s="706"/>
      <c r="EH45" s="706"/>
      <c r="EI45" s="706"/>
      <c r="EJ45" s="706"/>
      <c r="EK45" s="706"/>
      <c r="EL45" s="706"/>
      <c r="EM45" s="706"/>
      <c r="EN45" s="706"/>
      <c r="EO45" s="706"/>
      <c r="EP45" s="706"/>
      <c r="EQ45" s="706"/>
      <c r="ER45" s="706"/>
    </row>
    <row r="46" spans="1:148" ht="15.75" customHeight="1" x14ac:dyDescent="0.25">
      <c r="A46" s="572">
        <f t="shared" si="42"/>
        <v>37</v>
      </c>
      <c r="B46" s="722" t="s">
        <v>73</v>
      </c>
      <c r="C46" s="723" t="s">
        <v>620</v>
      </c>
      <c r="D46" s="724"/>
      <c r="E46" s="725"/>
      <c r="F46" s="719">
        <v>3527.6984924623121</v>
      </c>
      <c r="G46" s="692">
        <f t="shared" si="61"/>
        <v>20.10788140703518</v>
      </c>
      <c r="H46" s="709"/>
      <c r="I46" s="719">
        <v>2824.9173138419369</v>
      </c>
      <c r="J46" s="692">
        <f t="shared" si="62"/>
        <v>14.124586569209685</v>
      </c>
      <c r="K46" s="709"/>
      <c r="L46" s="719">
        <v>3521.4326176336235</v>
      </c>
      <c r="M46" s="692">
        <f t="shared" si="63"/>
        <v>20.072165920511654</v>
      </c>
      <c r="N46" s="709"/>
      <c r="O46" s="720"/>
      <c r="P46" s="692">
        <v>0</v>
      </c>
      <c r="Q46" s="692"/>
      <c r="R46" s="691">
        <v>4186.0210141617172</v>
      </c>
      <c r="S46" s="692">
        <f t="shared" ref="S46:S48" si="66">IF(R46&lt;2700,R46*0.0043,IF(R46&lt;3200,R46*0.005,IF(R46&lt;3700,R46*0.0057,IF(R46&gt;3699,R46*0.0064,""))))</f>
        <v>26.79053449063499</v>
      </c>
      <c r="T46" s="711"/>
      <c r="U46" s="719">
        <v>3398.9788944723614</v>
      </c>
      <c r="V46" s="692">
        <f t="shared" si="48"/>
        <v>19.374179698492462</v>
      </c>
      <c r="W46" s="709"/>
      <c r="X46" s="719">
        <v>2831.4693467336683</v>
      </c>
      <c r="Y46" s="692">
        <f t="shared" si="49"/>
        <v>14.157346733668343</v>
      </c>
      <c r="Z46" s="709"/>
      <c r="AA46" s="719">
        <v>2318.713567839196</v>
      </c>
      <c r="AB46" s="692">
        <f t="shared" si="50"/>
        <v>9.9704683417085427</v>
      </c>
      <c r="AC46" s="709"/>
      <c r="AD46" s="691">
        <v>6049.3266331658297</v>
      </c>
      <c r="AE46" s="692">
        <f t="shared" si="65"/>
        <v>38.715690452261313</v>
      </c>
      <c r="AF46" s="711"/>
      <c r="AG46" s="719"/>
      <c r="AH46" s="692">
        <v>0</v>
      </c>
      <c r="AI46" s="692"/>
      <c r="AJ46" s="719">
        <v>3721.4143444495203</v>
      </c>
      <c r="AK46" s="692">
        <f t="shared" si="51"/>
        <v>23.817051804476932</v>
      </c>
      <c r="AL46" s="709"/>
      <c r="AM46" s="719">
        <v>3271.1396984924622</v>
      </c>
      <c r="AN46" s="692">
        <f t="shared" si="52"/>
        <v>18.645496281407034</v>
      </c>
      <c r="AO46" s="709"/>
      <c r="AP46" s="719">
        <v>0</v>
      </c>
      <c r="AQ46" s="692">
        <v>0</v>
      </c>
      <c r="AR46" s="692">
        <v>0</v>
      </c>
      <c r="AS46" s="719">
        <v>3769.9018167761888</v>
      </c>
      <c r="AT46" s="692">
        <f t="shared" si="53"/>
        <v>24.127371627367609</v>
      </c>
      <c r="AU46" s="709"/>
      <c r="AV46" s="620"/>
      <c r="AW46" s="517">
        <v>0</v>
      </c>
      <c r="AX46" s="517"/>
      <c r="AY46" s="620"/>
      <c r="AZ46" s="517">
        <v>0</v>
      </c>
      <c r="BA46" s="517"/>
      <c r="BB46" s="463">
        <f t="shared" si="43"/>
        <v>39421.013740028822</v>
      </c>
      <c r="BC46" s="464">
        <f>+G46+J46+M46+P46+S46+V46+Y46+AB46+AE46+AH46+AK46+AN46+AQ46+AT46+AW46+AZ46</f>
        <v>229.90277332677374</v>
      </c>
      <c r="BD46" s="465">
        <f t="shared" si="43"/>
        <v>0</v>
      </c>
      <c r="BE46" s="466"/>
      <c r="BF46" s="467">
        <f t="shared" si="36"/>
        <v>229.90277332677374</v>
      </c>
      <c r="BG46" s="720">
        <v>3598.3919597989952</v>
      </c>
      <c r="BH46" s="692">
        <f t="shared" si="54"/>
        <v>20.510834170854274</v>
      </c>
      <c r="BI46" s="709"/>
      <c r="BJ46" s="720">
        <v>0</v>
      </c>
      <c r="BK46" s="692">
        <v>0</v>
      </c>
      <c r="BL46" s="692">
        <v>20</v>
      </c>
      <c r="BM46" s="719">
        <v>2796.582914572864</v>
      </c>
      <c r="BN46" s="692">
        <f t="shared" si="55"/>
        <v>13.98291457286432</v>
      </c>
      <c r="BO46" s="709"/>
      <c r="BP46" s="719">
        <v>2949.4190954773867</v>
      </c>
      <c r="BQ46" s="692">
        <f t="shared" si="56"/>
        <v>14.747095477386933</v>
      </c>
      <c r="BR46" s="709"/>
      <c r="BS46" s="719">
        <v>2923.8994974874372</v>
      </c>
      <c r="BT46" s="692">
        <f t="shared" si="57"/>
        <v>14.619497487437187</v>
      </c>
      <c r="BU46" s="709"/>
      <c r="BV46" s="691">
        <v>2666.1467336683418</v>
      </c>
      <c r="BW46" s="692">
        <f t="shared" si="58"/>
        <v>11.464430954773869</v>
      </c>
      <c r="BX46" s="711"/>
      <c r="BY46" s="720">
        <v>1424.4180904522614</v>
      </c>
      <c r="BZ46" s="692">
        <f t="shared" si="59"/>
        <v>6.1249977889447242</v>
      </c>
      <c r="CA46" s="709"/>
      <c r="CB46" s="720">
        <v>0</v>
      </c>
      <c r="CC46" s="466">
        <v>0</v>
      </c>
      <c r="CD46" s="466">
        <v>0</v>
      </c>
      <c r="CE46" s="720">
        <v>3339.497487437186</v>
      </c>
      <c r="CF46" s="692">
        <f t="shared" si="60"/>
        <v>19.03513567839196</v>
      </c>
      <c r="CG46" s="709"/>
      <c r="CH46" s="720">
        <v>0</v>
      </c>
      <c r="CI46" s="692">
        <v>0</v>
      </c>
      <c r="CJ46" s="692">
        <v>20</v>
      </c>
      <c r="CK46" s="720">
        <v>0</v>
      </c>
      <c r="CL46" s="692">
        <v>0</v>
      </c>
      <c r="CM46" s="692">
        <v>20</v>
      </c>
      <c r="CN46" s="720">
        <v>0</v>
      </c>
      <c r="CO46" s="692">
        <v>0</v>
      </c>
      <c r="CP46" s="692">
        <v>20</v>
      </c>
      <c r="CQ46" s="720">
        <v>0</v>
      </c>
      <c r="CR46" s="692">
        <v>0</v>
      </c>
      <c r="CS46" s="692">
        <v>20</v>
      </c>
      <c r="CT46" s="551">
        <f>BG46+BJ46+BM46+BP46+BS46+BV46+BY46+CB46+CH46+CK46+CN46+CQ46+CE46</f>
        <v>19698.355778894474</v>
      </c>
      <c r="CU46" s="552">
        <f>BH46+BK46+BN46+BQ46+BT46+BW46+BZ46+CC46+CI46+CL46+CO46+CR46+CF46</f>
        <v>100.48490613065329</v>
      </c>
      <c r="CV46" s="553">
        <f t="shared" si="38"/>
        <v>100</v>
      </c>
      <c r="CW46" s="466"/>
      <c r="CX46" s="554">
        <f t="shared" si="39"/>
        <v>200.48490613065329</v>
      </c>
      <c r="CY46" s="588">
        <f>+BB46+CT46</f>
        <v>59119.369518923297</v>
      </c>
      <c r="CZ46" s="589">
        <f>+BC46+CU46</f>
        <v>330.387679457427</v>
      </c>
      <c r="DA46" s="590">
        <f>+BD46+CV46</f>
        <v>100</v>
      </c>
      <c r="DB46" s="591">
        <f t="shared" si="41"/>
        <v>430.387679457427</v>
      </c>
    </row>
    <row r="47" spans="1:148" s="195" customFormat="1" ht="15.75" customHeight="1" x14ac:dyDescent="0.25">
      <c r="A47" s="572">
        <f t="shared" si="42"/>
        <v>38</v>
      </c>
      <c r="B47" s="1073" t="s">
        <v>148</v>
      </c>
      <c r="C47" s="723" t="s">
        <v>620</v>
      </c>
      <c r="D47" s="689" t="s">
        <v>621</v>
      </c>
      <c r="E47" s="659" t="s">
        <v>622</v>
      </c>
      <c r="F47" s="719">
        <v>3527.6984924623121</v>
      </c>
      <c r="G47" s="692">
        <f t="shared" si="61"/>
        <v>20.10788140703518</v>
      </c>
      <c r="H47" s="709"/>
      <c r="I47" s="719">
        <v>2824.9173138419369</v>
      </c>
      <c r="J47" s="692">
        <f t="shared" si="62"/>
        <v>14.124586569209685</v>
      </c>
      <c r="K47" s="709"/>
      <c r="L47" s="719">
        <v>3521.4326176336235</v>
      </c>
      <c r="M47" s="692">
        <f t="shared" si="63"/>
        <v>20.072165920511654</v>
      </c>
      <c r="N47" s="709"/>
      <c r="O47" s="704">
        <v>0</v>
      </c>
      <c r="P47" s="703">
        <v>0</v>
      </c>
      <c r="Q47" s="692">
        <v>25</v>
      </c>
      <c r="R47" s="691">
        <v>4186.0210141617172</v>
      </c>
      <c r="S47" s="692">
        <f t="shared" si="66"/>
        <v>26.79053449063499</v>
      </c>
      <c r="T47" s="711"/>
      <c r="U47" s="719">
        <v>3398.9788944723614</v>
      </c>
      <c r="V47" s="692">
        <f t="shared" si="48"/>
        <v>19.374179698492462</v>
      </c>
      <c r="W47" s="709"/>
      <c r="X47" s="719">
        <v>2831.4693467336683</v>
      </c>
      <c r="Y47" s="692">
        <f t="shared" si="49"/>
        <v>14.157346733668343</v>
      </c>
      <c r="Z47" s="709"/>
      <c r="AA47" s="719">
        <v>2318.713567839196</v>
      </c>
      <c r="AB47" s="692">
        <f t="shared" si="50"/>
        <v>9.9704683417085427</v>
      </c>
      <c r="AC47" s="709"/>
      <c r="AD47" s="691">
        <v>6049.3266331658297</v>
      </c>
      <c r="AE47" s="692">
        <f t="shared" si="65"/>
        <v>38.715690452261313</v>
      </c>
      <c r="AF47" s="711"/>
      <c r="AG47" s="691">
        <v>0</v>
      </c>
      <c r="AH47" s="692">
        <f>IF(AG47&lt;2700,AG47*0.0097,IF(AG47&lt;3200,AG47*0.01095,IF(AG47&lt;3700,AG47*0.0122,IF(AG47&gt;3699,AG47*0.01345,""))))</f>
        <v>0</v>
      </c>
      <c r="AI47" s="709">
        <v>20</v>
      </c>
      <c r="AJ47" s="719">
        <v>3721.4143444495203</v>
      </c>
      <c r="AK47" s="692">
        <f t="shared" si="51"/>
        <v>23.817051804476932</v>
      </c>
      <c r="AL47" s="709"/>
      <c r="AM47" s="719">
        <v>3271.1396984924622</v>
      </c>
      <c r="AN47" s="692">
        <f t="shared" si="52"/>
        <v>18.645496281407034</v>
      </c>
      <c r="AO47" s="709"/>
      <c r="AP47" s="702">
        <v>0</v>
      </c>
      <c r="AQ47" s="703">
        <v>0</v>
      </c>
      <c r="AR47" s="692">
        <v>25</v>
      </c>
      <c r="AS47" s="719">
        <v>3769.9018167761888</v>
      </c>
      <c r="AT47" s="692">
        <f t="shared" si="53"/>
        <v>24.127371627367609</v>
      </c>
      <c r="AU47" s="709"/>
      <c r="AV47" s="578"/>
      <c r="AW47" s="532">
        <v>0</v>
      </c>
      <c r="AX47" s="517"/>
      <c r="AY47" s="578"/>
      <c r="AZ47" s="532">
        <v>0</v>
      </c>
      <c r="BA47" s="517"/>
      <c r="BB47" s="463">
        <f t="shared" si="43"/>
        <v>39421.013740028822</v>
      </c>
      <c r="BC47" s="582">
        <f t="shared" si="43"/>
        <v>229.90277332677374</v>
      </c>
      <c r="BD47" s="465">
        <f t="shared" si="43"/>
        <v>70</v>
      </c>
      <c r="BE47" s="587"/>
      <c r="BF47" s="637">
        <f t="shared" si="36"/>
        <v>299.90277332677374</v>
      </c>
      <c r="BG47" s="720">
        <v>3598.3919597989952</v>
      </c>
      <c r="BH47" s="692">
        <f t="shared" si="54"/>
        <v>20.510834170854274</v>
      </c>
      <c r="BI47" s="709"/>
      <c r="BJ47" s="704">
        <v>0</v>
      </c>
      <c r="BK47" s="703">
        <v>0</v>
      </c>
      <c r="BL47" s="692">
        <v>20</v>
      </c>
      <c r="BM47" s="719">
        <v>2796.582914572864</v>
      </c>
      <c r="BN47" s="692">
        <f t="shared" si="55"/>
        <v>13.98291457286432</v>
      </c>
      <c r="BO47" s="709"/>
      <c r="BP47" s="719">
        <v>2949.4190954773867</v>
      </c>
      <c r="BQ47" s="692">
        <f t="shared" si="56"/>
        <v>14.747095477386933</v>
      </c>
      <c r="BR47" s="709"/>
      <c r="BS47" s="719">
        <v>2923.8994974874372</v>
      </c>
      <c r="BT47" s="692">
        <f t="shared" si="57"/>
        <v>14.619497487437187</v>
      </c>
      <c r="BU47" s="709"/>
      <c r="BV47" s="691">
        <v>2666.1467336683418</v>
      </c>
      <c r="BW47" s="692">
        <f t="shared" si="58"/>
        <v>11.464430954773869</v>
      </c>
      <c r="BX47" s="711"/>
      <c r="BY47" s="720">
        <v>1424.4180904522614</v>
      </c>
      <c r="BZ47" s="692">
        <f t="shared" si="59"/>
        <v>6.1249977889447242</v>
      </c>
      <c r="CA47" s="709"/>
      <c r="CB47" s="704">
        <v>0</v>
      </c>
      <c r="CC47" s="703">
        <v>0</v>
      </c>
      <c r="CD47" s="692">
        <v>12.5</v>
      </c>
      <c r="CE47" s="720">
        <v>3339.497487437186</v>
      </c>
      <c r="CF47" s="692">
        <f t="shared" si="60"/>
        <v>19.03513567839196</v>
      </c>
      <c r="CG47" s="709"/>
      <c r="CH47" s="704">
        <v>0</v>
      </c>
      <c r="CI47" s="703">
        <v>0</v>
      </c>
      <c r="CJ47" s="692">
        <v>20</v>
      </c>
      <c r="CK47" s="704">
        <v>0</v>
      </c>
      <c r="CL47" s="703">
        <v>0</v>
      </c>
      <c r="CM47" s="692">
        <v>20</v>
      </c>
      <c r="CN47" s="704">
        <v>0</v>
      </c>
      <c r="CO47" s="703">
        <v>0</v>
      </c>
      <c r="CP47" s="692">
        <v>20</v>
      </c>
      <c r="CQ47" s="704">
        <v>0</v>
      </c>
      <c r="CR47" s="703">
        <v>0</v>
      </c>
      <c r="CS47" s="692">
        <v>20</v>
      </c>
      <c r="CT47" s="551">
        <f t="shared" ref="CT47:CU50" si="67">BG47+BJ47+BM47+BP47+BS47+BV47+BY47+CB47+CH47+CK47+CN47+CQ47+CE47</f>
        <v>19698.355778894474</v>
      </c>
      <c r="CU47" s="552">
        <f t="shared" si="67"/>
        <v>100.48490613065329</v>
      </c>
      <c r="CV47" s="553">
        <f t="shared" si="38"/>
        <v>112.5</v>
      </c>
      <c r="CW47" s="587"/>
      <c r="CX47" s="554">
        <f t="shared" si="39"/>
        <v>212.98490613065329</v>
      </c>
      <c r="CY47" s="588">
        <f t="shared" ref="CY47:DA50" si="68">+BB47+CT47</f>
        <v>59119.369518923297</v>
      </c>
      <c r="CZ47" s="589">
        <f t="shared" si="68"/>
        <v>330.387679457427</v>
      </c>
      <c r="DA47" s="590">
        <f t="shared" si="68"/>
        <v>182.5</v>
      </c>
      <c r="DB47" s="591">
        <f t="shared" si="41"/>
        <v>512.887679457427</v>
      </c>
      <c r="DC47" s="192"/>
      <c r="DD47" s="398"/>
      <c r="DE47" s="424"/>
      <c r="DF47" s="424"/>
      <c r="DG47" s="424"/>
      <c r="DH47" s="424"/>
      <c r="DI47" s="424"/>
      <c r="DJ47" s="424"/>
      <c r="DK47" s="424"/>
      <c r="DL47" s="424"/>
      <c r="DM47" s="424"/>
      <c r="DN47" s="424"/>
      <c r="DO47" s="424"/>
      <c r="DP47" s="424"/>
      <c r="DQ47" s="424"/>
      <c r="DR47" s="424"/>
      <c r="DS47" s="424"/>
      <c r="DT47" s="424"/>
      <c r="DU47" s="424"/>
      <c r="DV47" s="424"/>
      <c r="DW47" s="424"/>
      <c r="DX47" s="424"/>
      <c r="DY47" s="424"/>
      <c r="DZ47" s="424"/>
      <c r="EA47" s="424"/>
      <c r="EB47" s="424"/>
      <c r="EC47" s="424"/>
      <c r="ED47" s="424"/>
      <c r="EE47" s="424"/>
      <c r="EF47" s="424"/>
      <c r="EG47" s="424"/>
      <c r="EH47" s="424"/>
      <c r="EI47" s="424"/>
      <c r="EJ47" s="424"/>
      <c r="EK47" s="424"/>
      <c r="EL47" s="424"/>
      <c r="EM47" s="424"/>
      <c r="EN47" s="424"/>
      <c r="EO47" s="424"/>
      <c r="EP47" s="424"/>
      <c r="EQ47" s="424"/>
      <c r="ER47" s="424"/>
    </row>
    <row r="48" spans="1:148" s="424" customFormat="1" ht="15.75" customHeight="1" x14ac:dyDescent="0.25">
      <c r="A48" s="572">
        <f t="shared" si="42"/>
        <v>39</v>
      </c>
      <c r="B48" s="728" t="s">
        <v>143</v>
      </c>
      <c r="C48" s="723" t="s">
        <v>620</v>
      </c>
      <c r="D48" s="689"/>
      <c r="E48" s="690"/>
      <c r="F48" s="719">
        <v>3527.6984924623121</v>
      </c>
      <c r="G48" s="692">
        <f t="shared" si="61"/>
        <v>20.10788140703518</v>
      </c>
      <c r="H48" s="709"/>
      <c r="I48" s="719">
        <v>2824.9173138419369</v>
      </c>
      <c r="J48" s="692">
        <f t="shared" si="62"/>
        <v>14.124586569209685</v>
      </c>
      <c r="K48" s="709"/>
      <c r="L48" s="719">
        <v>3521.4326176336235</v>
      </c>
      <c r="M48" s="692">
        <f t="shared" si="63"/>
        <v>20.072165920511654</v>
      </c>
      <c r="N48" s="709"/>
      <c r="O48" s="704">
        <v>0</v>
      </c>
      <c r="P48" s="703">
        <v>0</v>
      </c>
      <c r="Q48" s="692">
        <v>50</v>
      </c>
      <c r="R48" s="691">
        <v>4186.0210141617172</v>
      </c>
      <c r="S48" s="692">
        <f t="shared" si="66"/>
        <v>26.79053449063499</v>
      </c>
      <c r="T48" s="711"/>
      <c r="U48" s="719">
        <v>3398.9788944723614</v>
      </c>
      <c r="V48" s="692">
        <f t="shared" si="48"/>
        <v>19.374179698492462</v>
      </c>
      <c r="W48" s="709"/>
      <c r="X48" s="719">
        <v>2831.4693467336683</v>
      </c>
      <c r="Y48" s="692">
        <f t="shared" si="49"/>
        <v>14.157346733668343</v>
      </c>
      <c r="Z48" s="709"/>
      <c r="AA48" s="719">
        <v>2318.713567839196</v>
      </c>
      <c r="AB48" s="692">
        <f t="shared" si="50"/>
        <v>9.9704683417085427</v>
      </c>
      <c r="AC48" s="709"/>
      <c r="AD48" s="691">
        <v>6049.3266331658297</v>
      </c>
      <c r="AE48" s="692">
        <f t="shared" si="65"/>
        <v>38.715690452261313</v>
      </c>
      <c r="AF48" s="711"/>
      <c r="AG48" s="691">
        <v>0</v>
      </c>
      <c r="AH48" s="692">
        <f>IF(AG48&lt;2700,AG48*0.0097,IF(AG48&lt;3200,AG48*0.01095,IF(AG48&lt;3700,AG48*0.0122,IF(AG48&gt;3699,AG48*0.01345,""))))</f>
        <v>0</v>
      </c>
      <c r="AI48" s="709">
        <v>20</v>
      </c>
      <c r="AJ48" s="719">
        <v>3721.4143444495203</v>
      </c>
      <c r="AK48" s="692">
        <f t="shared" si="51"/>
        <v>23.817051804476932</v>
      </c>
      <c r="AL48" s="709"/>
      <c r="AM48" s="719">
        <v>3271.1396984924622</v>
      </c>
      <c r="AN48" s="692">
        <f t="shared" si="52"/>
        <v>18.645496281407034</v>
      </c>
      <c r="AO48" s="709"/>
      <c r="AP48" s="702">
        <v>0</v>
      </c>
      <c r="AQ48" s="703">
        <v>0</v>
      </c>
      <c r="AR48" s="692">
        <v>25</v>
      </c>
      <c r="AS48" s="719">
        <v>3769.9018167761888</v>
      </c>
      <c r="AT48" s="692">
        <f t="shared" si="53"/>
        <v>24.127371627367609</v>
      </c>
      <c r="AU48" s="709"/>
      <c r="AV48" s="578"/>
      <c r="AW48" s="532">
        <v>0</v>
      </c>
      <c r="AX48" s="517"/>
      <c r="AY48" s="578"/>
      <c r="AZ48" s="532">
        <v>0</v>
      </c>
      <c r="BA48" s="517"/>
      <c r="BB48" s="463">
        <f t="shared" si="43"/>
        <v>39421.013740028822</v>
      </c>
      <c r="BC48" s="582">
        <f t="shared" si="43"/>
        <v>229.90277332677374</v>
      </c>
      <c r="BD48" s="465">
        <f t="shared" si="43"/>
        <v>95</v>
      </c>
      <c r="BE48" s="587"/>
      <c r="BF48" s="637">
        <f t="shared" si="36"/>
        <v>324.90277332677374</v>
      </c>
      <c r="BG48" s="720">
        <v>3598.3919597989952</v>
      </c>
      <c r="BH48" s="692">
        <f t="shared" si="54"/>
        <v>20.510834170854274</v>
      </c>
      <c r="BI48" s="709"/>
      <c r="BJ48" s="704">
        <v>0</v>
      </c>
      <c r="BK48" s="703">
        <v>0</v>
      </c>
      <c r="BL48" s="692">
        <v>20</v>
      </c>
      <c r="BM48" s="719">
        <v>2796.582914572864</v>
      </c>
      <c r="BN48" s="692">
        <f t="shared" si="55"/>
        <v>13.98291457286432</v>
      </c>
      <c r="BO48" s="709"/>
      <c r="BP48" s="719">
        <v>2949.4190954773867</v>
      </c>
      <c r="BQ48" s="692">
        <f t="shared" si="56"/>
        <v>14.747095477386933</v>
      </c>
      <c r="BR48" s="709"/>
      <c r="BS48" s="719">
        <v>2923.8994974874372</v>
      </c>
      <c r="BT48" s="692">
        <f t="shared" si="57"/>
        <v>14.619497487437187</v>
      </c>
      <c r="BU48" s="709"/>
      <c r="BV48" s="691">
        <v>2666.1467336683418</v>
      </c>
      <c r="BW48" s="692">
        <f t="shared" si="58"/>
        <v>11.464430954773869</v>
      </c>
      <c r="BX48" s="711"/>
      <c r="BY48" s="720">
        <v>1424.4180904522614</v>
      </c>
      <c r="BZ48" s="692">
        <f t="shared" si="59"/>
        <v>6.1249977889447242</v>
      </c>
      <c r="CA48" s="709"/>
      <c r="CB48" s="704">
        <v>0</v>
      </c>
      <c r="CC48" s="703">
        <v>0</v>
      </c>
      <c r="CD48" s="692">
        <v>12.5</v>
      </c>
      <c r="CE48" s="720">
        <v>3339.497487437186</v>
      </c>
      <c r="CF48" s="692">
        <f t="shared" si="60"/>
        <v>19.03513567839196</v>
      </c>
      <c r="CG48" s="709"/>
      <c r="CH48" s="704">
        <v>0</v>
      </c>
      <c r="CI48" s="703">
        <v>0</v>
      </c>
      <c r="CJ48" s="692">
        <v>20</v>
      </c>
      <c r="CK48" s="704">
        <v>0</v>
      </c>
      <c r="CL48" s="703">
        <v>0</v>
      </c>
      <c r="CM48" s="692">
        <v>20</v>
      </c>
      <c r="CN48" s="704">
        <v>0</v>
      </c>
      <c r="CO48" s="703">
        <v>0</v>
      </c>
      <c r="CP48" s="692">
        <v>20</v>
      </c>
      <c r="CQ48" s="704">
        <v>0</v>
      </c>
      <c r="CR48" s="703">
        <v>0</v>
      </c>
      <c r="CS48" s="692">
        <v>20</v>
      </c>
      <c r="CT48" s="551">
        <f t="shared" si="67"/>
        <v>19698.355778894474</v>
      </c>
      <c r="CU48" s="552">
        <f t="shared" si="67"/>
        <v>100.48490613065329</v>
      </c>
      <c r="CV48" s="553">
        <f t="shared" si="38"/>
        <v>112.5</v>
      </c>
      <c r="CW48" s="587"/>
      <c r="CX48" s="554">
        <f t="shared" si="39"/>
        <v>212.98490613065329</v>
      </c>
      <c r="CY48" s="588">
        <f t="shared" si="68"/>
        <v>59119.369518923297</v>
      </c>
      <c r="CZ48" s="589">
        <f t="shared" si="68"/>
        <v>330.387679457427</v>
      </c>
      <c r="DA48" s="590">
        <f t="shared" si="68"/>
        <v>207.5</v>
      </c>
      <c r="DB48" s="591">
        <f t="shared" si="41"/>
        <v>537.887679457427</v>
      </c>
      <c r="DC48" s="192"/>
      <c r="DD48" s="398"/>
    </row>
    <row r="49" spans="1:148" ht="15.75" customHeight="1" x14ac:dyDescent="0.25">
      <c r="A49" s="572">
        <f t="shared" si="42"/>
        <v>40</v>
      </c>
      <c r="B49" s="729" t="s">
        <v>94</v>
      </c>
      <c r="C49" s="730" t="s">
        <v>623</v>
      </c>
      <c r="D49" s="658"/>
      <c r="E49" s="731"/>
      <c r="F49" s="732">
        <v>0</v>
      </c>
      <c r="G49" s="733">
        <v>0</v>
      </c>
      <c r="H49" s="734">
        <v>20</v>
      </c>
      <c r="I49" s="732">
        <v>0</v>
      </c>
      <c r="J49" s="733">
        <v>0</v>
      </c>
      <c r="K49" s="734">
        <v>20</v>
      </c>
      <c r="L49" s="732">
        <v>0</v>
      </c>
      <c r="M49" s="733">
        <v>0</v>
      </c>
      <c r="N49" s="734">
        <v>20</v>
      </c>
      <c r="O49" s="704"/>
      <c r="P49" s="703">
        <v>0</v>
      </c>
      <c r="Q49" s="692"/>
      <c r="R49" s="702">
        <v>0</v>
      </c>
      <c r="S49" s="703">
        <v>0</v>
      </c>
      <c r="T49" s="692">
        <v>20</v>
      </c>
      <c r="U49" s="702">
        <v>0</v>
      </c>
      <c r="V49" s="703">
        <v>0</v>
      </c>
      <c r="W49" s="692">
        <v>20</v>
      </c>
      <c r="X49" s="702">
        <v>0</v>
      </c>
      <c r="Y49" s="703">
        <v>0</v>
      </c>
      <c r="Z49" s="692">
        <v>20</v>
      </c>
      <c r="AA49" s="702">
        <v>0</v>
      </c>
      <c r="AB49" s="703">
        <v>0</v>
      </c>
      <c r="AC49" s="692">
        <v>20</v>
      </c>
      <c r="AD49" s="732">
        <v>0</v>
      </c>
      <c r="AE49" s="733">
        <v>0</v>
      </c>
      <c r="AF49" s="734">
        <v>20</v>
      </c>
      <c r="AG49" s="732">
        <v>0</v>
      </c>
      <c r="AH49" s="733">
        <v>0</v>
      </c>
      <c r="AI49" s="734"/>
      <c r="AJ49" s="702">
        <v>0</v>
      </c>
      <c r="AK49" s="703">
        <v>0</v>
      </c>
      <c r="AL49" s="692">
        <v>20</v>
      </c>
      <c r="AM49" s="702">
        <v>0</v>
      </c>
      <c r="AN49" s="703">
        <v>0</v>
      </c>
      <c r="AO49" s="692">
        <v>20</v>
      </c>
      <c r="AP49" s="702">
        <v>0</v>
      </c>
      <c r="AQ49" s="703">
        <v>0</v>
      </c>
      <c r="AR49" s="692">
        <v>10</v>
      </c>
      <c r="AS49" s="702">
        <v>0</v>
      </c>
      <c r="AT49" s="703">
        <v>0</v>
      </c>
      <c r="AU49" s="692">
        <v>10</v>
      </c>
      <c r="AV49" s="578"/>
      <c r="AW49" s="532">
        <v>0</v>
      </c>
      <c r="AX49" s="517"/>
      <c r="AY49" s="578"/>
      <c r="AZ49" s="532">
        <v>0</v>
      </c>
      <c r="BA49" s="517"/>
      <c r="BB49" s="735">
        <f t="shared" si="43"/>
        <v>0</v>
      </c>
      <c r="BC49" s="736">
        <f t="shared" si="43"/>
        <v>0</v>
      </c>
      <c r="BD49" s="737">
        <f t="shared" si="43"/>
        <v>220</v>
      </c>
      <c r="BE49" s="583"/>
      <c r="BF49" s="584">
        <f t="shared" si="36"/>
        <v>220</v>
      </c>
      <c r="BG49" s="738">
        <v>0</v>
      </c>
      <c r="BH49" s="733">
        <v>0</v>
      </c>
      <c r="BI49" s="734">
        <v>15.384615384615385</v>
      </c>
      <c r="BJ49" s="738">
        <v>0</v>
      </c>
      <c r="BK49" s="733">
        <v>0</v>
      </c>
      <c r="BL49" s="734">
        <v>0</v>
      </c>
      <c r="BM49" s="732">
        <v>0</v>
      </c>
      <c r="BN49" s="733">
        <v>0</v>
      </c>
      <c r="BO49" s="734">
        <v>15.384615384615385</v>
      </c>
      <c r="BP49" s="732">
        <v>0</v>
      </c>
      <c r="BQ49" s="733">
        <v>0</v>
      </c>
      <c r="BR49" s="734">
        <v>15.384615384615385</v>
      </c>
      <c r="BS49" s="732">
        <v>0</v>
      </c>
      <c r="BT49" s="733">
        <v>0</v>
      </c>
      <c r="BU49" s="734">
        <v>15.384615384615385</v>
      </c>
      <c r="BV49" s="732">
        <v>0</v>
      </c>
      <c r="BW49" s="733">
        <v>0</v>
      </c>
      <c r="BX49" s="734">
        <v>15.384615384615385</v>
      </c>
      <c r="BY49" s="732">
        <v>0</v>
      </c>
      <c r="BZ49" s="733">
        <v>0</v>
      </c>
      <c r="CA49" s="734">
        <v>15.384615384615385</v>
      </c>
      <c r="CB49" s="704">
        <v>0</v>
      </c>
      <c r="CC49" s="703">
        <v>0</v>
      </c>
      <c r="CD49" s="692">
        <v>10</v>
      </c>
      <c r="CE49" s="704">
        <v>0</v>
      </c>
      <c r="CF49" s="703">
        <v>0</v>
      </c>
      <c r="CG49" s="692">
        <v>15.384615384615385</v>
      </c>
      <c r="CH49" s="704">
        <v>0</v>
      </c>
      <c r="CI49" s="703">
        <v>0</v>
      </c>
      <c r="CJ49" s="692">
        <v>15.384615384615385</v>
      </c>
      <c r="CK49" s="704">
        <v>0</v>
      </c>
      <c r="CL49" s="703">
        <v>0</v>
      </c>
      <c r="CM49" s="692">
        <v>15.384615384615385</v>
      </c>
      <c r="CN49" s="704">
        <v>0</v>
      </c>
      <c r="CO49" s="703">
        <v>0</v>
      </c>
      <c r="CP49" s="692">
        <v>15.384615384615385</v>
      </c>
      <c r="CQ49" s="704">
        <v>0</v>
      </c>
      <c r="CR49" s="703">
        <v>0</v>
      </c>
      <c r="CS49" s="692">
        <v>15.384615384615385</v>
      </c>
      <c r="CT49" s="551">
        <f t="shared" si="67"/>
        <v>0</v>
      </c>
      <c r="CU49" s="552">
        <f t="shared" si="67"/>
        <v>0</v>
      </c>
      <c r="CV49" s="553">
        <f t="shared" si="38"/>
        <v>179.23076923076923</v>
      </c>
      <c r="CW49" s="587"/>
      <c r="CX49" s="554">
        <f t="shared" si="39"/>
        <v>179.23076923076923</v>
      </c>
      <c r="CY49" s="588">
        <f t="shared" si="68"/>
        <v>0</v>
      </c>
      <c r="CZ49" s="589">
        <f t="shared" si="68"/>
        <v>0</v>
      </c>
      <c r="DA49" s="590">
        <f t="shared" si="68"/>
        <v>399.23076923076923</v>
      </c>
      <c r="DB49" s="591">
        <f t="shared" si="41"/>
        <v>399.23076923076923</v>
      </c>
    </row>
    <row r="50" spans="1:148" ht="15.75" customHeight="1" x14ac:dyDescent="0.25">
      <c r="A50" s="572">
        <f t="shared" si="42"/>
        <v>41</v>
      </c>
      <c r="B50" s="739" t="s">
        <v>132</v>
      </c>
      <c r="C50" s="723" t="s">
        <v>623</v>
      </c>
      <c r="D50" s="635"/>
      <c r="E50" s="740"/>
      <c r="F50" s="732">
        <v>0</v>
      </c>
      <c r="G50" s="733">
        <v>0</v>
      </c>
      <c r="H50" s="734">
        <v>20</v>
      </c>
      <c r="I50" s="732">
        <v>0</v>
      </c>
      <c r="J50" s="733">
        <v>0</v>
      </c>
      <c r="K50" s="734">
        <v>20</v>
      </c>
      <c r="L50" s="732">
        <v>0</v>
      </c>
      <c r="M50" s="733">
        <v>0</v>
      </c>
      <c r="N50" s="734">
        <v>20</v>
      </c>
      <c r="O50" s="704"/>
      <c r="P50" s="703">
        <v>0</v>
      </c>
      <c r="Q50" s="692"/>
      <c r="R50" s="702">
        <v>0</v>
      </c>
      <c r="S50" s="703">
        <v>0</v>
      </c>
      <c r="T50" s="692">
        <v>20</v>
      </c>
      <c r="U50" s="702">
        <v>0</v>
      </c>
      <c r="V50" s="703">
        <v>0</v>
      </c>
      <c r="W50" s="692">
        <v>20</v>
      </c>
      <c r="X50" s="702">
        <v>0</v>
      </c>
      <c r="Y50" s="703">
        <v>0</v>
      </c>
      <c r="Z50" s="692">
        <v>20</v>
      </c>
      <c r="AA50" s="702">
        <v>0</v>
      </c>
      <c r="AB50" s="703">
        <v>0</v>
      </c>
      <c r="AC50" s="692">
        <v>20</v>
      </c>
      <c r="AD50" s="732">
        <v>0</v>
      </c>
      <c r="AE50" s="733">
        <v>0</v>
      </c>
      <c r="AF50" s="734">
        <v>20</v>
      </c>
      <c r="AG50" s="732">
        <v>0</v>
      </c>
      <c r="AH50" s="733">
        <v>0</v>
      </c>
      <c r="AI50" s="734"/>
      <c r="AJ50" s="702">
        <v>0</v>
      </c>
      <c r="AK50" s="703">
        <v>0</v>
      </c>
      <c r="AL50" s="692">
        <v>20</v>
      </c>
      <c r="AM50" s="702">
        <v>0</v>
      </c>
      <c r="AN50" s="703">
        <v>0</v>
      </c>
      <c r="AO50" s="692">
        <v>20</v>
      </c>
      <c r="AP50" s="702">
        <v>0</v>
      </c>
      <c r="AQ50" s="703">
        <v>0</v>
      </c>
      <c r="AR50" s="692">
        <v>10</v>
      </c>
      <c r="AS50" s="702">
        <v>0</v>
      </c>
      <c r="AT50" s="703">
        <v>0</v>
      </c>
      <c r="AU50" s="692">
        <v>10</v>
      </c>
      <c r="AV50" s="578"/>
      <c r="AW50" s="532">
        <v>0</v>
      </c>
      <c r="AX50" s="517"/>
      <c r="AY50" s="578"/>
      <c r="AZ50" s="532">
        <v>0</v>
      </c>
      <c r="BA50" s="517"/>
      <c r="BB50" s="735">
        <f t="shared" si="43"/>
        <v>0</v>
      </c>
      <c r="BC50" s="736">
        <f t="shared" si="43"/>
        <v>0</v>
      </c>
      <c r="BD50" s="737">
        <f t="shared" si="43"/>
        <v>220</v>
      </c>
      <c r="BE50" s="583"/>
      <c r="BF50" s="584">
        <f t="shared" si="36"/>
        <v>220</v>
      </c>
      <c r="BG50" s="738">
        <v>0</v>
      </c>
      <c r="BH50" s="733">
        <v>0</v>
      </c>
      <c r="BI50" s="734">
        <v>15.384615384615385</v>
      </c>
      <c r="BJ50" s="738">
        <v>0</v>
      </c>
      <c r="BK50" s="733">
        <v>0</v>
      </c>
      <c r="BL50" s="734">
        <v>15.384615384615385</v>
      </c>
      <c r="BM50" s="732">
        <v>0</v>
      </c>
      <c r="BN50" s="733">
        <v>0</v>
      </c>
      <c r="BO50" s="734">
        <v>15.384615384615385</v>
      </c>
      <c r="BP50" s="732">
        <v>0</v>
      </c>
      <c r="BQ50" s="733">
        <v>0</v>
      </c>
      <c r="BR50" s="734">
        <v>15.384615384615385</v>
      </c>
      <c r="BS50" s="732">
        <v>0</v>
      </c>
      <c r="BT50" s="733">
        <v>0</v>
      </c>
      <c r="BU50" s="734">
        <v>15.384615384615385</v>
      </c>
      <c r="BV50" s="732">
        <v>0</v>
      </c>
      <c r="BW50" s="733">
        <v>0</v>
      </c>
      <c r="BX50" s="734">
        <v>15.384615384615385</v>
      </c>
      <c r="BY50" s="732">
        <v>0</v>
      </c>
      <c r="BZ50" s="733">
        <v>0</v>
      </c>
      <c r="CA50" s="734">
        <v>15.384615384615385</v>
      </c>
      <c r="CB50" s="704">
        <v>0</v>
      </c>
      <c r="CC50" s="703">
        <v>0</v>
      </c>
      <c r="CD50" s="692">
        <v>10</v>
      </c>
      <c r="CE50" s="704">
        <v>0</v>
      </c>
      <c r="CF50" s="703">
        <v>0</v>
      </c>
      <c r="CG50" s="692">
        <v>15.384615384615385</v>
      </c>
      <c r="CH50" s="704">
        <v>0</v>
      </c>
      <c r="CI50" s="703">
        <v>0</v>
      </c>
      <c r="CJ50" s="692">
        <v>15.384615384615385</v>
      </c>
      <c r="CK50" s="704">
        <v>0</v>
      </c>
      <c r="CL50" s="703">
        <v>0</v>
      </c>
      <c r="CM50" s="692">
        <v>15.384615384615385</v>
      </c>
      <c r="CN50" s="704">
        <v>0</v>
      </c>
      <c r="CO50" s="703">
        <v>0</v>
      </c>
      <c r="CP50" s="692">
        <v>15.384615384615385</v>
      </c>
      <c r="CQ50" s="704">
        <v>0</v>
      </c>
      <c r="CR50" s="703">
        <v>0</v>
      </c>
      <c r="CS50" s="692">
        <v>15.384615384615385</v>
      </c>
      <c r="CT50" s="551">
        <f t="shared" si="67"/>
        <v>0</v>
      </c>
      <c r="CU50" s="552">
        <f t="shared" si="67"/>
        <v>0</v>
      </c>
      <c r="CV50" s="553">
        <f t="shared" si="38"/>
        <v>194.61538461538461</v>
      </c>
      <c r="CW50" s="587"/>
      <c r="CX50" s="554">
        <f t="shared" si="39"/>
        <v>194.61538461538461</v>
      </c>
      <c r="CY50" s="588">
        <f t="shared" si="68"/>
        <v>0</v>
      </c>
      <c r="CZ50" s="589">
        <f t="shared" si="68"/>
        <v>0</v>
      </c>
      <c r="DA50" s="590">
        <f t="shared" si="68"/>
        <v>414.61538461538464</v>
      </c>
      <c r="DB50" s="591">
        <f t="shared" si="41"/>
        <v>414.61538461538464</v>
      </c>
      <c r="DC50" s="571"/>
    </row>
    <row r="51" spans="1:148" s="571" customFormat="1" ht="23.25" customHeight="1" thickBot="1" x14ac:dyDescent="0.3">
      <c r="A51" s="1328" t="s">
        <v>247</v>
      </c>
      <c r="B51" s="1329"/>
      <c r="C51" s="1329"/>
      <c r="D51" s="1329"/>
      <c r="E51" s="1330"/>
      <c r="F51" s="1331"/>
      <c r="G51" s="1332"/>
      <c r="H51" s="1332"/>
      <c r="I51" s="1332"/>
      <c r="J51" s="1332"/>
      <c r="K51" s="1332"/>
      <c r="L51" s="1332"/>
      <c r="M51" s="1332"/>
      <c r="N51" s="1332"/>
      <c r="O51" s="1332"/>
      <c r="P51" s="1332"/>
      <c r="Q51" s="1332"/>
      <c r="R51" s="1332"/>
      <c r="S51" s="1332"/>
      <c r="T51" s="1332"/>
      <c r="U51" s="1332"/>
      <c r="V51" s="1332"/>
      <c r="W51" s="1332"/>
      <c r="X51" s="1332"/>
      <c r="Y51" s="1332"/>
      <c r="Z51" s="1332"/>
      <c r="AA51" s="1332"/>
      <c r="AB51" s="1332"/>
      <c r="AC51" s="1332"/>
      <c r="AD51" s="1332"/>
      <c r="AE51" s="1332"/>
      <c r="AF51" s="1332"/>
      <c r="AG51" s="1332"/>
      <c r="AH51" s="1332"/>
      <c r="AI51" s="1332"/>
      <c r="AJ51" s="1332"/>
      <c r="AK51" s="1332"/>
      <c r="AL51" s="1332"/>
      <c r="AM51" s="1332"/>
      <c r="AN51" s="1332"/>
      <c r="AO51" s="1332"/>
      <c r="AP51" s="1332"/>
      <c r="AQ51" s="1332"/>
      <c r="AR51" s="1332"/>
      <c r="AS51" s="1332"/>
      <c r="AT51" s="1332"/>
      <c r="AU51" s="1332"/>
      <c r="AV51" s="1332"/>
      <c r="AW51" s="1332"/>
      <c r="AX51" s="1332"/>
      <c r="AY51" s="1332"/>
      <c r="AZ51" s="1332"/>
      <c r="BA51" s="1333"/>
      <c r="BB51" s="559">
        <f>SUM(BB19:BB50)</f>
        <v>842440.19074392971</v>
      </c>
      <c r="BC51" s="560">
        <f>SUM(BC19:BC50)</f>
        <v>7482.5206375907528</v>
      </c>
      <c r="BD51" s="560">
        <f>SUM(BD19:BD50)</f>
        <v>3214.4345326633165</v>
      </c>
      <c r="BE51" s="561">
        <f>SUM(BE19:BE50)</f>
        <v>0</v>
      </c>
      <c r="BF51" s="562">
        <f>SUM(BF19:BF50)</f>
        <v>10696.955170254068</v>
      </c>
      <c r="BG51" s="1331"/>
      <c r="BH51" s="1332"/>
      <c r="BI51" s="1332"/>
      <c r="BJ51" s="1332"/>
      <c r="BK51" s="1332"/>
      <c r="BL51" s="1332"/>
      <c r="BM51" s="1332"/>
      <c r="BN51" s="1332"/>
      <c r="BO51" s="1332"/>
      <c r="BP51" s="1332"/>
      <c r="BQ51" s="1332"/>
      <c r="BR51" s="1332"/>
      <c r="BS51" s="1332"/>
      <c r="BT51" s="1332"/>
      <c r="BU51" s="1332"/>
      <c r="BV51" s="1332"/>
      <c r="BW51" s="1332"/>
      <c r="BX51" s="1332"/>
      <c r="BY51" s="1332"/>
      <c r="BZ51" s="1332"/>
      <c r="CA51" s="1332"/>
      <c r="CB51" s="1332"/>
      <c r="CC51" s="1332"/>
      <c r="CD51" s="1332"/>
      <c r="CE51" s="1332"/>
      <c r="CF51" s="1332"/>
      <c r="CG51" s="1332"/>
      <c r="CH51" s="1332"/>
      <c r="CI51" s="1332"/>
      <c r="CJ51" s="1332"/>
      <c r="CK51" s="1332"/>
      <c r="CL51" s="1332"/>
      <c r="CM51" s="1332"/>
      <c r="CN51" s="1332"/>
      <c r="CO51" s="1332"/>
      <c r="CP51" s="1332"/>
      <c r="CQ51" s="1332"/>
      <c r="CR51" s="1332"/>
      <c r="CS51" s="1333"/>
      <c r="CT51" s="563">
        <f t="shared" ref="CT51:DB51" si="69">SUM(CT19:CT50)</f>
        <v>480517.7969849247</v>
      </c>
      <c r="CU51" s="564">
        <f t="shared" si="69"/>
        <v>3948.3245459296477</v>
      </c>
      <c r="CV51" s="564">
        <f t="shared" si="69"/>
        <v>2381.8461538461538</v>
      </c>
      <c r="CW51" s="561">
        <f t="shared" si="69"/>
        <v>0</v>
      </c>
      <c r="CX51" s="565">
        <f t="shared" si="69"/>
        <v>6330.1706997758038</v>
      </c>
      <c r="CY51" s="566">
        <f t="shared" si="69"/>
        <v>1322957.9877288542</v>
      </c>
      <c r="CZ51" s="567">
        <f t="shared" si="69"/>
        <v>11430.845183520396</v>
      </c>
      <c r="DA51" s="568">
        <f t="shared" si="69"/>
        <v>5596.2806865094708</v>
      </c>
      <c r="DB51" s="741">
        <f t="shared" si="69"/>
        <v>17027.125870029864</v>
      </c>
      <c r="DC51" s="452"/>
      <c r="DD51" s="570"/>
      <c r="DE51" s="570"/>
      <c r="DF51" s="570"/>
      <c r="DG51" s="570"/>
      <c r="DH51" s="570"/>
      <c r="DI51" s="570"/>
      <c r="DJ51" s="570"/>
      <c r="DK51" s="570"/>
      <c r="DL51" s="570"/>
      <c r="DM51" s="570"/>
      <c r="DN51" s="570"/>
      <c r="DO51" s="570"/>
      <c r="DP51" s="570"/>
      <c r="DQ51" s="570"/>
      <c r="DR51" s="570"/>
      <c r="DS51" s="570"/>
      <c r="DT51" s="570"/>
      <c r="DU51" s="570"/>
      <c r="DV51" s="570"/>
      <c r="DW51" s="570"/>
      <c r="DX51" s="570"/>
      <c r="DY51" s="570"/>
      <c r="DZ51" s="570"/>
      <c r="EA51" s="570"/>
      <c r="EB51" s="570"/>
      <c r="EC51" s="570"/>
      <c r="ED51" s="570"/>
      <c r="EE51" s="570"/>
      <c r="EF51" s="570"/>
      <c r="EG51" s="570"/>
      <c r="EH51" s="570"/>
      <c r="EI51" s="570"/>
      <c r="EJ51" s="570"/>
      <c r="EK51" s="570"/>
      <c r="EL51" s="570"/>
      <c r="EM51" s="570"/>
      <c r="EN51" s="570"/>
      <c r="EO51" s="570"/>
      <c r="EP51" s="570"/>
      <c r="EQ51" s="570"/>
      <c r="ER51" s="570"/>
    </row>
    <row r="52" spans="1:148" ht="22.5" customHeight="1" x14ac:dyDescent="0.25">
      <c r="A52" s="1362" t="s">
        <v>255</v>
      </c>
      <c r="B52" s="1384" t="s">
        <v>624</v>
      </c>
      <c r="C52" s="1366" t="s">
        <v>493</v>
      </c>
      <c r="D52" s="1368" t="s">
        <v>494</v>
      </c>
      <c r="E52" s="1370" t="s">
        <v>495</v>
      </c>
      <c r="F52" s="1353" t="s">
        <v>496</v>
      </c>
      <c r="G52" s="1354"/>
      <c r="H52" s="1355"/>
      <c r="I52" s="1353" t="s">
        <v>497</v>
      </c>
      <c r="J52" s="1354"/>
      <c r="K52" s="1355"/>
      <c r="L52" s="1353" t="s">
        <v>498</v>
      </c>
      <c r="M52" s="1354"/>
      <c r="N52" s="1355"/>
      <c r="O52" s="1353" t="s">
        <v>499</v>
      </c>
      <c r="P52" s="1354"/>
      <c r="Q52" s="1355"/>
      <c r="R52" s="1353" t="s">
        <v>500</v>
      </c>
      <c r="S52" s="1354"/>
      <c r="T52" s="1355"/>
      <c r="U52" s="1353" t="s">
        <v>501</v>
      </c>
      <c r="V52" s="1354"/>
      <c r="W52" s="1355"/>
      <c r="X52" s="1353" t="s">
        <v>502</v>
      </c>
      <c r="Y52" s="1354"/>
      <c r="Z52" s="1355"/>
      <c r="AA52" s="1353" t="s">
        <v>503</v>
      </c>
      <c r="AB52" s="1354"/>
      <c r="AC52" s="1355"/>
      <c r="AD52" s="1353" t="s">
        <v>504</v>
      </c>
      <c r="AE52" s="1354"/>
      <c r="AF52" s="1355"/>
      <c r="AG52" s="1353" t="s">
        <v>505</v>
      </c>
      <c r="AH52" s="1354"/>
      <c r="AI52" s="1355"/>
      <c r="AJ52" s="1353" t="s">
        <v>506</v>
      </c>
      <c r="AK52" s="1354"/>
      <c r="AL52" s="1355"/>
      <c r="AM52" s="1353" t="s">
        <v>507</v>
      </c>
      <c r="AN52" s="1354"/>
      <c r="AO52" s="1355"/>
      <c r="AP52" s="1353" t="s">
        <v>508</v>
      </c>
      <c r="AQ52" s="1354"/>
      <c r="AR52" s="1355"/>
      <c r="AS52" s="1353" t="s">
        <v>509</v>
      </c>
      <c r="AT52" s="1354"/>
      <c r="AU52" s="1355"/>
      <c r="AV52" s="1353"/>
      <c r="AW52" s="1354"/>
      <c r="AX52" s="1355"/>
      <c r="AY52" s="1353"/>
      <c r="AZ52" s="1354"/>
      <c r="BA52" s="1355"/>
      <c r="BB52" s="1356" t="s">
        <v>510</v>
      </c>
      <c r="BC52" s="1358" t="s">
        <v>511</v>
      </c>
      <c r="BD52" s="1358" t="s">
        <v>512</v>
      </c>
      <c r="BE52" s="1347" t="s">
        <v>22</v>
      </c>
      <c r="BF52" s="1360" t="s">
        <v>513</v>
      </c>
      <c r="BG52" s="1340" t="s">
        <v>514</v>
      </c>
      <c r="BH52" s="1341"/>
      <c r="BI52" s="1342"/>
      <c r="BJ52" s="1340" t="s">
        <v>515</v>
      </c>
      <c r="BK52" s="1341"/>
      <c r="BL52" s="1342"/>
      <c r="BM52" s="1340" t="s">
        <v>516</v>
      </c>
      <c r="BN52" s="1341"/>
      <c r="BO52" s="1342"/>
      <c r="BP52" s="1340" t="s">
        <v>517</v>
      </c>
      <c r="BQ52" s="1341"/>
      <c r="BR52" s="1342"/>
      <c r="BS52" s="1340" t="s">
        <v>518</v>
      </c>
      <c r="BT52" s="1341"/>
      <c r="BU52" s="1342"/>
      <c r="BV52" s="1340" t="s">
        <v>519</v>
      </c>
      <c r="BW52" s="1341"/>
      <c r="BX52" s="1342"/>
      <c r="BY52" s="1340" t="s">
        <v>520</v>
      </c>
      <c r="BZ52" s="1341"/>
      <c r="CA52" s="1342"/>
      <c r="CB52" s="1340" t="s">
        <v>521</v>
      </c>
      <c r="CC52" s="1341"/>
      <c r="CD52" s="1342"/>
      <c r="CE52" s="1340" t="s">
        <v>522</v>
      </c>
      <c r="CF52" s="1341"/>
      <c r="CG52" s="1342"/>
      <c r="CH52" s="1340" t="s">
        <v>523</v>
      </c>
      <c r="CI52" s="1341"/>
      <c r="CJ52" s="1342"/>
      <c r="CK52" s="1340" t="s">
        <v>524</v>
      </c>
      <c r="CL52" s="1341"/>
      <c r="CM52" s="1342"/>
      <c r="CN52" s="1340" t="s">
        <v>525</v>
      </c>
      <c r="CO52" s="1341"/>
      <c r="CP52" s="1342"/>
      <c r="CQ52" s="1340" t="s">
        <v>526</v>
      </c>
      <c r="CR52" s="1341"/>
      <c r="CS52" s="1342"/>
      <c r="CT52" s="1343" t="s">
        <v>510</v>
      </c>
      <c r="CU52" s="1345" t="s">
        <v>511</v>
      </c>
      <c r="CV52" s="1345" t="s">
        <v>512</v>
      </c>
      <c r="CW52" s="1347" t="s">
        <v>22</v>
      </c>
      <c r="CX52" s="1349" t="s">
        <v>513</v>
      </c>
      <c r="CY52" s="1351" t="s">
        <v>256</v>
      </c>
      <c r="CZ52" s="1322" t="s">
        <v>511</v>
      </c>
      <c r="DA52" s="1324" t="s">
        <v>512</v>
      </c>
      <c r="DB52" s="1326" t="s">
        <v>257</v>
      </c>
    </row>
    <row r="53" spans="1:148" s="452" customFormat="1" ht="24.75" customHeight="1" thickBot="1" x14ac:dyDescent="0.3">
      <c r="A53" s="1377"/>
      <c r="B53" s="1383"/>
      <c r="C53" s="1367"/>
      <c r="D53" s="1369"/>
      <c r="E53" s="1371"/>
      <c r="F53" s="425" t="s">
        <v>527</v>
      </c>
      <c r="G53" s="426" t="s">
        <v>258</v>
      </c>
      <c r="H53" s="427" t="s">
        <v>528</v>
      </c>
      <c r="I53" s="426" t="s">
        <v>527</v>
      </c>
      <c r="J53" s="426" t="s">
        <v>258</v>
      </c>
      <c r="K53" s="427" t="s">
        <v>528</v>
      </c>
      <c r="L53" s="426" t="s">
        <v>527</v>
      </c>
      <c r="M53" s="426" t="s">
        <v>258</v>
      </c>
      <c r="N53" s="427" t="s">
        <v>528</v>
      </c>
      <c r="O53" s="426" t="s">
        <v>527</v>
      </c>
      <c r="P53" s="426" t="s">
        <v>258</v>
      </c>
      <c r="Q53" s="427" t="s">
        <v>528</v>
      </c>
      <c r="R53" s="426" t="s">
        <v>527</v>
      </c>
      <c r="S53" s="426" t="s">
        <v>258</v>
      </c>
      <c r="T53" s="427" t="s">
        <v>528</v>
      </c>
      <c r="U53" s="426" t="s">
        <v>527</v>
      </c>
      <c r="V53" s="426" t="s">
        <v>258</v>
      </c>
      <c r="W53" s="427" t="s">
        <v>528</v>
      </c>
      <c r="X53" s="426" t="s">
        <v>527</v>
      </c>
      <c r="Y53" s="426" t="s">
        <v>258</v>
      </c>
      <c r="Z53" s="427" t="s">
        <v>528</v>
      </c>
      <c r="AA53" s="426" t="s">
        <v>527</v>
      </c>
      <c r="AB53" s="426" t="s">
        <v>258</v>
      </c>
      <c r="AC53" s="427" t="s">
        <v>528</v>
      </c>
      <c r="AD53" s="426" t="s">
        <v>527</v>
      </c>
      <c r="AE53" s="426" t="s">
        <v>258</v>
      </c>
      <c r="AF53" s="427" t="s">
        <v>528</v>
      </c>
      <c r="AG53" s="426" t="s">
        <v>527</v>
      </c>
      <c r="AH53" s="426" t="s">
        <v>258</v>
      </c>
      <c r="AI53" s="427" t="s">
        <v>528</v>
      </c>
      <c r="AJ53" s="426" t="s">
        <v>527</v>
      </c>
      <c r="AK53" s="426" t="s">
        <v>258</v>
      </c>
      <c r="AL53" s="427" t="s">
        <v>528</v>
      </c>
      <c r="AM53" s="426" t="s">
        <v>527</v>
      </c>
      <c r="AN53" s="426" t="s">
        <v>258</v>
      </c>
      <c r="AO53" s="427" t="s">
        <v>528</v>
      </c>
      <c r="AP53" s="426" t="s">
        <v>527</v>
      </c>
      <c r="AQ53" s="426" t="s">
        <v>258</v>
      </c>
      <c r="AR53" s="427" t="s">
        <v>528</v>
      </c>
      <c r="AS53" s="426" t="s">
        <v>527</v>
      </c>
      <c r="AT53" s="426" t="s">
        <v>258</v>
      </c>
      <c r="AU53" s="427" t="s">
        <v>528</v>
      </c>
      <c r="AV53" s="426" t="s">
        <v>527</v>
      </c>
      <c r="AW53" s="426" t="s">
        <v>258</v>
      </c>
      <c r="AX53" s="427" t="s">
        <v>528</v>
      </c>
      <c r="AY53" s="426" t="s">
        <v>527</v>
      </c>
      <c r="AZ53" s="426" t="s">
        <v>258</v>
      </c>
      <c r="BA53" s="427" t="s">
        <v>528</v>
      </c>
      <c r="BB53" s="1357"/>
      <c r="BC53" s="1359"/>
      <c r="BD53" s="1359"/>
      <c r="BE53" s="1348"/>
      <c r="BF53" s="1361"/>
      <c r="BG53" s="428" t="s">
        <v>527</v>
      </c>
      <c r="BH53" s="428" t="s">
        <v>258</v>
      </c>
      <c r="BI53" s="429" t="s">
        <v>528</v>
      </c>
      <c r="BJ53" s="428" t="s">
        <v>527</v>
      </c>
      <c r="BK53" s="428" t="s">
        <v>258</v>
      </c>
      <c r="BL53" s="429" t="s">
        <v>528</v>
      </c>
      <c r="BM53" s="428" t="s">
        <v>527</v>
      </c>
      <c r="BN53" s="428" t="s">
        <v>258</v>
      </c>
      <c r="BO53" s="429" t="s">
        <v>528</v>
      </c>
      <c r="BP53" s="428" t="s">
        <v>527</v>
      </c>
      <c r="BQ53" s="428" t="s">
        <v>258</v>
      </c>
      <c r="BR53" s="429" t="s">
        <v>528</v>
      </c>
      <c r="BS53" s="428" t="s">
        <v>527</v>
      </c>
      <c r="BT53" s="428" t="s">
        <v>258</v>
      </c>
      <c r="BU53" s="429" t="s">
        <v>528</v>
      </c>
      <c r="BV53" s="428" t="s">
        <v>527</v>
      </c>
      <c r="BW53" s="428" t="s">
        <v>258</v>
      </c>
      <c r="BX53" s="429" t="s">
        <v>528</v>
      </c>
      <c r="BY53" s="428" t="s">
        <v>527</v>
      </c>
      <c r="BZ53" s="428" t="s">
        <v>258</v>
      </c>
      <c r="CA53" s="429" t="s">
        <v>528</v>
      </c>
      <c r="CB53" s="428" t="s">
        <v>527</v>
      </c>
      <c r="CC53" s="428" t="s">
        <v>258</v>
      </c>
      <c r="CD53" s="429" t="s">
        <v>528</v>
      </c>
      <c r="CE53" s="428" t="s">
        <v>527</v>
      </c>
      <c r="CF53" s="428" t="s">
        <v>258</v>
      </c>
      <c r="CG53" s="429" t="s">
        <v>528</v>
      </c>
      <c r="CH53" s="428" t="s">
        <v>527</v>
      </c>
      <c r="CI53" s="428" t="s">
        <v>258</v>
      </c>
      <c r="CJ53" s="429" t="s">
        <v>528</v>
      </c>
      <c r="CK53" s="428" t="s">
        <v>527</v>
      </c>
      <c r="CL53" s="428" t="s">
        <v>258</v>
      </c>
      <c r="CM53" s="429" t="s">
        <v>528</v>
      </c>
      <c r="CN53" s="428" t="s">
        <v>527</v>
      </c>
      <c r="CO53" s="428" t="s">
        <v>258</v>
      </c>
      <c r="CP53" s="429" t="s">
        <v>528</v>
      </c>
      <c r="CQ53" s="428" t="s">
        <v>527</v>
      </c>
      <c r="CR53" s="428" t="s">
        <v>258</v>
      </c>
      <c r="CS53" s="429" t="s">
        <v>528</v>
      </c>
      <c r="CT53" s="1344"/>
      <c r="CU53" s="1346"/>
      <c r="CV53" s="1346"/>
      <c r="CW53" s="1348"/>
      <c r="CX53" s="1350"/>
      <c r="CY53" s="1352"/>
      <c r="CZ53" s="1323"/>
      <c r="DA53" s="1325"/>
      <c r="DB53" s="1327"/>
      <c r="DC53" s="192"/>
      <c r="DD53" s="398"/>
      <c r="DE53" s="453"/>
      <c r="DF53" s="453"/>
      <c r="DG53" s="453"/>
      <c r="DH53" s="453"/>
      <c r="DI53" s="453"/>
      <c r="DJ53" s="453"/>
      <c r="DK53" s="453"/>
      <c r="DL53" s="453"/>
      <c r="DM53" s="453"/>
      <c r="DN53" s="453"/>
      <c r="DO53" s="453"/>
      <c r="DP53" s="453"/>
      <c r="DQ53" s="453"/>
      <c r="DR53" s="453"/>
      <c r="DS53" s="453"/>
      <c r="DT53" s="453"/>
      <c r="DU53" s="453"/>
      <c r="DV53" s="453"/>
      <c r="DW53" s="453"/>
      <c r="DX53" s="453"/>
      <c r="DY53" s="453"/>
      <c r="DZ53" s="453"/>
      <c r="EA53" s="453"/>
      <c r="EB53" s="453"/>
      <c r="EC53" s="453"/>
      <c r="ED53" s="453"/>
      <c r="EE53" s="453"/>
      <c r="EF53" s="453"/>
      <c r="EG53" s="453"/>
      <c r="EH53" s="453"/>
      <c r="EI53" s="453"/>
      <c r="EJ53" s="453"/>
      <c r="EK53" s="453"/>
      <c r="EL53" s="453"/>
      <c r="EM53" s="453"/>
      <c r="EN53" s="453"/>
      <c r="EO53" s="453"/>
      <c r="EP53" s="453"/>
      <c r="EQ53" s="453"/>
      <c r="ER53" s="453"/>
    </row>
    <row r="54" spans="1:148" s="570" customFormat="1" ht="15.75" x14ac:dyDescent="0.25">
      <c r="A54" s="721">
        <f>+A50+1</f>
        <v>42</v>
      </c>
      <c r="B54" s="742" t="s">
        <v>138</v>
      </c>
      <c r="C54" s="743"/>
      <c r="D54" s="744" t="s">
        <v>625</v>
      </c>
      <c r="E54" s="745" t="s">
        <v>626</v>
      </c>
      <c r="F54" s="746">
        <v>3044.0201005025124</v>
      </c>
      <c r="G54" s="619">
        <f>+F54*0.036268/3</f>
        <v>36.800173668341706</v>
      </c>
      <c r="H54" s="577"/>
      <c r="I54" s="746">
        <v>3080.6834170854268</v>
      </c>
      <c r="J54" s="619">
        <f>+I54*0.036283/3</f>
        <v>37.258812140703519</v>
      </c>
      <c r="K54" s="577"/>
      <c r="L54" s="746">
        <v>4370.1708542713568</v>
      </c>
      <c r="M54" s="619">
        <f>+L54*0.036642/3</f>
        <v>53.37726681407036</v>
      </c>
      <c r="N54" s="577"/>
      <c r="O54" s="746"/>
      <c r="P54" s="619">
        <f>+O54*0.0226165/2</f>
        <v>0</v>
      </c>
      <c r="Q54" s="577"/>
      <c r="R54" s="746">
        <v>4509.1055276381912</v>
      </c>
      <c r="S54" s="619">
        <f>+R54*0.05/4</f>
        <v>56.363819095477396</v>
      </c>
      <c r="T54" s="577"/>
      <c r="U54" s="746">
        <v>6435.3768844221113</v>
      </c>
      <c r="V54" s="619">
        <f>+U54*0.0178062/2-0.5</f>
        <v>56.794803939698504</v>
      </c>
      <c r="W54" s="577"/>
      <c r="X54" s="746">
        <v>3839.5175879396988</v>
      </c>
      <c r="Y54" s="619">
        <f>+X54*0.018575/2-0.5</f>
        <v>35.159519597989956</v>
      </c>
      <c r="Z54" s="577"/>
      <c r="AA54" s="746">
        <v>2616.1206030150756</v>
      </c>
      <c r="AB54" s="619">
        <f>+AA54*0.01947/2-0.5</f>
        <v>24.967934070351763</v>
      </c>
      <c r="AC54" s="577"/>
      <c r="AD54" s="746">
        <v>6173.9095477386936</v>
      </c>
      <c r="AE54" s="619">
        <f>+AD54*0.01807/2-0.5</f>
        <v>55.281272763819096</v>
      </c>
      <c r="AF54" s="577"/>
      <c r="AG54" s="746">
        <v>0</v>
      </c>
      <c r="AH54" s="619">
        <f>+AG54*0.0226165/2</f>
        <v>0</v>
      </c>
      <c r="AI54" s="577">
        <v>0</v>
      </c>
      <c r="AJ54" s="746">
        <v>4252.4623115577888</v>
      </c>
      <c r="AK54" s="619">
        <f>+AJ54*0.0183905/2-0.5</f>
        <v>38.602454070351762</v>
      </c>
      <c r="AL54" s="577"/>
      <c r="AM54" s="746">
        <v>3052.2211055276389</v>
      </c>
      <c r="AN54" s="619">
        <f>+AM54*0.01907/2-0.5</f>
        <v>28.602928241206037</v>
      </c>
      <c r="AO54" s="577"/>
      <c r="AP54" s="746">
        <v>0</v>
      </c>
      <c r="AQ54" s="619">
        <f>+AP54*0.0226165/2</f>
        <v>0</v>
      </c>
      <c r="AR54" s="577">
        <v>20</v>
      </c>
      <c r="AS54" s="746">
        <v>4652.86432160804</v>
      </c>
      <c r="AT54" s="619">
        <f>+AS54*0.021418/2-0.5</f>
        <v>49.327524020100498</v>
      </c>
      <c r="AU54" s="577"/>
      <c r="AV54" s="746"/>
      <c r="AW54" s="619">
        <f>+AV54*0.0226165/2</f>
        <v>0</v>
      </c>
      <c r="AX54" s="577"/>
      <c r="AY54" s="746"/>
      <c r="AZ54" s="619">
        <f>+AY54*0.0226165/2</f>
        <v>0</v>
      </c>
      <c r="BA54" s="577"/>
      <c r="BB54" s="735">
        <f t="shared" ref="BB54:BD69" si="70">+F54+I54+L54+O54+R54+U54+X54+AA54+AD54+AG54+AJ54+AM54+AP54+AS54+AV54+AY54</f>
        <v>46026.452261306535</v>
      </c>
      <c r="BC54" s="736">
        <f t="shared" si="70"/>
        <v>472.53650842211061</v>
      </c>
      <c r="BD54" s="737">
        <f t="shared" si="70"/>
        <v>20</v>
      </c>
      <c r="BE54" s="583"/>
      <c r="BF54" s="584">
        <f t="shared" ref="BF54:BF72" si="71">+BC54+BD54-BE54</f>
        <v>492.53650842211061</v>
      </c>
      <c r="BG54" s="746">
        <v>4341.708542713568</v>
      </c>
      <c r="BH54" s="619">
        <f>+BG54*0.018355/2-0.5</f>
        <v>39.346030150753769</v>
      </c>
      <c r="BI54" s="577"/>
      <c r="BJ54" s="746">
        <v>0</v>
      </c>
      <c r="BK54" s="619">
        <f>+BJ54*0.0226165/2</f>
        <v>0</v>
      </c>
      <c r="BL54" s="577">
        <v>0</v>
      </c>
      <c r="BM54" s="576">
        <v>0</v>
      </c>
      <c r="BN54" s="532">
        <v>0</v>
      </c>
      <c r="BO54" s="517">
        <v>18</v>
      </c>
      <c r="BP54" s="576">
        <v>0</v>
      </c>
      <c r="BQ54" s="532">
        <v>0</v>
      </c>
      <c r="BR54" s="517">
        <v>20</v>
      </c>
      <c r="BS54" s="576">
        <v>0</v>
      </c>
      <c r="BT54" s="532">
        <v>0</v>
      </c>
      <c r="BU54" s="517">
        <v>20</v>
      </c>
      <c r="BV54" s="576">
        <v>0</v>
      </c>
      <c r="BW54" s="532">
        <v>0</v>
      </c>
      <c r="BX54" s="517">
        <v>20</v>
      </c>
      <c r="BY54" s="576">
        <v>0</v>
      </c>
      <c r="BZ54" s="532">
        <v>0</v>
      </c>
      <c r="CA54" s="517">
        <v>18</v>
      </c>
      <c r="CB54" s="578">
        <v>0</v>
      </c>
      <c r="CC54" s="532">
        <v>0</v>
      </c>
      <c r="CD54" s="517">
        <v>10</v>
      </c>
      <c r="CE54" s="746">
        <v>0</v>
      </c>
      <c r="CF54" s="619">
        <f>+CE54*0.0226165/2</f>
        <v>0</v>
      </c>
      <c r="CG54" s="517">
        <v>18</v>
      </c>
      <c r="CH54" s="746">
        <v>0</v>
      </c>
      <c r="CI54" s="619">
        <f>+CH54*0.0226165/2</f>
        <v>0</v>
      </c>
      <c r="CJ54" s="577">
        <v>18</v>
      </c>
      <c r="CK54" s="746">
        <v>0</v>
      </c>
      <c r="CL54" s="619">
        <f>+CK54*0.0226165/2</f>
        <v>0</v>
      </c>
      <c r="CM54" s="577"/>
      <c r="CN54" s="746">
        <v>0</v>
      </c>
      <c r="CO54" s="619">
        <f>+CN54*0.0226165/2</f>
        <v>0</v>
      </c>
      <c r="CP54" s="577"/>
      <c r="CQ54" s="746">
        <v>0</v>
      </c>
      <c r="CR54" s="619">
        <f>+CQ54*0.0226165/2</f>
        <v>0</v>
      </c>
      <c r="CS54" s="577"/>
      <c r="CT54" s="698">
        <f t="shared" ref="CT54:CU69" si="72">BG54+BJ54+BM54+BP54+BS54+BV54+BY54+CB54+CH54+CK54+CN54+CQ54+CE54</f>
        <v>4341.708542713568</v>
      </c>
      <c r="CU54" s="699">
        <f t="shared" si="72"/>
        <v>39.346030150753769</v>
      </c>
      <c r="CV54" s="700">
        <f t="shared" ref="CV54:CV72" si="73">+BI54+BL54+BO54+BR54+BU54+BX54+CA54+CD54+CG54+CJ54+CM54+CP54+CS54</f>
        <v>142</v>
      </c>
      <c r="CW54" s="583"/>
      <c r="CX54" s="701">
        <f t="shared" ref="CX54:CX72" si="74">+CU54+CV54-CW54</f>
        <v>181.34603015075376</v>
      </c>
      <c r="CY54" s="588">
        <f t="shared" ref="CY54:DA69" si="75">+BB54+CT54</f>
        <v>50368.160804020103</v>
      </c>
      <c r="CZ54" s="589">
        <f t="shared" si="75"/>
        <v>511.88253857286441</v>
      </c>
      <c r="DA54" s="590">
        <f t="shared" si="75"/>
        <v>162</v>
      </c>
      <c r="DB54" s="591">
        <f t="shared" ref="DB54:DB72" si="76">+CZ54+DA54</f>
        <v>673.88253857286441</v>
      </c>
      <c r="DC54" s="571"/>
    </row>
    <row r="55" spans="1:148" ht="15.75" x14ac:dyDescent="0.25">
      <c r="A55" s="721">
        <f t="shared" ref="A55:A72" si="77">+A54+1</f>
        <v>43</v>
      </c>
      <c r="B55" s="768" t="s">
        <v>156</v>
      </c>
      <c r="C55" s="927"/>
      <c r="D55" s="769" t="s">
        <v>656</v>
      </c>
      <c r="E55" s="770" t="s">
        <v>657</v>
      </c>
      <c r="F55" s="654">
        <v>730.8542713567839</v>
      </c>
      <c r="G55" s="532">
        <f>+F55*0.05/10</f>
        <v>3.6542713567839193</v>
      </c>
      <c r="H55" s="619">
        <f>20-G55</f>
        <v>16.345728643216081</v>
      </c>
      <c r="I55" s="654">
        <v>908.8643216080402</v>
      </c>
      <c r="J55" s="532">
        <f>+I55*0.05/10</f>
        <v>4.5443216080402014</v>
      </c>
      <c r="K55" s="619">
        <f>20-J55</f>
        <v>15.455678391959799</v>
      </c>
      <c r="L55" s="654">
        <v>1392.2412060301508</v>
      </c>
      <c r="M55" s="532">
        <f>+L55*0.05/10</f>
        <v>6.9612060301507537</v>
      </c>
      <c r="N55" s="619">
        <f>30-M55</f>
        <v>23.038793969849245</v>
      </c>
      <c r="O55" s="654"/>
      <c r="P55" s="517">
        <v>0</v>
      </c>
      <c r="Q55" s="619"/>
      <c r="R55" s="654">
        <v>0</v>
      </c>
      <c r="S55" s="532">
        <f>+R55*0.05/9</f>
        <v>0</v>
      </c>
      <c r="T55" s="619">
        <v>20</v>
      </c>
      <c r="U55" s="654">
        <v>0</v>
      </c>
      <c r="V55" s="532">
        <f>+U55*0.05/9</f>
        <v>0</v>
      </c>
      <c r="W55" s="619">
        <v>20</v>
      </c>
      <c r="X55" s="654">
        <v>0</v>
      </c>
      <c r="Y55" s="532">
        <f>+X55*0.05/9</f>
        <v>0</v>
      </c>
      <c r="Z55" s="660">
        <v>0</v>
      </c>
      <c r="AA55" s="654">
        <v>562.9748743718593</v>
      </c>
      <c r="AB55" s="532">
        <f>+AA55*0.05/8</f>
        <v>3.518592964824121</v>
      </c>
      <c r="AC55" s="619">
        <f>15-AB55</f>
        <v>11.481407035175879</v>
      </c>
      <c r="AD55" s="654">
        <v>1236.9045226130654</v>
      </c>
      <c r="AE55" s="532">
        <f>+AD55*0.05/9</f>
        <v>6.8716917922948078</v>
      </c>
      <c r="AF55" s="577">
        <f>40-AE55</f>
        <v>33.128308207705189</v>
      </c>
      <c r="AG55" s="654">
        <v>0</v>
      </c>
      <c r="AH55" s="517">
        <f>+AG55*0.05/3</f>
        <v>0</v>
      </c>
      <c r="AI55" s="619">
        <v>0</v>
      </c>
      <c r="AJ55" s="654">
        <v>956.62311557788939</v>
      </c>
      <c r="AK55" s="532">
        <f>+AJ55*0.05/10</f>
        <v>4.783115577889447</v>
      </c>
      <c r="AL55" s="577">
        <f>20-AK55</f>
        <v>15.216884422110553</v>
      </c>
      <c r="AM55" s="654">
        <v>885.2261306532663</v>
      </c>
      <c r="AN55" s="532">
        <f>+AM55*0.05/9</f>
        <v>4.9179229480737021</v>
      </c>
      <c r="AO55" s="577">
        <f>20-AN55</f>
        <v>15.082077051926298</v>
      </c>
      <c r="AP55" s="654">
        <v>0</v>
      </c>
      <c r="AQ55" s="517">
        <v>0</v>
      </c>
      <c r="AR55" s="619">
        <v>0</v>
      </c>
      <c r="AS55" s="654">
        <v>0</v>
      </c>
      <c r="AT55" s="532">
        <f>+AS55*0.05/9</f>
        <v>0</v>
      </c>
      <c r="AU55" s="577">
        <v>20</v>
      </c>
      <c r="AV55" s="654"/>
      <c r="AW55" s="517">
        <v>0</v>
      </c>
      <c r="AX55" s="619"/>
      <c r="AY55" s="654"/>
      <c r="AZ55" s="517">
        <v>0</v>
      </c>
      <c r="BA55" s="619"/>
      <c r="BB55" s="463">
        <f t="shared" si="70"/>
        <v>6673.6884422110552</v>
      </c>
      <c r="BC55" s="464">
        <f t="shared" si="70"/>
        <v>35.251122278056954</v>
      </c>
      <c r="BD55" s="465">
        <f t="shared" si="70"/>
        <v>189.74887772194302</v>
      </c>
      <c r="BE55" s="587"/>
      <c r="BF55" s="637">
        <f t="shared" si="71"/>
        <v>224.99999999999997</v>
      </c>
      <c r="BG55" s="654">
        <v>0</v>
      </c>
      <c r="BH55" s="532">
        <f>+BG55*0.05/8</f>
        <v>0</v>
      </c>
      <c r="BI55" s="619">
        <v>0</v>
      </c>
      <c r="BJ55" s="654">
        <v>0</v>
      </c>
      <c r="BK55" s="517">
        <v>0</v>
      </c>
      <c r="BL55" s="577">
        <v>0</v>
      </c>
      <c r="BM55" s="654">
        <v>0</v>
      </c>
      <c r="BN55" s="517">
        <v>0</v>
      </c>
      <c r="BO55" s="517">
        <v>18</v>
      </c>
      <c r="BP55" s="654">
        <v>0</v>
      </c>
      <c r="BQ55" s="517">
        <v>0</v>
      </c>
      <c r="BR55" s="619">
        <v>18</v>
      </c>
      <c r="BS55" s="654">
        <v>0</v>
      </c>
      <c r="BT55" s="517">
        <v>0</v>
      </c>
      <c r="BU55" s="619">
        <v>18</v>
      </c>
      <c r="BV55" s="654">
        <v>0</v>
      </c>
      <c r="BW55" s="517">
        <v>0</v>
      </c>
      <c r="BX55" s="619">
        <v>18</v>
      </c>
      <c r="BY55" s="654">
        <v>0</v>
      </c>
      <c r="BZ55" s="517">
        <v>0</v>
      </c>
      <c r="CA55" s="517">
        <v>18</v>
      </c>
      <c r="CB55" s="654">
        <v>0</v>
      </c>
      <c r="CC55" s="517">
        <v>0</v>
      </c>
      <c r="CD55" s="619">
        <v>0</v>
      </c>
      <c r="CE55" s="654">
        <v>0</v>
      </c>
      <c r="CF55" s="517">
        <v>0</v>
      </c>
      <c r="CG55" s="517">
        <v>18</v>
      </c>
      <c r="CH55" s="654">
        <v>0</v>
      </c>
      <c r="CI55" s="517">
        <v>0</v>
      </c>
      <c r="CJ55" s="619"/>
      <c r="CK55" s="654">
        <v>0</v>
      </c>
      <c r="CL55" s="517">
        <v>0</v>
      </c>
      <c r="CM55" s="619"/>
      <c r="CN55" s="654">
        <v>0</v>
      </c>
      <c r="CO55" s="517">
        <v>0</v>
      </c>
      <c r="CP55" s="619"/>
      <c r="CQ55" s="654">
        <v>0</v>
      </c>
      <c r="CR55" s="517">
        <v>0</v>
      </c>
      <c r="CS55" s="619"/>
      <c r="CT55" s="551">
        <f t="shared" si="72"/>
        <v>0</v>
      </c>
      <c r="CU55" s="552">
        <f t="shared" si="72"/>
        <v>0</v>
      </c>
      <c r="CV55" s="553">
        <f t="shared" si="73"/>
        <v>108</v>
      </c>
      <c r="CW55" s="587"/>
      <c r="CX55" s="554">
        <f t="shared" si="74"/>
        <v>108</v>
      </c>
      <c r="CY55" s="555">
        <f t="shared" si="75"/>
        <v>6673.6884422110552</v>
      </c>
      <c r="CZ55" s="556">
        <f t="shared" si="75"/>
        <v>35.251122278056954</v>
      </c>
      <c r="DA55" s="557">
        <f t="shared" si="75"/>
        <v>297.74887772194302</v>
      </c>
      <c r="DB55" s="558">
        <f t="shared" si="76"/>
        <v>333</v>
      </c>
    </row>
    <row r="56" spans="1:148" ht="15.75" customHeight="1" x14ac:dyDescent="0.25">
      <c r="A56" s="721">
        <f t="shared" si="77"/>
        <v>44</v>
      </c>
      <c r="B56" s="747" t="s">
        <v>123</v>
      </c>
      <c r="C56" s="748" t="s">
        <v>627</v>
      </c>
      <c r="D56" s="658" t="s">
        <v>628</v>
      </c>
      <c r="E56" s="659" t="s">
        <v>629</v>
      </c>
      <c r="F56" s="757">
        <v>0</v>
      </c>
      <c r="G56" s="671">
        <f>IF(F56&lt;2700,F56*0.0101,IF(F56&lt;3200,F56*0.01135,IF(F56&lt;3700,F56*0.0126,IF(F56&gt;3699,F56*0.01385,""))))</f>
        <v>0</v>
      </c>
      <c r="H56" s="671">
        <v>20</v>
      </c>
      <c r="I56" s="757">
        <v>0</v>
      </c>
      <c r="J56" s="671">
        <f>IF(I56&lt;2700,I56*0.0101,IF(I56&lt;3200,I56*0.01135,IF(I56&lt;3700,I56*0.0126,IF(I56&gt;3699,I56*0.01385,""))))</f>
        <v>0</v>
      </c>
      <c r="K56" s="671">
        <v>20</v>
      </c>
      <c r="L56" s="757">
        <v>0</v>
      </c>
      <c r="M56" s="671">
        <f>IF(L56&lt;2700,L56*0.0101,IF(L56&lt;3200,L56*0.01135,IF(L56&lt;3700,L56*0.0126,IF(L56&gt;3699,L56*0.01385,""))))</f>
        <v>0</v>
      </c>
      <c r="N56" s="671">
        <v>20</v>
      </c>
      <c r="O56" s="758"/>
      <c r="P56" s="671">
        <f>IF(O56&lt;2700,O56*0.0101,IF(O56&lt;3200,O56*0.01135,IF(O56&lt;3700,O56*0.0126,IF(O56&gt;3699,O56*0.01385,""))))</f>
        <v>0</v>
      </c>
      <c r="Q56" s="771"/>
      <c r="R56" s="757">
        <v>3494.1105527638188</v>
      </c>
      <c r="S56" s="517">
        <f>IF(R56&lt;2700,R56*0.009,IF(R56&lt;3200,R56*0.0101,IF(R56&lt;3700,R56*0.01135,IF(R56&gt;3699,R56*0.0126,""))))</f>
        <v>39.658154773869349</v>
      </c>
      <c r="T56" s="771"/>
      <c r="U56" s="757">
        <v>3188.7437185929648</v>
      </c>
      <c r="V56" s="517">
        <f>IF(U56&lt;2700,U56*0.009,IF(U56&lt;3200,U56*0.0101,IF(U56&lt;3700,U56*0.01135,IF(U56&gt;3699,U56*0.0126,""))))</f>
        <v>32.206311557788943</v>
      </c>
      <c r="W56" s="771"/>
      <c r="X56" s="758">
        <v>2907.497487437186</v>
      </c>
      <c r="Y56" s="517">
        <f>IF(X56&lt;2700,X56*0.009,IF(X56&lt;3200,X56*0.0101,IF(X56&lt;3700,X56*0.01135,IF(X56&gt;3699,X56*0.0126,""))))</f>
        <v>29.365724623115579</v>
      </c>
      <c r="Z56" s="771"/>
      <c r="AA56" s="758">
        <v>2156.3819095477388</v>
      </c>
      <c r="AB56" s="517">
        <f>IF(AA56&lt;2700,AA56*0.009,IF(AA56&lt;3200,AA56*0.0101,IF(AA56&lt;3700,AA56*0.01135,IF(AA56&gt;3699,AA56*0.0126,""))))</f>
        <v>19.407437185929648</v>
      </c>
      <c r="AC56" s="771"/>
      <c r="AD56" s="757">
        <v>6435.3768844221104</v>
      </c>
      <c r="AE56" s="517">
        <f>IF(AD56&lt;2700,AD56*0.009,IF(AD56&lt;3200,AD56*0.0101,IF(AD56&lt;3700,AD56*0.01135,IF(AD56&gt;3699,AD56*0.0126,""))))</f>
        <v>81.085748743718597</v>
      </c>
      <c r="AF56" s="771"/>
      <c r="AG56" s="661">
        <v>0</v>
      </c>
      <c r="AH56" s="671">
        <f>IF(AG56&lt;2700,AG56*0.0101,IF(AG56&lt;3200,AG56*0.01135,IF(AG56&lt;3700,AG56*0.0126,IF(AG56&gt;3699,AG56*0.01385,""))))</f>
        <v>0</v>
      </c>
      <c r="AI56" s="771"/>
      <c r="AJ56" s="757">
        <v>3461.3065326633168</v>
      </c>
      <c r="AK56" s="517">
        <f>IF(AJ56&lt;2700,AJ56*0.009,IF(AJ56&lt;3200,AJ56*0.0101,IF(AJ56&lt;3700,AJ56*0.01135,IF(AJ56&gt;3699,AJ56*0.0126,""))))</f>
        <v>39.285829145728648</v>
      </c>
      <c r="AL56" s="771"/>
      <c r="AM56" s="757">
        <v>2877.1055276381912</v>
      </c>
      <c r="AN56" s="517">
        <f>IF(AM56&lt;2700,AM56*0.009,IF(AM56&lt;3200,AM56*0.0101,IF(AM56&lt;3700,AM56*0.01135,IF(AM56&gt;3699,AM56*0.0126,""))))</f>
        <v>29.058765829145731</v>
      </c>
      <c r="AO56" s="771"/>
      <c r="AP56" s="968">
        <v>0</v>
      </c>
      <c r="AQ56" s="671">
        <f>IF(AP56&lt;2700,AP56*0.0101,IF(AP56&lt;3200,AP56*0.01135,IF(AP56&lt;3700,AP56*0.0126,IF(AP56&gt;3699,AP56*0.01385,""))))</f>
        <v>0</v>
      </c>
      <c r="AR56" s="671">
        <v>12</v>
      </c>
      <c r="AS56" s="757">
        <v>3378.3316582914576</v>
      </c>
      <c r="AT56" s="517">
        <f>IF(AS56&lt;2700,AS56*0.0075,IF(AS56&lt;3200,AS56*0.009,IF(AS56&lt;3700,AS56*0.0101,IF(AS56&gt;3699,AS56*0.01135,""))))</f>
        <v>34.121149748743719</v>
      </c>
      <c r="AU56" s="771"/>
      <c r="AV56" s="758"/>
      <c r="AW56" s="671">
        <f>IF(AV56&lt;2700,AV56*0.0101,IF(AV56&lt;3200,AV56*0.01135,IF(AV56&lt;3700,AV56*0.0126,IF(AV56&gt;3699,AV56*0.01385,""))))</f>
        <v>0</v>
      </c>
      <c r="AX56" s="771"/>
      <c r="AY56" s="758"/>
      <c r="AZ56" s="671">
        <f>IF(AY56&lt;2700,AY56*0.0101,IF(AY56&lt;3200,AY56*0.01135,IF(AY56&lt;3700,AY56*0.0126,IF(AY56&gt;3699,AY56*0.01385,""))))</f>
        <v>0</v>
      </c>
      <c r="BA56" s="771"/>
      <c r="BB56" s="735">
        <f t="shared" si="70"/>
        <v>27898.854271356788</v>
      </c>
      <c r="BC56" s="736">
        <f t="shared" si="70"/>
        <v>304.18912160804024</v>
      </c>
      <c r="BD56" s="737">
        <f t="shared" si="70"/>
        <v>72</v>
      </c>
      <c r="BE56" s="583"/>
      <c r="BF56" s="584">
        <f t="shared" si="71"/>
        <v>376.18912160804024</v>
      </c>
      <c r="BG56" s="758">
        <v>3115.8994974874367</v>
      </c>
      <c r="BH56" s="517">
        <f>IF(BG56&lt;2700,BG56*0.0075,IF(BG56&lt;3200,BG56*0.009,IF(BG56&lt;3700,BG56*0.0101,IF(BG56&gt;3699,BG56*0.01135,""))))</f>
        <v>28.043095477386927</v>
      </c>
      <c r="BI56" s="771"/>
      <c r="BJ56" s="758">
        <v>0</v>
      </c>
      <c r="BK56" s="671">
        <f>IF(BJ56&lt;2700,BJ56*0.0101,IF(BJ56&lt;3200,BJ56*0.01135,IF(BJ56&lt;3700,BJ56*0.0126,IF(BJ56&gt;3699,BJ56*0.01385,""))))</f>
        <v>0</v>
      </c>
      <c r="BL56" s="771">
        <v>12</v>
      </c>
      <c r="BM56" s="661">
        <v>0</v>
      </c>
      <c r="BN56" s="671">
        <f>IF(BM56&lt;2700,BM56*0.0101,IF(BM56&lt;3200,BM56*0.01135,IF(BM56&lt;3700,BM56*0.0126,IF(BM56&gt;3699,BM56*0.01385,""))))</f>
        <v>0</v>
      </c>
      <c r="BO56" s="671">
        <v>18</v>
      </c>
      <c r="BP56" s="661">
        <v>0</v>
      </c>
      <c r="BQ56" s="671">
        <f>IF(BP56&lt;2700,BP56*0.0101,IF(BP56&lt;3200,BP56*0.01135,IF(BP56&lt;3700,BP56*0.0126,IF(BP56&gt;3699,BP56*0.01385,""))))</f>
        <v>0</v>
      </c>
      <c r="BR56" s="977">
        <v>18</v>
      </c>
      <c r="BS56" s="661">
        <v>0</v>
      </c>
      <c r="BT56" s="671">
        <f>IF(BS56&lt;2700,BS56*0.0101,IF(BS56&lt;3200,BS56*0.01135,IF(BS56&lt;3700,BS56*0.0126,IF(BS56&gt;3699,BS56*0.01385,""))))</f>
        <v>0</v>
      </c>
      <c r="BU56" s="977">
        <v>18</v>
      </c>
      <c r="BV56" s="661">
        <v>0</v>
      </c>
      <c r="BW56" s="671">
        <f>IF(BV56&lt;2700,BV56*0.0101,IF(BV56&lt;3200,BV56*0.01135,IF(BV56&lt;3700,BV56*0.0126,IF(BV56&gt;3699,BV56*0.01385,""))))</f>
        <v>0</v>
      </c>
      <c r="BX56" s="977">
        <v>18</v>
      </c>
      <c r="BY56" s="661">
        <v>0</v>
      </c>
      <c r="BZ56" s="671">
        <f>IF(BY56&lt;2700,BY56*0.0101,IF(BY56&lt;3200,BY56*0.01135,IF(BY56&lt;3700,BY56*0.0126,IF(BY56&gt;3699,BY56*0.01385,""))))</f>
        <v>0</v>
      </c>
      <c r="CA56" s="671">
        <v>18</v>
      </c>
      <c r="CB56" s="661">
        <v>0</v>
      </c>
      <c r="CC56" s="671">
        <f>IF(CB56&lt;2700,CB56*0.0101,IF(CB56&lt;3200,CB56*0.01135,IF(CB56&lt;3700,CB56*0.0126,IF(CB56&gt;3699,CB56*0.01385,""))))</f>
        <v>0</v>
      </c>
      <c r="CD56" s="671">
        <v>10</v>
      </c>
      <c r="CE56" s="757">
        <v>0</v>
      </c>
      <c r="CF56" s="671">
        <f>IF(CE56&lt;2700,CE56*0.0101,IF(CE56&lt;3200,CE56*0.01135,IF(CE56&lt;3700,CE56*0.0126,IF(CE56&gt;3699,CE56*0.01385,""))))</f>
        <v>0</v>
      </c>
      <c r="CG56" s="671">
        <v>18</v>
      </c>
      <c r="CH56" s="757">
        <v>0</v>
      </c>
      <c r="CI56" s="671">
        <f t="shared" ref="CI56:CI64" si="78">IF(CH56&lt;2700,CH56*0.0101,IF(CH56&lt;3200,CH56*0.01135,IF(CH56&lt;3700,CH56*0.0126,IF(CH56&gt;3699,CH56*0.01385,""))))</f>
        <v>0</v>
      </c>
      <c r="CJ56" s="836">
        <v>18</v>
      </c>
      <c r="CK56" s="757">
        <v>0</v>
      </c>
      <c r="CL56" s="671">
        <f t="shared" ref="CL56:CL64" si="79">IF(CK56&lt;2700,CK56*0.0101,IF(CK56&lt;3200,CK56*0.01135,IF(CK56&lt;3700,CK56*0.0126,IF(CK56&gt;3699,CK56*0.01385,""))))</f>
        <v>0</v>
      </c>
      <c r="CM56" s="836">
        <v>18</v>
      </c>
      <c r="CN56" s="757">
        <v>0</v>
      </c>
      <c r="CO56" s="671">
        <f t="shared" ref="CO56:CO60" si="80">IF(CN56&lt;2700,CN56*0.0101,IF(CN56&lt;3200,CN56*0.01135,IF(CN56&lt;3700,CN56*0.0126,IF(CN56&gt;3699,CN56*0.01385,""))))</f>
        <v>0</v>
      </c>
      <c r="CP56" s="836">
        <v>18</v>
      </c>
      <c r="CQ56" s="757">
        <v>0</v>
      </c>
      <c r="CR56" s="671">
        <f>IF(CQ56&lt;2700,CQ56*0.0101,IF(CQ56&lt;3200,CQ56*0.01135,IF(CQ56&lt;3700,CQ56*0.0126,IF(CQ56&gt;3699,CQ56*0.01385,""))))</f>
        <v>0</v>
      </c>
      <c r="CS56" s="836">
        <v>18</v>
      </c>
      <c r="CT56" s="698">
        <f t="shared" si="72"/>
        <v>3115.8994974874367</v>
      </c>
      <c r="CU56" s="699">
        <f t="shared" si="72"/>
        <v>28.043095477386927</v>
      </c>
      <c r="CV56" s="700">
        <f t="shared" si="73"/>
        <v>202</v>
      </c>
      <c r="CW56" s="583"/>
      <c r="CX56" s="701">
        <f t="shared" si="74"/>
        <v>230.04309547738694</v>
      </c>
      <c r="CY56" s="588">
        <f t="shared" si="75"/>
        <v>31014.753768844224</v>
      </c>
      <c r="CZ56" s="589">
        <f t="shared" si="75"/>
        <v>332.23221708542718</v>
      </c>
      <c r="DA56" s="590">
        <f t="shared" si="75"/>
        <v>274</v>
      </c>
      <c r="DB56" s="591">
        <f t="shared" si="76"/>
        <v>606.23221708542724</v>
      </c>
      <c r="DC56" s="452"/>
    </row>
    <row r="57" spans="1:148" ht="15.75" customHeight="1" x14ac:dyDescent="0.25">
      <c r="A57" s="721">
        <f t="shared" si="77"/>
        <v>45</v>
      </c>
      <c r="B57" s="749" t="s">
        <v>97</v>
      </c>
      <c r="C57" s="750" t="s">
        <v>627</v>
      </c>
      <c r="D57" s="751"/>
      <c r="E57" s="752"/>
      <c r="F57" s="579">
        <v>3461.7889447236184</v>
      </c>
      <c r="G57" s="598">
        <f>IF(F57&lt;2700,F57*0.0085,IF(F57&lt;3200,F57*0.01,IF(F57&lt;3700,F57*0.0105,IF(F57&gt;3699,F57*0.01175,""))))</f>
        <v>36.348783919597999</v>
      </c>
      <c r="H57" s="580"/>
      <c r="I57" s="579">
        <v>3686.1105527638197</v>
      </c>
      <c r="J57" s="598">
        <f>IF(I57&lt;2700,I57*0.0085,IF(I57&lt;3200,I57*0.01,IF(I57&lt;3700,I57*0.0105,IF(I57&gt;3699,I57*0.01175,""))))</f>
        <v>38.704160804020106</v>
      </c>
      <c r="K57" s="580"/>
      <c r="L57" s="579">
        <v>4135.718592964824</v>
      </c>
      <c r="M57" s="598">
        <f>IF(L57&lt;2700,L57*0.0085,IF(L57&lt;3200,L57*0.01,IF(L57&lt;3700,L57*0.0105,IF(L57&gt;3699,L57*0.01175,""))))</f>
        <v>48.594693467336683</v>
      </c>
      <c r="N57" s="580"/>
      <c r="O57" s="620"/>
      <c r="P57" s="660">
        <f>IF(O57&lt;2700,O57*0.0105,IF(O57&lt;3200,O57*0.01175,IF(O57&lt;3700,O57*0.013,IF(O57&gt;3699,O57*0.01425,""))))</f>
        <v>0</v>
      </c>
      <c r="Q57" s="580"/>
      <c r="R57" s="579">
        <v>5291.58</v>
      </c>
      <c r="S57" s="598">
        <f>IF(R57&lt;2700,R57*0.0085,IF(R57&lt;3200,R57*0.01,IF(R57&lt;3700,R57*0.0105,IF(R57&gt;3699,R57*0.01175,""))))</f>
        <v>62.176065000000001</v>
      </c>
      <c r="T57" s="580"/>
      <c r="U57" s="579">
        <v>3502.793969849246</v>
      </c>
      <c r="V57" s="598">
        <f>IF(U57&lt;2700,U57*0.0085,IF(U57&lt;3200,U57*0.01,IF(U57&lt;3700,U57*0.0105,IF(U57&gt;3699,U57*0.01175,""))))</f>
        <v>36.779336683417085</v>
      </c>
      <c r="W57" s="580"/>
      <c r="X57" s="620">
        <v>2782.5527638190952</v>
      </c>
      <c r="Y57" s="598">
        <f>IF(X57&lt;2700,X57*0.0085,IF(X57&lt;3200,X57*0.01,IF(X57&lt;3700,X57*0.0105,IF(X57&gt;3699,X57*0.01175,""))))</f>
        <v>27.825527638190952</v>
      </c>
      <c r="Z57" s="580"/>
      <c r="AA57" s="620">
        <v>2426.0502512562816</v>
      </c>
      <c r="AB57" s="598">
        <f>IF(AA57&lt;2700,AA57*0.0085,IF(AA57&lt;3200,AA57*0.01,IF(AA57&lt;3700,AA57*0.0105,IF(AA57&gt;3699,AA57*0.01175,""))))</f>
        <v>20.621427135678395</v>
      </c>
      <c r="AC57" s="580"/>
      <c r="AD57" s="579">
        <v>6690.572864321608</v>
      </c>
      <c r="AE57" s="598">
        <f>IF(AD57&lt;2700,AD57*0.0085,IF(AD57&lt;3200,AD57*0.01,IF(AD57&lt;3700,AD57*0.0105,IF(AD57&gt;3699,AD57*0.01175,""))))</f>
        <v>78.614231155778896</v>
      </c>
      <c r="AF57" s="580"/>
      <c r="AG57" s="753">
        <v>0</v>
      </c>
      <c r="AH57" s="660">
        <f>IF(AG57&lt;2700,AG57*0.0105,IF(AG57&lt;3200,AG57*0.01175,IF(AG57&lt;3700,AG57*0.013,IF(AG57&gt;3699,AG57*0.01425,""))))</f>
        <v>0</v>
      </c>
      <c r="AI57" s="580"/>
      <c r="AJ57" s="579">
        <v>4213.3869346733663</v>
      </c>
      <c r="AK57" s="598">
        <f>IF(AJ57&lt;2700,AJ57*0.0085,IF(AJ57&lt;3200,AJ57*0.01,IF(AJ57&lt;3700,AJ57*0.0105,IF(AJ57&gt;3699,AJ57*0.01175,""))))</f>
        <v>49.507296482412052</v>
      </c>
      <c r="AL57" s="580"/>
      <c r="AM57" s="579">
        <v>3505.6884422110556</v>
      </c>
      <c r="AN57" s="598">
        <f>IF(AM57&lt;2700,AM57*0.0085,IF(AM57&lt;3200,AM57*0.01,IF(AM57&lt;3700,AM57*0.0105,IF(AM57&gt;3699,AM57*0.01175,""))))</f>
        <v>36.80972864321609</v>
      </c>
      <c r="AO57" s="580"/>
      <c r="AP57" s="620">
        <v>0</v>
      </c>
      <c r="AQ57" s="660">
        <f>IF(AP57&lt;2700,AP57*0.0105,IF(AP57&lt;3200,AP57*0.01175,IF(AP57&lt;3700,AP57*0.013,IF(AP57&gt;3699,AP57*0.01425,""))))</f>
        <v>0</v>
      </c>
      <c r="AR57" s="580">
        <v>12</v>
      </c>
      <c r="AS57" s="579">
        <v>4248.6030150753777</v>
      </c>
      <c r="AT57" s="598">
        <f>IF(AS57&lt;2700,AS57*0.0085,IF(AS57&lt;3200,AS57*0.01,IF(AS57&lt;3700,AS57*0.0105,IF(AS57&gt;3699,AS57*0.01175,""))))</f>
        <v>49.921085427135687</v>
      </c>
      <c r="AU57" s="580"/>
      <c r="AV57" s="620"/>
      <c r="AW57" s="660">
        <f>IF(AV57&lt;2700,AV57*0.0105,IF(AV57&lt;3200,AV57*0.01175,IF(AV57&lt;3700,AV57*0.013,IF(AV57&gt;3699,AV57*0.01425,""))))</f>
        <v>0</v>
      </c>
      <c r="AX57" s="580"/>
      <c r="AY57" s="620"/>
      <c r="AZ57" s="660">
        <f>IF(AY57&lt;2700,AY57*0.0105,IF(AY57&lt;3200,AY57*0.01175,IF(AY57&lt;3700,AY57*0.013,IF(AY57&gt;3699,AY57*0.01425,""))))</f>
        <v>0</v>
      </c>
      <c r="BA57" s="580"/>
      <c r="BB57" s="463">
        <f t="shared" si="70"/>
        <v>43944.846331658286</v>
      </c>
      <c r="BC57" s="464">
        <f t="shared" si="70"/>
        <v>485.90233635678396</v>
      </c>
      <c r="BD57" s="465">
        <f t="shared" si="70"/>
        <v>12</v>
      </c>
      <c r="BE57" s="466"/>
      <c r="BF57" s="467">
        <f t="shared" si="71"/>
        <v>497.90233635678396</v>
      </c>
      <c r="BG57" s="620">
        <v>3365.3065326633168</v>
      </c>
      <c r="BH57" s="598">
        <f>IF(BG57&lt;2700,BG57*0.0085,IF(BG57&lt;3200,BG57*0.01,IF(BG57&lt;3700,BG57*0.0105,IF(BG57&gt;3699,BG57*0.01175,""))))</f>
        <v>35.335718592964831</v>
      </c>
      <c r="BI57" s="580"/>
      <c r="BJ57" s="620">
        <v>0</v>
      </c>
      <c r="BK57" s="660">
        <f>IF(BJ57&lt;2700,BJ57*0.0105,IF(BJ57&lt;3200,BJ57*0.01175,IF(BJ57&lt;3700,BJ57*0.013,IF(BJ57&gt;3699,BJ57*0.01425,""))))</f>
        <v>0</v>
      </c>
      <c r="BL57" s="580">
        <v>0</v>
      </c>
      <c r="BM57" s="753">
        <v>0</v>
      </c>
      <c r="BN57" s="660">
        <f>IF(BM57&lt;2700,BM57*0.0105,IF(BM57&lt;3200,BM57*0.01175,IF(BM57&lt;3700,BM57*0.013,IF(BM57&gt;3699,BM57*0.01425,""))))</f>
        <v>0</v>
      </c>
      <c r="BO57" s="517">
        <v>18</v>
      </c>
      <c r="BP57" s="753">
        <v>0</v>
      </c>
      <c r="BQ57" s="660">
        <f>IF(BP57&lt;2700,BP57*0.0105,IF(BP57&lt;3200,BP57*0.01175,IF(BP57&lt;3700,BP57*0.013,IF(BP57&gt;3699,BP57*0.01425,""))))</f>
        <v>0</v>
      </c>
      <c r="BR57" s="619">
        <v>18</v>
      </c>
      <c r="BS57" s="753">
        <v>0</v>
      </c>
      <c r="BT57" s="660">
        <f>IF(BS57&lt;2700,BS57*0.0105,IF(BS57&lt;3200,BS57*0.01175,IF(BS57&lt;3700,BS57*0.013,IF(BS57&gt;3699,BS57*0.01425,""))))</f>
        <v>0</v>
      </c>
      <c r="BU57" s="619">
        <v>18</v>
      </c>
      <c r="BV57" s="753">
        <v>0</v>
      </c>
      <c r="BW57" s="660">
        <f>IF(BV57&lt;2700,BV57*0.0105,IF(BV57&lt;3200,BV57*0.01175,IF(BV57&lt;3700,BV57*0.013,IF(BV57&gt;3699,BV57*0.01425,""))))</f>
        <v>0</v>
      </c>
      <c r="BX57" s="619">
        <v>18</v>
      </c>
      <c r="BY57" s="753">
        <v>0</v>
      </c>
      <c r="BZ57" s="660">
        <f>IF(BY57&lt;2700,BY57*0.0105,IF(BY57&lt;3200,BY57*0.01175,IF(BY57&lt;3700,BY57*0.013,IF(BY57&gt;3699,BY57*0.01425,""))))</f>
        <v>0</v>
      </c>
      <c r="CA57" s="517">
        <v>18</v>
      </c>
      <c r="CB57" s="753">
        <v>0</v>
      </c>
      <c r="CC57" s="660">
        <f>IF(CB57&lt;2700,CB57*0.0105,IF(CB57&lt;3200,CB57*0.01175,IF(CB57&lt;3700,CB57*0.013,IF(CB57&gt;3699,CB57*0.01425,""))))</f>
        <v>0</v>
      </c>
      <c r="CD57" s="580">
        <v>10</v>
      </c>
      <c r="CE57" s="579">
        <v>0</v>
      </c>
      <c r="CF57" s="660">
        <f>IF(CE57&lt;2700,CE57*0.0105,IF(CE57&lt;3200,CE57*0.01175,IF(CE57&lt;3700,CE57*0.013,IF(CE57&gt;3699,CE57*0.01425,""))))</f>
        <v>0</v>
      </c>
      <c r="CG57" s="517">
        <v>18</v>
      </c>
      <c r="CH57" s="579">
        <v>0</v>
      </c>
      <c r="CI57" s="517">
        <f t="shared" si="78"/>
        <v>0</v>
      </c>
      <c r="CJ57" s="577">
        <v>18</v>
      </c>
      <c r="CK57" s="579">
        <v>0</v>
      </c>
      <c r="CL57" s="517">
        <f t="shared" si="79"/>
        <v>0</v>
      </c>
      <c r="CM57" s="577">
        <v>18</v>
      </c>
      <c r="CN57" s="579">
        <v>0</v>
      </c>
      <c r="CO57" s="517">
        <f t="shared" si="80"/>
        <v>0</v>
      </c>
      <c r="CP57" s="577">
        <v>18</v>
      </c>
      <c r="CQ57" s="579">
        <v>0</v>
      </c>
      <c r="CR57" s="660">
        <f>IF(CQ57&lt;2700,CQ57*0.0105,IF(CQ57&lt;3200,CQ57*0.01175,IF(CQ57&lt;3700,CQ57*0.013,IF(CQ57&gt;3699,CQ57*0.01425,""))))</f>
        <v>0</v>
      </c>
      <c r="CS57" s="577">
        <v>18</v>
      </c>
      <c r="CT57" s="551">
        <f t="shared" si="72"/>
        <v>3365.3065326633168</v>
      </c>
      <c r="CU57" s="552">
        <f t="shared" si="72"/>
        <v>35.335718592964831</v>
      </c>
      <c r="CV57" s="553">
        <f t="shared" si="73"/>
        <v>190</v>
      </c>
      <c r="CW57" s="587"/>
      <c r="CX57" s="554">
        <f t="shared" si="74"/>
        <v>225.33571859296484</v>
      </c>
      <c r="CY57" s="555">
        <f t="shared" si="75"/>
        <v>47310.152864321601</v>
      </c>
      <c r="CZ57" s="556">
        <f t="shared" si="75"/>
        <v>521.23805494974874</v>
      </c>
      <c r="DA57" s="557">
        <f t="shared" si="75"/>
        <v>202</v>
      </c>
      <c r="DB57" s="558">
        <f t="shared" si="76"/>
        <v>723.23805494974874</v>
      </c>
      <c r="DC57" s="192" t="s">
        <v>630</v>
      </c>
      <c r="DD57" s="1074"/>
    </row>
    <row r="58" spans="1:148" ht="15.75" customHeight="1" x14ac:dyDescent="0.25">
      <c r="A58" s="721">
        <f t="shared" si="77"/>
        <v>46</v>
      </c>
      <c r="B58" s="754" t="s">
        <v>98</v>
      </c>
      <c r="C58" s="750" t="s">
        <v>627</v>
      </c>
      <c r="D58" s="751"/>
      <c r="E58" s="752"/>
      <c r="F58" s="579">
        <v>3461.7889447236184</v>
      </c>
      <c r="G58" s="517">
        <f>IF(F58&lt;2700,F58*0.007,IF(F58&lt;3200,F58*0.008,IF(F58&lt;3700,F58*0.0097,IF(F58&gt;3699,F58*0.01095,""))))</f>
        <v>33.579352763819102</v>
      </c>
      <c r="H58" s="580"/>
      <c r="I58" s="579">
        <v>3686.1105527638197</v>
      </c>
      <c r="J58" s="517">
        <f>IF(I58&lt;2700,I58*0.007,IF(I58&lt;3200,I58*0.008,IF(I58&lt;3700,I58*0.0097,IF(I58&gt;3699,I58*0.01095,""))))</f>
        <v>35.755272361809055</v>
      </c>
      <c r="K58" s="580"/>
      <c r="L58" s="579">
        <v>4135.718592964824</v>
      </c>
      <c r="M58" s="517">
        <f>IF(L58&lt;2700,L58*0.007,IF(L58&lt;3200,L58*0.008,IF(L58&lt;3700,L58*0.0097,IF(L58&gt;3699,L58*0.01095,""))))</f>
        <v>45.286118592964819</v>
      </c>
      <c r="N58" s="580"/>
      <c r="O58" s="620"/>
      <c r="P58" s="517">
        <f>IF(O58&lt;2700,O58*0.0097,IF(O58&lt;3200,O58*0.01095,IF(O58&lt;3700,O58*0.0122,IF(O58&gt;3699,O58*0.01345,""))))</f>
        <v>0</v>
      </c>
      <c r="Q58" s="580"/>
      <c r="R58" s="579">
        <v>5291.58</v>
      </c>
      <c r="S58" s="517">
        <f>IF(R58&lt;2700,R58*0.007,IF(R58&lt;3200,R58*0.008,IF(R58&lt;3700,R58*0.0097,IF(R58&gt;3699,R58*0.01095,""))))</f>
        <v>57.942800999999996</v>
      </c>
      <c r="T58" s="580"/>
      <c r="U58" s="579">
        <v>3502.793969849246</v>
      </c>
      <c r="V58" s="517">
        <f>IF(U58&lt;2700,U58*0.007,IF(U58&lt;3200,U58*0.008,IF(U58&lt;3700,U58*0.0097,IF(U58&gt;3699,U58*0.01095,""))))</f>
        <v>33.977101507537689</v>
      </c>
      <c r="W58" s="580"/>
      <c r="X58" s="620">
        <v>2782.5527638190952</v>
      </c>
      <c r="Y58" s="517">
        <f>IF(X58&lt;2700,X58*0.007,IF(X58&lt;3200,X58*0.008,IF(X58&lt;3700,X58*0.0097,IF(X58&gt;3699,X58*0.01095,""))))</f>
        <v>22.26042211055276</v>
      </c>
      <c r="Z58" s="580"/>
      <c r="AA58" s="620">
        <v>2426.0502512562816</v>
      </c>
      <c r="AB58" s="517">
        <f>IF(AA58&lt;2700,AA58*0.007,IF(AA58&lt;3200,AA58*0.008,IF(AA58&lt;3700,AA58*0.0097,IF(AA58&gt;3699,AA58*0.01095,""))))</f>
        <v>16.982351758793971</v>
      </c>
      <c r="AC58" s="580"/>
      <c r="AD58" s="579">
        <v>6690.572864321608</v>
      </c>
      <c r="AE58" s="517">
        <f>IF(AD58&lt;2700,AD58*0.007,IF(AD58&lt;3200,AD58*0.008,IF(AD58&lt;3700,AD58*0.0097,IF(AD58&gt;3699,AD58*0.01095,""))))</f>
        <v>73.2617728643216</v>
      </c>
      <c r="AF58" s="580"/>
      <c r="AG58" s="579">
        <v>0</v>
      </c>
      <c r="AH58" s="517">
        <f>IF(AG58&lt;2700,AG58*0.0097,IF(AG58&lt;3200,AG58*0.01095,IF(AG58&lt;3700,AG58*0.0122,IF(AG58&gt;3699,AG58*0.01345,""))))</f>
        <v>0</v>
      </c>
      <c r="AI58" s="580"/>
      <c r="AJ58" s="579">
        <v>4213.3869346733663</v>
      </c>
      <c r="AK58" s="517">
        <f>IF(AJ58&lt;2700,AJ58*0.007,IF(AJ58&lt;3200,AJ58*0.008,IF(AJ58&lt;3700,AJ58*0.0097,IF(AJ58&gt;3699,AJ58*0.01095,""))))</f>
        <v>46.13658693467336</v>
      </c>
      <c r="AL58" s="580"/>
      <c r="AM58" s="579">
        <v>3505.6884422110556</v>
      </c>
      <c r="AN58" s="517">
        <f>IF(AM58&lt;2700,AM58*0.007,IF(AM58&lt;3200,AM58*0.008,IF(AM58&lt;3700,AM58*0.0097,IF(AM58&gt;3699,AM58*0.01095,""))))</f>
        <v>34.005177889447239</v>
      </c>
      <c r="AO58" s="580"/>
      <c r="AP58" s="620">
        <v>0</v>
      </c>
      <c r="AQ58" s="517">
        <f>IF(AP58&lt;2700,AP58*0.0097,IF(AP58&lt;3200,AP58*0.01095,IF(AP58&lt;3700,AP58*0.0122,IF(AP58&gt;3699,AP58*0.01345,""))))</f>
        <v>0</v>
      </c>
      <c r="AR58" s="580">
        <v>12</v>
      </c>
      <c r="AS58" s="579">
        <v>4248.6030150753777</v>
      </c>
      <c r="AT58" s="517">
        <f t="shared" ref="AT58:AT59" si="81">IF(AS58&lt;2700,AS58*0.007,IF(AS58&lt;3200,AS58*0.008,IF(AS58&lt;3700,AS58*0.0097,IF(AS58&gt;3699,AS58*0.01095,""))))</f>
        <v>46.522203015075384</v>
      </c>
      <c r="AU58" s="580"/>
      <c r="AV58" s="620"/>
      <c r="AW58" s="517">
        <f>IF(AV58&lt;2700,AV58*0.0097,IF(AV58&lt;3200,AV58*0.01095,IF(AV58&lt;3700,AV58*0.0122,IF(AV58&gt;3699,AV58*0.01345,""))))</f>
        <v>0</v>
      </c>
      <c r="AX58" s="580"/>
      <c r="AY58" s="620"/>
      <c r="AZ58" s="517">
        <f>IF(AY58&lt;2700,AY58*0.0097,IF(AY58&lt;3200,AY58*0.01095,IF(AY58&lt;3700,AY58*0.0122,IF(AY58&gt;3699,AY58*0.01345,""))))</f>
        <v>0</v>
      </c>
      <c r="BA58" s="580"/>
      <c r="BB58" s="463">
        <f t="shared" si="70"/>
        <v>43944.846331658286</v>
      </c>
      <c r="BC58" s="464">
        <f t="shared" si="70"/>
        <v>445.70916079899496</v>
      </c>
      <c r="BD58" s="465">
        <f t="shared" si="70"/>
        <v>12</v>
      </c>
      <c r="BE58" s="466"/>
      <c r="BF58" s="467">
        <f t="shared" si="71"/>
        <v>457.70916079899496</v>
      </c>
      <c r="BG58" s="620">
        <v>3365.3065326633168</v>
      </c>
      <c r="BH58" s="517">
        <f t="shared" ref="BH58:BH59" si="82">IF(BG58&lt;2700,BG58*0.007,IF(BG58&lt;3200,BG58*0.008,IF(BG58&lt;3700,BG58*0.0097,IF(BG58&gt;3699,BG58*0.01095,""))))</f>
        <v>32.643473366834172</v>
      </c>
      <c r="BI58" s="580"/>
      <c r="BJ58" s="620">
        <v>0</v>
      </c>
      <c r="BK58" s="517">
        <f>IF(BJ58&lt;2700,BJ58*0.0097,IF(BJ58&lt;3200,BJ58*0.01095,IF(BJ58&lt;3700,BJ58*0.0122,IF(BJ58&gt;3699,BJ58*0.01345,""))))</f>
        <v>0</v>
      </c>
      <c r="BL58" s="580">
        <v>0</v>
      </c>
      <c r="BM58" s="579">
        <v>0</v>
      </c>
      <c r="BN58" s="517">
        <f>IF(BM58&lt;2700,BM58*0.0097,IF(BM58&lt;3200,BM58*0.01095,IF(BM58&lt;3700,BM58*0.0122,IF(BM58&gt;3699,BM58*0.01345,""))))</f>
        <v>0</v>
      </c>
      <c r="BO58" s="517">
        <v>18</v>
      </c>
      <c r="BP58" s="579">
        <v>0</v>
      </c>
      <c r="BQ58" s="517">
        <f>IF(BP58&lt;2700,BP58*0.0097,IF(BP58&lt;3200,BP58*0.01095,IF(BP58&lt;3700,BP58*0.0122,IF(BP58&gt;3699,BP58*0.01345,""))))</f>
        <v>0</v>
      </c>
      <c r="BR58" s="619">
        <v>18</v>
      </c>
      <c r="BS58" s="579">
        <v>0</v>
      </c>
      <c r="BT58" s="517">
        <f>IF(BS58&lt;2700,BS58*0.0097,IF(BS58&lt;3200,BS58*0.01095,IF(BS58&lt;3700,BS58*0.0122,IF(BS58&gt;3699,BS58*0.01345,""))))</f>
        <v>0</v>
      </c>
      <c r="BU58" s="619">
        <v>18</v>
      </c>
      <c r="BV58" s="579">
        <v>0</v>
      </c>
      <c r="BW58" s="517">
        <f>IF(BV58&lt;2700,BV58*0.0097,IF(BV58&lt;3200,BV58*0.01095,IF(BV58&lt;3700,BV58*0.0122,IF(BV58&gt;3699,BV58*0.01345,""))))</f>
        <v>0</v>
      </c>
      <c r="BX58" s="619">
        <v>18</v>
      </c>
      <c r="BY58" s="579">
        <v>0</v>
      </c>
      <c r="BZ58" s="517">
        <f>IF(BY58&lt;2700,BY58*0.0097,IF(BY58&lt;3200,BY58*0.01095,IF(BY58&lt;3700,BY58*0.0122,IF(BY58&gt;3699,BY58*0.01345,""))))</f>
        <v>0</v>
      </c>
      <c r="CA58" s="517">
        <v>18</v>
      </c>
      <c r="CB58" s="579">
        <v>0</v>
      </c>
      <c r="CC58" s="517">
        <f>IF(CB58&lt;2700,CB58*0.0097,IF(CB58&lt;3200,CB58*0.01095,IF(CB58&lt;3700,CB58*0.0122,IF(CB58&gt;3699,CB58*0.01345,""))))</f>
        <v>0</v>
      </c>
      <c r="CD58" s="517">
        <v>10</v>
      </c>
      <c r="CE58" s="579">
        <v>0</v>
      </c>
      <c r="CF58" s="517">
        <f>IF(CE58&lt;2700,CE58*0.0097,IF(CE58&lt;3200,CE58*0.01095,IF(CE58&lt;3700,CE58*0.0122,IF(CE58&gt;3699,CE58*0.01345,""))))</f>
        <v>0</v>
      </c>
      <c r="CG58" s="517">
        <v>18</v>
      </c>
      <c r="CH58" s="579">
        <v>0</v>
      </c>
      <c r="CI58" s="517">
        <f t="shared" si="78"/>
        <v>0</v>
      </c>
      <c r="CJ58" s="577">
        <v>18</v>
      </c>
      <c r="CK58" s="579">
        <v>0</v>
      </c>
      <c r="CL58" s="517">
        <f t="shared" si="79"/>
        <v>0</v>
      </c>
      <c r="CM58" s="577">
        <v>18</v>
      </c>
      <c r="CN58" s="579">
        <v>0</v>
      </c>
      <c r="CO58" s="517">
        <f t="shared" si="80"/>
        <v>0</v>
      </c>
      <c r="CP58" s="577">
        <v>18</v>
      </c>
      <c r="CQ58" s="579">
        <v>0</v>
      </c>
      <c r="CR58" s="517">
        <f>IF(CQ58&lt;2700,CQ58*0.0097,IF(CQ58&lt;3200,CQ58*0.01095,IF(CQ58&lt;3700,CQ58*0.0122,IF(CQ58&gt;3699,CQ58*0.01345,""))))</f>
        <v>0</v>
      </c>
      <c r="CS58" s="577">
        <v>18</v>
      </c>
      <c r="CT58" s="551">
        <f t="shared" si="72"/>
        <v>3365.3065326633168</v>
      </c>
      <c r="CU58" s="552">
        <f t="shared" si="72"/>
        <v>32.643473366834172</v>
      </c>
      <c r="CV58" s="553">
        <f t="shared" si="73"/>
        <v>190</v>
      </c>
      <c r="CW58" s="587"/>
      <c r="CX58" s="554">
        <f t="shared" si="74"/>
        <v>222.64347336683417</v>
      </c>
      <c r="CY58" s="555">
        <f t="shared" si="75"/>
        <v>47310.152864321601</v>
      </c>
      <c r="CZ58" s="556">
        <f t="shared" si="75"/>
        <v>478.35263416582916</v>
      </c>
      <c r="DA58" s="557">
        <f t="shared" si="75"/>
        <v>202</v>
      </c>
      <c r="DB58" s="558">
        <f t="shared" si="76"/>
        <v>680.35263416582916</v>
      </c>
      <c r="DD58" s="1074"/>
    </row>
    <row r="59" spans="1:148" ht="15.75" customHeight="1" x14ac:dyDescent="0.25">
      <c r="A59" s="721">
        <f t="shared" si="77"/>
        <v>47</v>
      </c>
      <c r="B59" s="754" t="s">
        <v>77</v>
      </c>
      <c r="C59" s="750" t="s">
        <v>627</v>
      </c>
      <c r="D59" s="724" t="s">
        <v>631</v>
      </c>
      <c r="E59" s="755" t="s">
        <v>632</v>
      </c>
      <c r="F59" s="579">
        <v>3582.8743718592964</v>
      </c>
      <c r="G59" s="517">
        <f>IF(F59&lt;2700,F59*0.007,IF(F59&lt;3200,F59*0.008,IF(F59&lt;3700,F59*0.0097,IF(F59&gt;3699,F59*0.01095,""))))</f>
        <v>34.753881407035173</v>
      </c>
      <c r="H59" s="517"/>
      <c r="I59" s="579">
        <v>0</v>
      </c>
      <c r="J59" s="585">
        <f>IF(I59&lt;2700,I59*0.0097,IF(I59&lt;3200,I59*0.01095,IF(I59&lt;3700,I59*0.0122,IF(I59&gt;3699,I59*0.01345,""))))</f>
        <v>0</v>
      </c>
      <c r="K59" s="517"/>
      <c r="L59" s="579">
        <v>3431.3969849246232</v>
      </c>
      <c r="M59" s="517">
        <f>IF(L59&lt;2700,L59*0.007,IF(L59&lt;3200,L59*0.008,IF(L59&lt;3700,L59*0.0097,IF(L59&gt;3699,L59*0.01095,""))))</f>
        <v>33.284550753768848</v>
      </c>
      <c r="N59" s="517"/>
      <c r="O59" s="620"/>
      <c r="P59" s="517">
        <f>IF(O59&lt;2700,O59*0.0097,IF(O59&lt;3200,O59*0.01095,IF(O59&lt;3700,O59*0.0122,IF(O59&gt;3699,O59*0.01345,""))))</f>
        <v>0</v>
      </c>
      <c r="Q59" s="517"/>
      <c r="R59" s="579">
        <v>4235.577889447236</v>
      </c>
      <c r="S59" s="517">
        <f>IF(R59&lt;2700,R59*0.007,IF(R59&lt;3200,R59*0.008,IF(R59&lt;3700,R59*0.0097,IF(R59&gt;3699,R59*0.01095,""))))</f>
        <v>46.379577889447233</v>
      </c>
      <c r="T59" s="517"/>
      <c r="U59" s="579">
        <v>0</v>
      </c>
      <c r="V59" s="517">
        <f>IF(U59&lt;2700,U59*0.0097,IF(U59&lt;3200,U59*0.01095,IF(U59&lt;3700,U59*0.0122,IF(U59&gt;3699,U59*0.01345,""))))</f>
        <v>0</v>
      </c>
      <c r="W59" s="517"/>
      <c r="X59" s="579">
        <v>0</v>
      </c>
      <c r="Y59" s="517">
        <f>IF(X59&lt;2700,X59*0.0097,IF(X59&lt;3200,X59*0.01095,IF(X59&lt;3700,X59*0.0122,IF(X59&gt;3699,X59*0.01345,""))))</f>
        <v>0</v>
      </c>
      <c r="Z59" s="517"/>
      <c r="AA59" s="620">
        <v>0</v>
      </c>
      <c r="AB59" s="517">
        <f>IF(AA59&lt;2700,AA59*0.0097,IF(AA59&lt;3200,AA59*0.01095,IF(AA59&lt;3700,AA59*0.0122,IF(AA59&gt;3699,AA59*0.01345,""))))</f>
        <v>0</v>
      </c>
      <c r="AC59" s="517">
        <v>18</v>
      </c>
      <c r="AD59" s="579">
        <v>0</v>
      </c>
      <c r="AE59" s="517">
        <f>IF(AD59&lt;2700,AD59*0.0097,IF(AD59&lt;3200,AD59*0.01095,IF(AD59&lt;3700,AD59*0.0122,IF(AD59&gt;3699,AD59*0.01345,""))))</f>
        <v>0</v>
      </c>
      <c r="AF59" s="517">
        <v>18</v>
      </c>
      <c r="AG59" s="579">
        <v>0</v>
      </c>
      <c r="AH59" s="517">
        <f>IF(AG59&lt;2700,AG59*0.0097,IF(AG59&lt;3200,AG59*0.01095,IF(AG59&lt;3700,AG59*0.0122,IF(AG59&gt;3699,AG59*0.01345,""))))</f>
        <v>0</v>
      </c>
      <c r="AI59" s="517">
        <v>18</v>
      </c>
      <c r="AJ59" s="620">
        <v>0</v>
      </c>
      <c r="AK59" s="517">
        <f>IF(AJ59&lt;2700,AJ59*0.0097,IF(AJ59&lt;3200,AJ59*0.01095,IF(AJ59&lt;3700,AJ59*0.0122,IF(AJ59&gt;3699,AJ59*0.01345,""))))</f>
        <v>0</v>
      </c>
      <c r="AL59" s="517">
        <v>18</v>
      </c>
      <c r="AM59" s="620">
        <v>0</v>
      </c>
      <c r="AN59" s="517">
        <f>IF(AM59&lt;2700,AM59*0.0097,IF(AM59&lt;3200,AM59*0.01095,IF(AM59&lt;3700,AM59*0.0122,IF(AM59&gt;3699,AM59*0.01345,""))))</f>
        <v>0</v>
      </c>
      <c r="AO59" s="517">
        <v>18</v>
      </c>
      <c r="AP59" s="620">
        <v>0</v>
      </c>
      <c r="AQ59" s="517">
        <f>IF(AP59&lt;2700,AP59*0.0097,IF(AP59&lt;3200,AP59*0.01095,IF(AP59&lt;3700,AP59*0.0122,IF(AP59&gt;3699,AP59*0.01345,""))))</f>
        <v>0</v>
      </c>
      <c r="AR59" s="580">
        <v>20</v>
      </c>
      <c r="AS59" s="620">
        <v>3106.7336683417079</v>
      </c>
      <c r="AT59" s="517">
        <f t="shared" si="81"/>
        <v>24.853869346733664</v>
      </c>
      <c r="AU59" s="517"/>
      <c r="AV59" s="620"/>
      <c r="AW59" s="517">
        <f>IF(AV59&lt;2700,AV59*0.0097,IF(AV59&lt;3200,AV59*0.01095,IF(AV59&lt;3700,AV59*0.0122,IF(AV59&gt;3699,AV59*0.01345,""))))</f>
        <v>0</v>
      </c>
      <c r="AX59" s="517"/>
      <c r="AY59" s="620"/>
      <c r="AZ59" s="517">
        <f>IF(AY59&lt;2700,AY59*0.0097,IF(AY59&lt;3200,AY59*0.01095,IF(AY59&lt;3700,AY59*0.0122,IF(AY59&gt;3699,AY59*0.01345,""))))</f>
        <v>0</v>
      </c>
      <c r="BA59" s="517"/>
      <c r="BB59" s="463">
        <f t="shared" si="70"/>
        <v>14356.582914572864</v>
      </c>
      <c r="BC59" s="464">
        <f t="shared" si="70"/>
        <v>139.27187939698493</v>
      </c>
      <c r="BD59" s="465">
        <f t="shared" si="70"/>
        <v>110</v>
      </c>
      <c r="BE59" s="466"/>
      <c r="BF59" s="467">
        <f t="shared" si="71"/>
        <v>249.27187939698493</v>
      </c>
      <c r="BG59" s="620">
        <v>3482.0502512562812</v>
      </c>
      <c r="BH59" s="517">
        <f t="shared" si="82"/>
        <v>33.775887437185929</v>
      </c>
      <c r="BI59" s="517"/>
      <c r="BJ59" s="620">
        <v>0</v>
      </c>
      <c r="BK59" s="517">
        <f>IF(BJ59&lt;2700,BJ59*0.0097,IF(BJ59&lt;3200,BJ59*0.01095,IF(BJ59&lt;3700,BJ59*0.0122,IF(BJ59&gt;3699,BJ59*0.01345,""))))</f>
        <v>0</v>
      </c>
      <c r="BL59" s="517">
        <v>0</v>
      </c>
      <c r="BM59" s="579">
        <v>0</v>
      </c>
      <c r="BN59" s="517">
        <f>IF(BM59&lt;2700,BM59*0.0097,IF(BM59&lt;3200,BM59*0.01095,IF(BM59&lt;3700,BM59*0.0122,IF(BM59&gt;3699,BM59*0.01345,""))))</f>
        <v>0</v>
      </c>
      <c r="BO59" s="517">
        <v>18</v>
      </c>
      <c r="BP59" s="579">
        <v>0</v>
      </c>
      <c r="BQ59" s="517">
        <f>IF(BP59&lt;2700,BP59*0.0097,IF(BP59&lt;3200,BP59*0.01095,IF(BP59&lt;3700,BP59*0.0122,IF(BP59&gt;3699,BP59*0.01345,""))))</f>
        <v>0</v>
      </c>
      <c r="BR59" s="619">
        <v>18</v>
      </c>
      <c r="BS59" s="579">
        <v>0</v>
      </c>
      <c r="BT59" s="517">
        <f>IF(BS59&lt;2700,BS59*0.0097,IF(BS59&lt;3200,BS59*0.01095,IF(BS59&lt;3700,BS59*0.0122,IF(BS59&gt;3699,BS59*0.01345,""))))</f>
        <v>0</v>
      </c>
      <c r="BU59" s="619">
        <v>18</v>
      </c>
      <c r="BV59" s="579">
        <v>0</v>
      </c>
      <c r="BW59" s="517">
        <f>IF(BV59&lt;2700,BV59*0.0097,IF(BV59&lt;3200,BV59*0.01095,IF(BV59&lt;3700,BV59*0.0122,IF(BV59&gt;3699,BV59*0.01345,""))))</f>
        <v>0</v>
      </c>
      <c r="BX59" s="619">
        <v>18</v>
      </c>
      <c r="BY59" s="579">
        <v>0</v>
      </c>
      <c r="BZ59" s="517">
        <f>IF(BY59&lt;2700,BY59*0.0097,IF(BY59&lt;3200,BY59*0.01095,IF(BY59&lt;3700,BY59*0.0122,IF(BY59&gt;3699,BY59*0.01345,""))))</f>
        <v>0</v>
      </c>
      <c r="CA59" s="517">
        <v>18</v>
      </c>
      <c r="CB59" s="620">
        <v>0</v>
      </c>
      <c r="CC59" s="585">
        <f>IF(CB59&lt;2700,CB59*0.0097,IF(CB59&lt;3200,CB59*0.01095,IF(CB59&lt;3700,CB59*0.0122,IF(CB59&gt;3699,CB59*0.01345,""))))</f>
        <v>0</v>
      </c>
      <c r="CD59" s="585">
        <v>0</v>
      </c>
      <c r="CE59" s="620">
        <v>0</v>
      </c>
      <c r="CF59" s="517">
        <f>IF(CE59&lt;2700,CE59*0.0097,IF(CE59&lt;3200,CE59*0.01095,IF(CE59&lt;3700,CE59*0.0122,IF(CE59&gt;3699,CE59*0.01345,""))))</f>
        <v>0</v>
      </c>
      <c r="CG59" s="517">
        <v>18</v>
      </c>
      <c r="CH59" s="579">
        <v>0</v>
      </c>
      <c r="CI59" s="517">
        <f t="shared" si="78"/>
        <v>0</v>
      </c>
      <c r="CJ59" s="577">
        <v>18</v>
      </c>
      <c r="CK59" s="579">
        <v>0</v>
      </c>
      <c r="CL59" s="517">
        <f t="shared" si="79"/>
        <v>0</v>
      </c>
      <c r="CM59" s="577">
        <v>18</v>
      </c>
      <c r="CN59" s="579">
        <v>0</v>
      </c>
      <c r="CO59" s="517">
        <f t="shared" si="80"/>
        <v>0</v>
      </c>
      <c r="CP59" s="577">
        <v>18</v>
      </c>
      <c r="CQ59" s="579">
        <v>0</v>
      </c>
      <c r="CR59" s="585">
        <f>IF(CQ59&lt;2700,CQ59*0.0097,IF(CQ59&lt;3200,CQ59*0.01095,IF(CQ59&lt;3700,CQ59*0.0122,IF(CQ59&gt;3699,CQ59*0.01345,""))))</f>
        <v>0</v>
      </c>
      <c r="CS59" s="660"/>
      <c r="CT59" s="551">
        <f t="shared" si="72"/>
        <v>3482.0502512562812</v>
      </c>
      <c r="CU59" s="552">
        <f t="shared" si="72"/>
        <v>33.775887437185929</v>
      </c>
      <c r="CV59" s="553">
        <f t="shared" si="73"/>
        <v>162</v>
      </c>
      <c r="CW59" s="587"/>
      <c r="CX59" s="554">
        <f t="shared" si="74"/>
        <v>195.77588743718593</v>
      </c>
      <c r="CY59" s="555">
        <f t="shared" si="75"/>
        <v>17838.633165829146</v>
      </c>
      <c r="CZ59" s="556">
        <f t="shared" si="75"/>
        <v>173.04776683417086</v>
      </c>
      <c r="DA59" s="557">
        <f t="shared" si="75"/>
        <v>272</v>
      </c>
      <c r="DB59" s="558">
        <f t="shared" si="76"/>
        <v>445.04776683417083</v>
      </c>
      <c r="DC59" s="192" t="s">
        <v>633</v>
      </c>
      <c r="DD59" s="1075"/>
    </row>
    <row r="60" spans="1:148" ht="15.75" customHeight="1" x14ac:dyDescent="0.25">
      <c r="A60" s="721">
        <f t="shared" si="77"/>
        <v>48</v>
      </c>
      <c r="B60" s="754" t="s">
        <v>58</v>
      </c>
      <c r="C60" s="750" t="s">
        <v>627</v>
      </c>
      <c r="D60" s="751" t="s">
        <v>634</v>
      </c>
      <c r="E60" s="756" t="s">
        <v>635</v>
      </c>
      <c r="F60" s="579">
        <v>3461.7889447236184</v>
      </c>
      <c r="G60" s="517">
        <f>IF(F60&lt;2700,F60*0.009,IF(F60&lt;3200,F60*0.0101,IF(F60&lt;3700,F60*0.01135,IF(F60&gt;3699,F60*0.0126,""))))</f>
        <v>39.291304522613075</v>
      </c>
      <c r="H60" s="517"/>
      <c r="I60" s="579">
        <v>3686.1105527638197</v>
      </c>
      <c r="J60" s="517">
        <f>IF(I60&lt;2700,I60*0.009,IF(I60&lt;3200,I60*0.0101,IF(I60&lt;3700,I60*0.01135,IF(I60&gt;3699,I60*0.0126,""))))</f>
        <v>41.837354773869357</v>
      </c>
      <c r="K60" s="517"/>
      <c r="L60" s="579">
        <v>4135.718592964824</v>
      </c>
      <c r="M60" s="517">
        <f>IF(L60&lt;2700,L60*0.009,IF(L60&lt;3200,L60*0.0101,IF(L60&lt;3700,L60*0.01135,IF(L60&gt;3699,L60*0.0126,""))))</f>
        <v>52.11005427135678</v>
      </c>
      <c r="N60" s="517"/>
      <c r="O60" s="620"/>
      <c r="P60" s="517">
        <f>IF(O60&lt;2700,O60*0.0101,IF(O60&lt;3200,O60*0.01135,IF(O60&lt;3700,O60*0.0126,IF(O60&gt;3699,O60*0.01385,""))))</f>
        <v>0</v>
      </c>
      <c r="Q60" s="517"/>
      <c r="R60" s="579">
        <v>5291.58</v>
      </c>
      <c r="S60" s="517">
        <f>IF(R60&lt;2700,R60*0.009,IF(R60&lt;3200,R60*0.0101,IF(R60&lt;3700,R60*0.01135,IF(R60&gt;3699,R60*0.0126,""))))</f>
        <v>66.673907999999997</v>
      </c>
      <c r="T60" s="517"/>
      <c r="U60" s="579">
        <v>3502.793969849246</v>
      </c>
      <c r="V60" s="517">
        <f>IF(U60&lt;2700,U60*0.009,IF(U60&lt;3200,U60*0.0101,IF(U60&lt;3700,U60*0.01135,IF(U60&gt;3699,U60*0.0126,""))))</f>
        <v>39.756711557788947</v>
      </c>
      <c r="W60" s="517"/>
      <c r="X60" s="620">
        <v>2782.5527638190952</v>
      </c>
      <c r="Y60" s="517">
        <f>IF(X60&lt;2700,X60*0.009,IF(X60&lt;3200,X60*0.0101,IF(X60&lt;3700,X60*0.01135,IF(X60&gt;3699,X60*0.0126,""))))</f>
        <v>28.103782914572861</v>
      </c>
      <c r="Z60" s="517"/>
      <c r="AA60" s="620">
        <v>2426.0502512562816</v>
      </c>
      <c r="AB60" s="517">
        <f>IF(AA60&lt;2700,AA60*0.009,IF(AA60&lt;3200,AA60*0.0101,IF(AA60&lt;3700,AA60*0.01135,IF(AA60&gt;3699,AA60*0.0126,""))))</f>
        <v>21.834452261306534</v>
      </c>
      <c r="AC60" s="517"/>
      <c r="AD60" s="579">
        <v>6690.572864321608</v>
      </c>
      <c r="AE60" s="517">
        <f>IF(AD60&lt;2700,AD60*0.009,IF(AD60&lt;3200,AD60*0.0101,IF(AD60&lt;3700,AD60*0.01135,IF(AD60&gt;3699,AD60*0.0126,""))))</f>
        <v>84.301218090452267</v>
      </c>
      <c r="AF60" s="517"/>
      <c r="AG60" s="757">
        <v>0</v>
      </c>
      <c r="AH60" s="517">
        <f>IF(AG60&lt;2700,AG60*0.0101,IF(AG60&lt;3200,AG60*0.01135,IF(AG60&lt;3700,AG60*0.0126,IF(AG60&gt;3699,AG60*0.01385,""))))</f>
        <v>0</v>
      </c>
      <c r="AI60" s="517"/>
      <c r="AJ60" s="579">
        <v>4213.3869346733663</v>
      </c>
      <c r="AK60" s="517">
        <f>IF(AJ60&lt;2700,AJ60*0.009,IF(AJ60&lt;3200,AJ60*0.0101,IF(AJ60&lt;3700,AJ60*0.01135,IF(AJ60&gt;3699,AJ60*0.0126,""))))</f>
        <v>53.088675376884417</v>
      </c>
      <c r="AL60" s="517"/>
      <c r="AM60" s="579">
        <v>0</v>
      </c>
      <c r="AN60" s="517">
        <f>IF(AM60&lt;2700,AM60*0.0101,IF(AM60&lt;3200,AM60*0.01135,IF(AM60&lt;3700,AM60*0.0126,IF(AM60&gt;3699,AM60*0.01385,""))))</f>
        <v>0</v>
      </c>
      <c r="AO60" s="517"/>
      <c r="AP60" s="620">
        <v>0</v>
      </c>
      <c r="AQ60" s="517">
        <f>IF(AP60&lt;2700,AP60*0.0101,IF(AP60&lt;3200,AP60*0.01135,IF(AP60&lt;3700,AP60*0.0126,IF(AP60&gt;3699,AP60*0.01385,""))))</f>
        <v>0</v>
      </c>
      <c r="AR60" s="517">
        <v>12</v>
      </c>
      <c r="AS60" s="579">
        <v>4248.6030150753777</v>
      </c>
      <c r="AT60" s="517">
        <f>IF(AS60&lt;2700,AS60*0.0075,IF(AS60&lt;3200,AS60*0.009,IF(AS60&lt;3700,AS60*0.0101,IF(AS60&gt;3699,AS60*0.01135,""))))</f>
        <v>48.221644221105542</v>
      </c>
      <c r="AU60" s="517"/>
      <c r="AV60" s="620"/>
      <c r="AW60" s="517">
        <f>IF(AV60&lt;2700,AV60*0.0101,IF(AV60&lt;3200,AV60*0.01135,IF(AV60&lt;3700,AV60*0.0126,IF(AV60&gt;3699,AV60*0.01385,""))))</f>
        <v>0</v>
      </c>
      <c r="AX60" s="517"/>
      <c r="AY60" s="620"/>
      <c r="AZ60" s="517">
        <f>IF(AY60&lt;2700,AY60*0.0101,IF(AY60&lt;3200,AY60*0.01135,IF(AY60&lt;3700,AY60*0.0126,IF(AY60&gt;3699,AY60*0.01385,""))))</f>
        <v>0</v>
      </c>
      <c r="BA60" s="517"/>
      <c r="BB60" s="463">
        <f t="shared" si="70"/>
        <v>40439.157889447233</v>
      </c>
      <c r="BC60" s="464">
        <f t="shared" si="70"/>
        <v>475.2191059899497</v>
      </c>
      <c r="BD60" s="465">
        <f t="shared" si="70"/>
        <v>12</v>
      </c>
      <c r="BE60" s="466"/>
      <c r="BF60" s="467">
        <f t="shared" si="71"/>
        <v>487.2191059899497</v>
      </c>
      <c r="BG60" s="620">
        <v>3365.3065326633168</v>
      </c>
      <c r="BH60" s="517">
        <f>IF(BG60&lt;2700,BG60*0.0075,IF(BG60&lt;3200,BG60*0.009,IF(BG60&lt;3700,BG60*0.0101,IF(BG60&gt;3699,BG60*0.01135,""))))</f>
        <v>33.989595979899498</v>
      </c>
      <c r="BI60" s="517"/>
      <c r="BJ60" s="620">
        <v>0</v>
      </c>
      <c r="BK60" s="517">
        <f>IF(BJ60&lt;2700,BJ60*0.0101,IF(BJ60&lt;3200,BJ60*0.01135,IF(BJ60&lt;3700,BJ60*0.0126,IF(BJ60&gt;3699,BJ60*0.01385,""))))</f>
        <v>0</v>
      </c>
      <c r="BL60" s="517">
        <v>12</v>
      </c>
      <c r="BM60" s="757">
        <v>0</v>
      </c>
      <c r="BN60" s="517">
        <f>IF(BM60&lt;2700,BM60*0.0101,IF(BM60&lt;3200,BM60*0.01135,IF(BM60&lt;3700,BM60*0.0126,IF(BM60&gt;3699,BM60*0.01385,""))))</f>
        <v>0</v>
      </c>
      <c r="BO60" s="517">
        <v>18</v>
      </c>
      <c r="BP60" s="757">
        <v>0</v>
      </c>
      <c r="BQ60" s="517">
        <f>IF(BP60&lt;2700,BP60*0.0101,IF(BP60&lt;3200,BP60*0.01135,IF(BP60&lt;3700,BP60*0.0126,IF(BP60&gt;3699,BP60*0.01385,""))))</f>
        <v>0</v>
      </c>
      <c r="BR60" s="619">
        <v>18</v>
      </c>
      <c r="BS60" s="757">
        <v>0</v>
      </c>
      <c r="BT60" s="517">
        <f>IF(BS60&lt;2700,BS60*0.0101,IF(BS60&lt;3200,BS60*0.01135,IF(BS60&lt;3700,BS60*0.0126,IF(BS60&gt;3699,BS60*0.01385,""))))</f>
        <v>0</v>
      </c>
      <c r="BU60" s="619">
        <v>18</v>
      </c>
      <c r="BV60" s="757">
        <v>0</v>
      </c>
      <c r="BW60" s="517">
        <f>IF(BV60&lt;2700,BV60*0.0101,IF(BV60&lt;3200,BV60*0.01135,IF(BV60&lt;3700,BV60*0.0126,IF(BV60&gt;3699,BV60*0.01385,""))))</f>
        <v>0</v>
      </c>
      <c r="BX60" s="619">
        <v>18</v>
      </c>
      <c r="BY60" s="757">
        <v>0</v>
      </c>
      <c r="BZ60" s="517">
        <f>IF(BY60&lt;2700,BY60*0.0101,IF(BY60&lt;3200,BY60*0.01135,IF(BY60&lt;3700,BY60*0.0126,IF(BY60&gt;3699,BY60*0.01385,""))))</f>
        <v>0</v>
      </c>
      <c r="CA60" s="517">
        <v>18</v>
      </c>
      <c r="CB60" s="757">
        <v>0</v>
      </c>
      <c r="CC60" s="517">
        <f>IF(CB60&lt;2700,CB60*0.0101,IF(CB60&lt;3200,CB60*0.01135,IF(CB60&lt;3700,CB60*0.0126,IF(CB60&gt;3699,CB60*0.01385,""))))</f>
        <v>0</v>
      </c>
      <c r="CD60" s="671">
        <v>10</v>
      </c>
      <c r="CE60" s="579">
        <v>0</v>
      </c>
      <c r="CF60" s="517">
        <v>0</v>
      </c>
      <c r="CG60" s="671"/>
      <c r="CH60" s="579">
        <v>0</v>
      </c>
      <c r="CI60" s="517">
        <f t="shared" si="78"/>
        <v>0</v>
      </c>
      <c r="CJ60" s="577">
        <v>18</v>
      </c>
      <c r="CK60" s="579">
        <v>0</v>
      </c>
      <c r="CL60" s="517">
        <f t="shared" si="79"/>
        <v>0</v>
      </c>
      <c r="CM60" s="577">
        <v>18</v>
      </c>
      <c r="CN60" s="579">
        <v>0</v>
      </c>
      <c r="CO60" s="517">
        <f t="shared" si="80"/>
        <v>0</v>
      </c>
      <c r="CP60" s="577">
        <v>18</v>
      </c>
      <c r="CQ60" s="579">
        <v>0</v>
      </c>
      <c r="CR60" s="517">
        <f>IF(CQ60&lt;2700,CQ60*0.0101,IF(CQ60&lt;3200,CQ60*0.01135,IF(CQ60&lt;3700,CQ60*0.0126,IF(CQ60&gt;3699,CQ60*0.01385,""))))</f>
        <v>0</v>
      </c>
      <c r="CS60" s="577">
        <v>18</v>
      </c>
      <c r="CT60" s="551">
        <f t="shared" si="72"/>
        <v>3365.3065326633168</v>
      </c>
      <c r="CU60" s="552">
        <f t="shared" si="72"/>
        <v>33.989595979899498</v>
      </c>
      <c r="CV60" s="553">
        <f t="shared" si="73"/>
        <v>184</v>
      </c>
      <c r="CW60" s="587"/>
      <c r="CX60" s="554">
        <f t="shared" si="74"/>
        <v>217.98959597989949</v>
      </c>
      <c r="CY60" s="555">
        <f t="shared" si="75"/>
        <v>43804.464422110548</v>
      </c>
      <c r="CZ60" s="556">
        <f t="shared" si="75"/>
        <v>509.20870196984919</v>
      </c>
      <c r="DA60" s="557">
        <f t="shared" si="75"/>
        <v>196</v>
      </c>
      <c r="DB60" s="558">
        <f t="shared" si="76"/>
        <v>705.20870196984924</v>
      </c>
      <c r="DD60" s="1075"/>
    </row>
    <row r="61" spans="1:148" ht="15.75" customHeight="1" x14ac:dyDescent="0.25">
      <c r="A61" s="721">
        <f t="shared" si="77"/>
        <v>49</v>
      </c>
      <c r="B61" s="747" t="s">
        <v>60</v>
      </c>
      <c r="C61" s="748" t="s">
        <v>637</v>
      </c>
      <c r="D61" s="751" t="s">
        <v>638</v>
      </c>
      <c r="E61" s="752"/>
      <c r="F61" s="757">
        <v>0</v>
      </c>
      <c r="G61" s="517">
        <f>IF(F61&lt;2700,F61*0.0101,IF(F61&lt;3200,F61*0.01135,IF(F61&lt;3700,F61*0.0126,IF(F61&gt;3699,F61*0.01385,""))))</f>
        <v>0</v>
      </c>
      <c r="H61" s="671">
        <v>20</v>
      </c>
      <c r="I61" s="757">
        <v>2637.8291457286432</v>
      </c>
      <c r="J61" s="517">
        <f>IF(I61&lt;2700,I61*0.009,IF(I61&lt;3200,I61*0.0101,IF(I61&lt;3700,I61*0.01135,IF(I61&gt;3699,I61*0.0126,""))))</f>
        <v>23.740462311557788</v>
      </c>
      <c r="K61" s="580">
        <f>25-J61</f>
        <v>1.2595376884422116</v>
      </c>
      <c r="L61" s="757">
        <v>4248.1206030150761</v>
      </c>
      <c r="M61" s="517">
        <f>IF(L61&lt;2700,L61*0.009,IF(L61&lt;3200,L61*0.0101,IF(L61&lt;3700,L61*0.01135,IF(L61&gt;3699,L61*0.0126,""))))</f>
        <v>53.526319597989961</v>
      </c>
      <c r="N61" s="671"/>
      <c r="O61" s="758"/>
      <c r="P61" s="517">
        <f>IF(O61&lt;2700,O61*0.0101,IF(O61&lt;3200,O61*0.01135,IF(O61&lt;3700,O61*0.0126,IF(O61&gt;3699,O61*0.01385,""))))</f>
        <v>0</v>
      </c>
      <c r="Q61" s="671"/>
      <c r="R61" s="757">
        <v>4727.6381909547736</v>
      </c>
      <c r="S61" s="517">
        <f>IF(R61&lt;2700,R61*0.009,IF(R61&lt;3200,R61*0.0101,IF(R61&lt;3700,R61*0.01135,IF(R61&gt;3699,R61*0.0126,""))))</f>
        <v>59.568241206030144</v>
      </c>
      <c r="T61" s="671"/>
      <c r="U61" s="757">
        <v>4166.1105527638192</v>
      </c>
      <c r="V61" s="517">
        <f>IF(U61&lt;2700,U61*0.009,IF(U61&lt;3200,U61*0.0101,IF(U61&lt;3700,U61*0.01135,IF(U61&gt;3699,U61*0.0126,""))))</f>
        <v>52.492992964824126</v>
      </c>
      <c r="W61" s="671"/>
      <c r="X61" s="758">
        <v>2938.854271356784</v>
      </c>
      <c r="Y61" s="517">
        <f>IF(X61&lt;2700,X61*0.009,IF(X61&lt;3200,X61*0.0101,IF(X61&lt;3700,X61*0.01135,IF(X61&gt;3699,X61*0.0126,""))))</f>
        <v>29.682428140703518</v>
      </c>
      <c r="Z61" s="671"/>
      <c r="AA61" s="758">
        <v>2958.633165829146</v>
      </c>
      <c r="AB61" s="517">
        <f>IF(AA61&lt;2700,AA61*0.009,IF(AA61&lt;3200,AA61*0.0101,IF(AA61&lt;3700,AA61*0.01135,IF(AA61&gt;3699,AA61*0.0126,""))))</f>
        <v>29.882194974874373</v>
      </c>
      <c r="AC61" s="671"/>
      <c r="AD61" s="757">
        <v>7528.0402010050257</v>
      </c>
      <c r="AE61" s="517">
        <f>IF(AD61&lt;2700,AD61*0.009,IF(AD61&lt;3200,AD61*0.0101,IF(AD61&lt;3700,AD61*0.01135,IF(AD61&gt;3699,AD61*0.0126,""))))</f>
        <v>94.853306532663325</v>
      </c>
      <c r="AF61" s="671"/>
      <c r="AG61" s="757">
        <v>0</v>
      </c>
      <c r="AH61" s="517">
        <f>IF(AG61&lt;2700,AG61*0.0101,IF(AG61&lt;3200,AG61*0.01135,IF(AG61&lt;3700,AG61*0.0126,IF(AG61&gt;3699,AG61*0.01385,""))))</f>
        <v>0</v>
      </c>
      <c r="AI61" s="671"/>
      <c r="AJ61" s="757">
        <v>4030.0703517587935</v>
      </c>
      <c r="AK61" s="517">
        <f>IF(AJ61&lt;2700,AJ61*0.009,IF(AJ61&lt;3200,AJ61*0.0101,IF(AJ61&lt;3700,AJ61*0.01135,IF(AJ61&gt;3699,AJ61*0.0126,""))))</f>
        <v>50.778886432160796</v>
      </c>
      <c r="AL61" s="671"/>
      <c r="AM61" s="757">
        <v>3839.0351758793968</v>
      </c>
      <c r="AN61" s="517">
        <f>IF(AM61&lt;2700,AM61*0.009,IF(AM61&lt;3200,AM61*0.0101,IF(AM61&lt;3700,AM61*0.01135,IF(AM61&gt;3699,AM61*0.0126,""))))</f>
        <v>48.3718432160804</v>
      </c>
      <c r="AO61" s="671"/>
      <c r="AP61" s="758">
        <v>0</v>
      </c>
      <c r="AQ61" s="517">
        <f>IF(AP61&lt;2700,AP61*0.0101,IF(AP61&lt;3200,AP61*0.01135,IF(AP61&lt;3700,AP61*0.0126,IF(AP61&gt;3699,AP61*0.01385,""))))</f>
        <v>0</v>
      </c>
      <c r="AR61" s="671">
        <v>12</v>
      </c>
      <c r="AS61" s="757">
        <v>4484.9849246231161</v>
      </c>
      <c r="AT61" s="517">
        <f>IF(AS61&lt;2700,AS61*0.0075,IF(AS61&lt;3200,AS61*0.009,IF(AS61&lt;3700,AS61*0.0101,IF(AS61&gt;3699,AS61*0.01135,""))))</f>
        <v>50.904578894472372</v>
      </c>
      <c r="AU61" s="671"/>
      <c r="AV61" s="758"/>
      <c r="AW61" s="517">
        <f>IF(AV61&lt;2700,AV61*0.0101,IF(AV61&lt;3200,AV61*0.01135,IF(AV61&lt;3700,AV61*0.0126,IF(AV61&gt;3699,AV61*0.01385,""))))</f>
        <v>0</v>
      </c>
      <c r="AX61" s="671"/>
      <c r="AY61" s="758"/>
      <c r="AZ61" s="517">
        <f>IF(AY61&lt;2700,AY61*0.0101,IF(AY61&lt;3200,AY61*0.01135,IF(AY61&lt;3700,AY61*0.0126,IF(AY61&gt;3699,AY61*0.01385,""))))</f>
        <v>0</v>
      </c>
      <c r="BA61" s="671"/>
      <c r="BB61" s="735">
        <f t="shared" si="70"/>
        <v>41559.316582914573</v>
      </c>
      <c r="BC61" s="736">
        <f t="shared" si="70"/>
        <v>493.80125427135675</v>
      </c>
      <c r="BD61" s="737">
        <f t="shared" si="70"/>
        <v>33.259537688442208</v>
      </c>
      <c r="BE61" s="759"/>
      <c r="BF61" s="760">
        <f t="shared" si="71"/>
        <v>527.06079195979896</v>
      </c>
      <c r="BG61" s="758">
        <v>3574.1909547738692</v>
      </c>
      <c r="BH61" s="517">
        <f>IF(BG61&lt;2700,BG61*0.0075,IF(BG61&lt;3200,BG61*0.009,IF(BG61&lt;3700,BG61*0.0101,IF(BG61&gt;3699,BG61*0.01135,""))))</f>
        <v>36.099328643216076</v>
      </c>
      <c r="BI61" s="671"/>
      <c r="BJ61" s="758">
        <v>0</v>
      </c>
      <c r="BK61" s="517">
        <f>IF(BJ61&lt;2700,BJ61*0.0101,IF(BJ61&lt;3200,BJ61*0.01135,IF(BJ61&lt;3700,BJ61*0.0126,IF(BJ61&gt;3699,BJ61*0.01385,""))))</f>
        <v>0</v>
      </c>
      <c r="BL61" s="671">
        <v>12</v>
      </c>
      <c r="BM61" s="757">
        <v>0</v>
      </c>
      <c r="BN61" s="517">
        <f>IF(BM61&lt;2700,BM61*0.0101,IF(BM61&lt;3200,BM61*0.01135,IF(BM61&lt;3700,BM61*0.0126,IF(BM61&gt;3699,BM61*0.01385,""))))</f>
        <v>0</v>
      </c>
      <c r="BO61" s="517">
        <v>18</v>
      </c>
      <c r="BP61" s="757">
        <v>0</v>
      </c>
      <c r="BQ61" s="517">
        <f>IF(BP61&lt;2700,BP61*0.0101,IF(BP61&lt;3200,BP61*0.01135,IF(BP61&lt;3700,BP61*0.0126,IF(BP61&gt;3699,BP61*0.01385,""))))</f>
        <v>0</v>
      </c>
      <c r="BR61" s="619">
        <v>18</v>
      </c>
      <c r="BS61" s="757">
        <v>0</v>
      </c>
      <c r="BT61" s="517">
        <f>IF(BS61&lt;2700,BS61*0.0101,IF(BS61&lt;3200,BS61*0.01135,IF(BS61&lt;3700,BS61*0.0126,IF(BS61&gt;3699,BS61*0.01385,""))))</f>
        <v>0</v>
      </c>
      <c r="BU61" s="619">
        <v>18</v>
      </c>
      <c r="BV61" s="757">
        <v>0</v>
      </c>
      <c r="BW61" s="517">
        <f>IF(BV61&lt;2700,BV61*0.0101,IF(BV61&lt;3200,BV61*0.01135,IF(BV61&lt;3700,BV61*0.0126,IF(BV61&gt;3699,BV61*0.01385,""))))</f>
        <v>0</v>
      </c>
      <c r="BX61" s="619">
        <v>18</v>
      </c>
      <c r="BY61" s="757">
        <v>0</v>
      </c>
      <c r="BZ61" s="517">
        <f>IF(BY61&lt;2700,BY61*0.0101,IF(BY61&lt;3200,BY61*0.01135,IF(BY61&lt;3700,BY61*0.0126,IF(BY61&gt;3699,BY61*0.01385,""))))</f>
        <v>0</v>
      </c>
      <c r="CA61" s="517">
        <v>18</v>
      </c>
      <c r="CB61" s="758">
        <v>0</v>
      </c>
      <c r="CC61" s="517">
        <f>IF(CB61&lt;2700,CB61*0.0101,IF(CB61&lt;3200,CB61*0.01135,IF(CB61&lt;3700,CB61*0.0126,IF(CB61&gt;3699,CB61*0.01385,""))))</f>
        <v>0</v>
      </c>
      <c r="CD61" s="671">
        <v>0</v>
      </c>
      <c r="CE61" s="757">
        <v>0</v>
      </c>
      <c r="CF61" s="517">
        <f>IF(CE61&lt;2700,CE61*0.0101,IF(CE61&lt;3200,CE61*0.01135,IF(CE61&lt;3700,CE61*0.0126,IF(CE61&gt;3699,CE61*0.01385,""))))</f>
        <v>0</v>
      </c>
      <c r="CG61" s="517">
        <v>18</v>
      </c>
      <c r="CH61" s="579">
        <v>0</v>
      </c>
      <c r="CI61" s="517">
        <f t="shared" si="78"/>
        <v>0</v>
      </c>
      <c r="CJ61" s="577">
        <v>18</v>
      </c>
      <c r="CK61" s="579">
        <v>0</v>
      </c>
      <c r="CL61" s="517">
        <f t="shared" si="79"/>
        <v>0</v>
      </c>
      <c r="CM61" s="577">
        <v>18</v>
      </c>
      <c r="CN61" s="579">
        <v>0</v>
      </c>
      <c r="CO61" s="517">
        <f>IF(CN61&lt;2700,CN61*0.0101,IF(CN61&lt;3200,CN61*0.01135,IF(CN61&lt;3700,CN61*0.0126,IF(CN61&gt;3699,CN61*0.01385,""))))</f>
        <v>0</v>
      </c>
      <c r="CP61" s="671">
        <v>5</v>
      </c>
      <c r="CQ61" s="579">
        <v>0</v>
      </c>
      <c r="CR61" s="517">
        <f>IF(CQ61&lt;2700,CQ61*0.0101,IF(CQ61&lt;3200,CQ61*0.01135,IF(CQ61&lt;3700,CQ61*0.0126,IF(CQ61&gt;3699,CQ61*0.01385,""))))</f>
        <v>0</v>
      </c>
      <c r="CS61" s="577">
        <v>18</v>
      </c>
      <c r="CT61" s="551">
        <f t="shared" si="72"/>
        <v>3574.1909547738692</v>
      </c>
      <c r="CU61" s="552">
        <f t="shared" si="72"/>
        <v>36.099328643216076</v>
      </c>
      <c r="CV61" s="553">
        <f t="shared" si="73"/>
        <v>179</v>
      </c>
      <c r="CW61" s="587"/>
      <c r="CX61" s="554">
        <f t="shared" si="74"/>
        <v>215.09932864321607</v>
      </c>
      <c r="CY61" s="555">
        <f t="shared" si="75"/>
        <v>45133.507537688442</v>
      </c>
      <c r="CZ61" s="556">
        <f t="shared" si="75"/>
        <v>529.90058291457285</v>
      </c>
      <c r="DA61" s="557">
        <f t="shared" si="75"/>
        <v>212.25953768844221</v>
      </c>
      <c r="DB61" s="558">
        <f t="shared" si="76"/>
        <v>742.160120603015</v>
      </c>
    </row>
    <row r="62" spans="1:148" ht="15.75" customHeight="1" x14ac:dyDescent="0.25">
      <c r="A62" s="721">
        <f t="shared" si="77"/>
        <v>50</v>
      </c>
      <c r="B62" s="761" t="s">
        <v>54</v>
      </c>
      <c r="C62" s="750" t="s">
        <v>637</v>
      </c>
      <c r="D62" s="724" t="s">
        <v>639</v>
      </c>
      <c r="E62" s="755" t="s">
        <v>640</v>
      </c>
      <c r="F62" s="753">
        <v>0</v>
      </c>
      <c r="G62" s="660">
        <f>IF(F62&lt;2700,F62*0.0105,IF(F62&lt;3200,F62*0.01175,IF(F62&lt;3700,F62*0.013,IF(F62&gt;3699,F62*0.01425,""))))</f>
        <v>0</v>
      </c>
      <c r="H62" s="580">
        <v>20</v>
      </c>
      <c r="I62" s="753">
        <v>2637.8291457286432</v>
      </c>
      <c r="J62" s="598">
        <f>IF(I62&lt;2700,I62*0.0085,IF(I62&lt;3200,I62*0.01,IF(I62&lt;3700,I62*0.0105,IF(I62&gt;3699,I62*0.01175,""))))</f>
        <v>22.421547738693469</v>
      </c>
      <c r="K62" s="580">
        <f>25-J62</f>
        <v>2.5784522613065306</v>
      </c>
      <c r="L62" s="753">
        <v>4248.1206030150761</v>
      </c>
      <c r="M62" s="598">
        <f>IF(L62&lt;2700,L62*0.0085,IF(L62&lt;3200,L62*0.01,IF(L62&lt;3700,L62*0.0105,IF(L62&gt;3699,L62*0.01175,""))))</f>
        <v>49.915417085427144</v>
      </c>
      <c r="N62" s="580"/>
      <c r="O62" s="762"/>
      <c r="P62" s="660">
        <f>IF(O62&lt;2700,O62*0.0105,IF(O62&lt;3200,O62*0.01175,IF(O62&lt;3700,O62*0.013,IF(O62&gt;3699,O62*0.01425,""))))</f>
        <v>0</v>
      </c>
      <c r="Q62" s="580"/>
      <c r="R62" s="753">
        <v>4727.6381909547736</v>
      </c>
      <c r="S62" s="598">
        <f t="shared" ref="S62:S63" si="83">IF(R62&lt;2700,R62*0.0085,IF(R62&lt;3200,R62*0.01,IF(R62&lt;3700,R62*0.0105,IF(R62&gt;3699,R62*0.01175,""))))</f>
        <v>55.549748743718588</v>
      </c>
      <c r="T62" s="580"/>
      <c r="U62" s="753">
        <v>4166.1105527638192</v>
      </c>
      <c r="V62" s="598">
        <f t="shared" ref="V62:V63" si="84">IF(U62&lt;2700,U62*0.0085,IF(U62&lt;3200,U62*0.01,IF(U62&lt;3700,U62*0.0105,IF(U62&gt;3699,U62*0.01175,""))))</f>
        <v>48.951798994974872</v>
      </c>
      <c r="W62" s="580"/>
      <c r="X62" s="762">
        <v>2938.854271356784</v>
      </c>
      <c r="Y62" s="598">
        <f t="shared" ref="Y62:Y63" si="85">IF(X62&lt;2700,X62*0.0085,IF(X62&lt;3200,X62*0.01,IF(X62&lt;3700,X62*0.0105,IF(X62&gt;3699,X62*0.01175,""))))</f>
        <v>29.388542713567841</v>
      </c>
      <c r="Z62" s="580"/>
      <c r="AA62" s="762">
        <v>2958.633165829146</v>
      </c>
      <c r="AB62" s="598">
        <f t="shared" ref="AB62:AB63" si="86">IF(AA62&lt;2700,AA62*0.0085,IF(AA62&lt;3200,AA62*0.01,IF(AA62&lt;3700,AA62*0.0105,IF(AA62&gt;3699,AA62*0.01175,""))))</f>
        <v>29.58633165829146</v>
      </c>
      <c r="AC62" s="580"/>
      <c r="AD62" s="753">
        <v>7528.0402010050257</v>
      </c>
      <c r="AE62" s="598">
        <f t="shared" ref="AE62:AE63" si="87">IF(AD62&lt;2700,AD62*0.0085,IF(AD62&lt;3200,AD62*0.01,IF(AD62&lt;3700,AD62*0.0105,IF(AD62&gt;3699,AD62*0.01175,""))))</f>
        <v>88.454472361809053</v>
      </c>
      <c r="AF62" s="580"/>
      <c r="AG62" s="753">
        <v>0</v>
      </c>
      <c r="AH62" s="660">
        <f>IF(AG62&lt;2700,AG62*0.0105,IF(AG62&lt;3200,AG62*0.01175,IF(AG62&lt;3700,AG62*0.013,IF(AG62&gt;3699,AG62*0.01425,""))))</f>
        <v>0</v>
      </c>
      <c r="AI62" s="580"/>
      <c r="AJ62" s="753">
        <v>4030.0703517587935</v>
      </c>
      <c r="AK62" s="598">
        <f t="shared" ref="AK62:AK63" si="88">IF(AJ62&lt;2700,AJ62*0.0085,IF(AJ62&lt;3200,AJ62*0.01,IF(AJ62&lt;3700,AJ62*0.0105,IF(AJ62&gt;3699,AJ62*0.01175,""))))</f>
        <v>47.353326633165821</v>
      </c>
      <c r="AL62" s="580"/>
      <c r="AM62" s="753">
        <v>3839.0351758793968</v>
      </c>
      <c r="AN62" s="598">
        <f t="shared" ref="AN62:AN63" si="89">IF(AM62&lt;2700,AM62*0.0085,IF(AM62&lt;3200,AM62*0.01,IF(AM62&lt;3700,AM62*0.0105,IF(AM62&gt;3699,AM62*0.01175,""))))</f>
        <v>45.108663316582913</v>
      </c>
      <c r="AO62" s="580"/>
      <c r="AP62" s="762">
        <v>0</v>
      </c>
      <c r="AQ62" s="660">
        <f>IF(AP62&lt;2700,AP62*0.0105,IF(AP62&lt;3200,AP62*0.01175,IF(AP62&lt;3700,AP62*0.013,IF(AP62&gt;3699,AP62*0.01425,""))))</f>
        <v>0</v>
      </c>
      <c r="AR62" s="580">
        <v>12</v>
      </c>
      <c r="AS62" s="753">
        <v>4484.9849246231161</v>
      </c>
      <c r="AT62" s="598">
        <f t="shared" ref="AT62:AT63" si="90">IF(AS62&lt;2700,AS62*0.0085,IF(AS62&lt;3200,AS62*0.01,IF(AS62&lt;3700,AS62*0.0105,IF(AS62&gt;3699,AS62*0.01175,""))))</f>
        <v>52.698572864321612</v>
      </c>
      <c r="AU62" s="580"/>
      <c r="AV62" s="762"/>
      <c r="AW62" s="660">
        <f>IF(AV62&lt;2700,AV62*0.0105,IF(AV62&lt;3200,AV62*0.01175,IF(AV62&lt;3700,AV62*0.013,IF(AV62&gt;3699,AV62*0.01425,""))))</f>
        <v>0</v>
      </c>
      <c r="AX62" s="580"/>
      <c r="AY62" s="762"/>
      <c r="AZ62" s="660">
        <f>IF(AY62&lt;2700,AY62*0.0105,IF(AY62&lt;3200,AY62*0.01175,IF(AY62&lt;3700,AY62*0.013,IF(AY62&gt;3699,AY62*0.01425,""))))</f>
        <v>0</v>
      </c>
      <c r="BA62" s="580"/>
      <c r="BB62" s="463">
        <f t="shared" si="70"/>
        <v>41559.316582914573</v>
      </c>
      <c r="BC62" s="464">
        <f t="shared" si="70"/>
        <v>469.42842211055273</v>
      </c>
      <c r="BD62" s="465">
        <f t="shared" si="70"/>
        <v>34.578452261306531</v>
      </c>
      <c r="BE62" s="466"/>
      <c r="BF62" s="467">
        <f t="shared" si="71"/>
        <v>504.00687437185928</v>
      </c>
      <c r="BG62" s="762">
        <v>3574.1909547738692</v>
      </c>
      <c r="BH62" s="598">
        <f>IF(BG62&lt;2700,BG62*0.0085,IF(BG62&lt;3200,BG62*0.01,IF(BG62&lt;3700,BG62*0.0105,IF(BG62&gt;3699,BG62*0.01175,""))))</f>
        <v>37.529005025125628</v>
      </c>
      <c r="BI62" s="580"/>
      <c r="BJ62" s="762">
        <v>0</v>
      </c>
      <c r="BK62" s="660">
        <f>IF(BJ62&lt;2700,BJ62*0.0105,IF(BJ62&lt;3200,BJ62*0.01175,IF(BJ62&lt;3700,BJ62*0.013,IF(BJ62&gt;3699,BJ62*0.01425,""))))</f>
        <v>0</v>
      </c>
      <c r="BL62" s="580">
        <v>0</v>
      </c>
      <c r="BM62" s="753">
        <v>0</v>
      </c>
      <c r="BN62" s="660">
        <f>IF(BM62&lt;2700,BM62*0.0105,IF(BM62&lt;3200,BM62*0.01175,IF(BM62&lt;3700,BM62*0.013,IF(BM62&gt;3699,BM62*0.01425,""))))</f>
        <v>0</v>
      </c>
      <c r="BO62" s="517">
        <v>18</v>
      </c>
      <c r="BP62" s="753">
        <v>0</v>
      </c>
      <c r="BQ62" s="660">
        <f>IF(BP62&lt;2700,BP62*0.0105,IF(BP62&lt;3200,BP62*0.01175,IF(BP62&lt;3700,BP62*0.013,IF(BP62&gt;3699,BP62*0.01425,""))))</f>
        <v>0</v>
      </c>
      <c r="BR62" s="619">
        <v>18</v>
      </c>
      <c r="BS62" s="753">
        <v>0</v>
      </c>
      <c r="BT62" s="660">
        <f>IF(BS62&lt;2700,BS62*0.0105,IF(BS62&lt;3200,BS62*0.01175,IF(BS62&lt;3700,BS62*0.013,IF(BS62&gt;3699,BS62*0.01425,""))))</f>
        <v>0</v>
      </c>
      <c r="BU62" s="619">
        <v>18</v>
      </c>
      <c r="BV62" s="753">
        <v>0</v>
      </c>
      <c r="BW62" s="660">
        <f>IF(BV62&lt;2700,BV62*0.0105,IF(BV62&lt;3200,BV62*0.01175,IF(BV62&lt;3700,BV62*0.013,IF(BV62&gt;3699,BV62*0.01425,""))))</f>
        <v>0</v>
      </c>
      <c r="BX62" s="619">
        <v>18</v>
      </c>
      <c r="BY62" s="753">
        <v>0</v>
      </c>
      <c r="BZ62" s="660">
        <f>IF(BY62&lt;2700,BY62*0.0105,IF(BY62&lt;3200,BY62*0.01175,IF(BY62&lt;3700,BY62*0.013,IF(BY62&gt;3699,BY62*0.01425,""))))</f>
        <v>0</v>
      </c>
      <c r="CA62" s="517">
        <v>18</v>
      </c>
      <c r="CB62" s="762">
        <v>0</v>
      </c>
      <c r="CC62" s="585">
        <f>IF(CB62&lt;2700,CB62*0.0105,IF(CB62&lt;3200,CB62*0.01175,IF(CB62&lt;3700,CB62*0.013,IF(CB62&gt;3699,CB62*0.01425,""))))</f>
        <v>0</v>
      </c>
      <c r="CD62" s="585">
        <v>0</v>
      </c>
      <c r="CE62" s="753">
        <v>0</v>
      </c>
      <c r="CF62" s="660">
        <f>IF(CE62&lt;2700,CE62*0.0105,IF(CE62&lt;3200,CE62*0.01175,IF(CE62&lt;3700,CE62*0.013,IF(CE62&gt;3699,CE62*0.01425,""))))</f>
        <v>0</v>
      </c>
      <c r="CG62" s="517">
        <v>18</v>
      </c>
      <c r="CH62" s="579">
        <v>0</v>
      </c>
      <c r="CI62" s="517">
        <f t="shared" si="78"/>
        <v>0</v>
      </c>
      <c r="CJ62" s="577">
        <v>18</v>
      </c>
      <c r="CK62" s="579">
        <v>0</v>
      </c>
      <c r="CL62" s="517">
        <f t="shared" si="79"/>
        <v>0</v>
      </c>
      <c r="CM62" s="577">
        <v>18</v>
      </c>
      <c r="CN62" s="579">
        <v>0</v>
      </c>
      <c r="CO62" s="660">
        <f>IF(CN62&lt;2700,CN62*0.0105,IF(CN62&lt;3200,CN62*0.01175,IF(CN62&lt;3700,CN62*0.013,IF(CN62&gt;3699,CN62*0.01425,""))))</f>
        <v>0</v>
      </c>
      <c r="CP62" s="580">
        <v>5</v>
      </c>
      <c r="CQ62" s="579">
        <v>0</v>
      </c>
      <c r="CR62" s="660">
        <f>IF(CQ62&lt;2700,CQ62*0.0105,IF(CQ62&lt;3200,CQ62*0.01175,IF(CQ62&lt;3700,CQ62*0.013,IF(CQ62&gt;3699,CQ62*0.01425,""))))</f>
        <v>0</v>
      </c>
      <c r="CS62" s="577">
        <v>18</v>
      </c>
      <c r="CT62" s="551">
        <f t="shared" si="72"/>
        <v>3574.1909547738692</v>
      </c>
      <c r="CU62" s="552">
        <f t="shared" si="72"/>
        <v>37.529005025125628</v>
      </c>
      <c r="CV62" s="553">
        <f t="shared" si="73"/>
        <v>167</v>
      </c>
      <c r="CW62" s="587"/>
      <c r="CX62" s="554">
        <f t="shared" si="74"/>
        <v>204.52900502512563</v>
      </c>
      <c r="CY62" s="555">
        <f t="shared" si="75"/>
        <v>45133.507537688442</v>
      </c>
      <c r="CZ62" s="556">
        <f t="shared" si="75"/>
        <v>506.95742713567836</v>
      </c>
      <c r="DA62" s="557">
        <f t="shared" si="75"/>
        <v>201.57845226130652</v>
      </c>
      <c r="DB62" s="558">
        <f t="shared" si="76"/>
        <v>708.53587939698491</v>
      </c>
    </row>
    <row r="63" spans="1:148" ht="15.75" customHeight="1" x14ac:dyDescent="0.25">
      <c r="A63" s="721">
        <f t="shared" si="77"/>
        <v>51</v>
      </c>
      <c r="B63" s="754" t="s">
        <v>135</v>
      </c>
      <c r="C63" s="750" t="s">
        <v>637</v>
      </c>
      <c r="D63" s="724"/>
      <c r="E63" s="725"/>
      <c r="F63" s="579">
        <v>0</v>
      </c>
      <c r="G63" s="660">
        <f>IF(F63&lt;2700,F63*0.0105,IF(F63&lt;3200,F63*0.01175,IF(F63&lt;3700,F63*0.013,IF(F63&gt;3699,F63*0.01425,""))))</f>
        <v>0</v>
      </c>
      <c r="H63" s="580">
        <v>20</v>
      </c>
      <c r="I63" s="579">
        <v>0</v>
      </c>
      <c r="J63" s="660">
        <f>IF(I63&lt;2700,I63*0.0105,IF(I63&lt;3200,I63*0.01175,IF(I63&lt;3700,I63*0.013,IF(I63&gt;3699,I63*0.01425,""))))</f>
        <v>0</v>
      </c>
      <c r="K63" s="580">
        <v>20</v>
      </c>
      <c r="L63" s="579">
        <v>0</v>
      </c>
      <c r="M63" s="660">
        <f>IF(L63&lt;2700,L63*0.0105,IF(L63&lt;3200,L63*0.01175,IF(L63&lt;3700,L63*0.013,IF(L63&gt;3699,L63*0.01425,""))))</f>
        <v>0</v>
      </c>
      <c r="N63" s="580">
        <v>20</v>
      </c>
      <c r="O63" s="620"/>
      <c r="P63" s="660">
        <f>IF(O63&lt;2700,O63*0.0105,IF(O63&lt;3200,O63*0.01175,IF(O63&lt;3700,O63*0.013,IF(O63&gt;3699,O63*0.01425,""))))</f>
        <v>0</v>
      </c>
      <c r="Q63" s="580"/>
      <c r="R63" s="579">
        <v>3175.2361809045228</v>
      </c>
      <c r="S63" s="598">
        <f t="shared" si="83"/>
        <v>31.75236180904523</v>
      </c>
      <c r="T63" s="580"/>
      <c r="U63" s="579">
        <v>3188.7437185929648</v>
      </c>
      <c r="V63" s="598">
        <f t="shared" si="84"/>
        <v>31.887437185929649</v>
      </c>
      <c r="W63" s="580"/>
      <c r="X63" s="620">
        <v>2907.497487437186</v>
      </c>
      <c r="Y63" s="598">
        <f t="shared" si="85"/>
        <v>29.074974874371861</v>
      </c>
      <c r="Z63" s="580"/>
      <c r="AA63" s="620">
        <v>2156.3819095477388</v>
      </c>
      <c r="AB63" s="598">
        <f t="shared" si="86"/>
        <v>18.329246231155782</v>
      </c>
      <c r="AC63" s="580"/>
      <c r="AD63" s="579">
        <v>6435.3768844221104</v>
      </c>
      <c r="AE63" s="598">
        <f t="shared" si="87"/>
        <v>75.615678391959804</v>
      </c>
      <c r="AF63" s="580"/>
      <c r="AG63" s="753">
        <v>0</v>
      </c>
      <c r="AH63" s="660">
        <f>IF(AG63&lt;2700,AG63*0.0105,IF(AG63&lt;3200,AG63*0.01175,IF(AG63&lt;3700,AG63*0.013,IF(AG63&gt;3699,AG63*0.01425,""))))</f>
        <v>0</v>
      </c>
      <c r="AI63" s="580"/>
      <c r="AJ63" s="579">
        <v>3461.3065326633168</v>
      </c>
      <c r="AK63" s="598">
        <f t="shared" si="88"/>
        <v>36.343718592964827</v>
      </c>
      <c r="AL63" s="580"/>
      <c r="AM63" s="579">
        <v>2877.1055276381912</v>
      </c>
      <c r="AN63" s="598">
        <f t="shared" si="89"/>
        <v>28.771055276381912</v>
      </c>
      <c r="AO63" s="580"/>
      <c r="AP63" s="620">
        <v>0</v>
      </c>
      <c r="AQ63" s="660">
        <f>IF(AP63&lt;2700,AP63*0.0105,IF(AP63&lt;3200,AP63*0.01175,IF(AP63&lt;3700,AP63*0.013,IF(AP63&gt;3699,AP63*0.01425,""))))</f>
        <v>0</v>
      </c>
      <c r="AR63" s="580">
        <v>12</v>
      </c>
      <c r="AS63" s="579">
        <v>3378.3316582914576</v>
      </c>
      <c r="AT63" s="598">
        <f t="shared" si="90"/>
        <v>35.472482412060309</v>
      </c>
      <c r="AU63" s="580"/>
      <c r="AV63" s="620"/>
      <c r="AW63" s="660">
        <f>IF(AV63&lt;2700,AV63*0.0105,IF(AV63&lt;3200,AV63*0.01175,IF(AV63&lt;3700,AV63*0.013,IF(AV63&gt;3699,AV63*0.01425,""))))</f>
        <v>0</v>
      </c>
      <c r="AX63" s="580"/>
      <c r="AY63" s="620"/>
      <c r="AZ63" s="660">
        <f>IF(AY63&lt;2700,AY63*0.0105,IF(AY63&lt;3200,AY63*0.01175,IF(AY63&lt;3700,AY63*0.013,IF(AY63&gt;3699,AY63*0.01425,""))))</f>
        <v>0</v>
      </c>
      <c r="BA63" s="580"/>
      <c r="BB63" s="463">
        <f t="shared" si="70"/>
        <v>27579.979899497492</v>
      </c>
      <c r="BC63" s="464">
        <f t="shared" si="70"/>
        <v>287.24695477386933</v>
      </c>
      <c r="BD63" s="465">
        <f t="shared" si="70"/>
        <v>72</v>
      </c>
      <c r="BE63" s="466"/>
      <c r="BF63" s="467">
        <f t="shared" si="71"/>
        <v>359.24695477386933</v>
      </c>
      <c r="BG63" s="620">
        <v>3115.8994974874367</v>
      </c>
      <c r="BH63" s="598">
        <f>IF(BG63&lt;2700,BG63*0.0085,IF(BG63&lt;3200,BG63*0.01,IF(BG63&lt;3700,BG63*0.0105,IF(BG63&gt;3699,BG63*0.01175,""))))</f>
        <v>31.158994974874368</v>
      </c>
      <c r="BI63" s="580"/>
      <c r="BJ63" s="620">
        <v>0</v>
      </c>
      <c r="BK63" s="660">
        <f>IF(BJ63&lt;2700,BJ63*0.0105,IF(BJ63&lt;3200,BJ63*0.01175,IF(BJ63&lt;3700,BJ63*0.013,IF(BJ63&gt;3699,BJ63*0.01425,""))))</f>
        <v>0</v>
      </c>
      <c r="BL63" s="580">
        <v>0</v>
      </c>
      <c r="BM63" s="753">
        <v>0</v>
      </c>
      <c r="BN63" s="660">
        <f>IF(BM63&lt;2700,BM63*0.0105,IF(BM63&lt;3200,BM63*0.01175,IF(BM63&lt;3700,BM63*0.013,IF(BM63&gt;3699,BM63*0.01425,""))))</f>
        <v>0</v>
      </c>
      <c r="BO63" s="580">
        <v>18</v>
      </c>
      <c r="BP63" s="753">
        <v>0</v>
      </c>
      <c r="BQ63" s="660">
        <f>IF(BP63&lt;2700,BP63*0.0105,IF(BP63&lt;3200,BP63*0.01175,IF(BP63&lt;3700,BP63*0.013,IF(BP63&gt;3699,BP63*0.01425,""))))</f>
        <v>0</v>
      </c>
      <c r="BR63" s="619">
        <v>18</v>
      </c>
      <c r="BS63" s="753">
        <v>0</v>
      </c>
      <c r="BT63" s="660">
        <f>IF(BS63&lt;2700,BS63*0.0105,IF(BS63&lt;3200,BS63*0.01175,IF(BS63&lt;3700,BS63*0.013,IF(BS63&gt;3699,BS63*0.01425,""))))</f>
        <v>0</v>
      </c>
      <c r="BU63" s="619">
        <v>18</v>
      </c>
      <c r="BV63" s="753">
        <v>0</v>
      </c>
      <c r="BW63" s="660">
        <f>IF(BV63&lt;2700,BV63*0.0105,IF(BV63&lt;3200,BV63*0.01175,IF(BV63&lt;3700,BV63*0.013,IF(BV63&gt;3699,BV63*0.01425,""))))</f>
        <v>0</v>
      </c>
      <c r="BX63" s="619">
        <v>18</v>
      </c>
      <c r="BY63" s="753">
        <v>0</v>
      </c>
      <c r="BZ63" s="660">
        <f>IF(BY63&lt;2700,BY63*0.0105,IF(BY63&lt;3200,BY63*0.01175,IF(BY63&lt;3700,BY63*0.013,IF(BY63&gt;3699,BY63*0.01425,""))))</f>
        <v>0</v>
      </c>
      <c r="CA63" s="580">
        <v>15</v>
      </c>
      <c r="CB63" s="620">
        <v>0</v>
      </c>
      <c r="CC63" s="585">
        <f>IF(CB63&lt;2700,CB63*0.0105,IF(CB63&lt;3200,CB63*0.01175,IF(CB63&lt;3700,CB63*0.013,IF(CB63&gt;3699,CB63*0.01425,""))))</f>
        <v>0</v>
      </c>
      <c r="CD63" s="585">
        <v>0</v>
      </c>
      <c r="CE63" s="579">
        <v>0</v>
      </c>
      <c r="CF63" s="660">
        <f>IF(CE63&lt;2700,CE63*0.0105,IF(CE63&lt;3200,CE63*0.01175,IF(CE63&lt;3700,CE63*0.013,IF(CE63&gt;3699,CE63*0.01425,""))))</f>
        <v>0</v>
      </c>
      <c r="CG63" s="517">
        <v>18</v>
      </c>
      <c r="CH63" s="579">
        <v>0</v>
      </c>
      <c r="CI63" s="517">
        <f t="shared" si="78"/>
        <v>0</v>
      </c>
      <c r="CJ63" s="577">
        <v>18</v>
      </c>
      <c r="CK63" s="579">
        <v>0</v>
      </c>
      <c r="CL63" s="517">
        <f t="shared" si="79"/>
        <v>0</v>
      </c>
      <c r="CM63" s="577">
        <v>18</v>
      </c>
      <c r="CN63" s="579">
        <v>0</v>
      </c>
      <c r="CO63" s="660">
        <f>IF(CN63&lt;2700,CN63*0.0105,IF(CN63&lt;3200,CN63*0.01175,IF(CN63&lt;3700,CN63*0.013,IF(CN63&gt;3699,CN63*0.01425,""))))</f>
        <v>0</v>
      </c>
      <c r="CP63" s="580">
        <v>5</v>
      </c>
      <c r="CQ63" s="579">
        <v>0</v>
      </c>
      <c r="CR63" s="660">
        <f>IF(CQ63&lt;2700,CQ63*0.0105,IF(CQ63&lt;3200,CQ63*0.01175,IF(CQ63&lt;3700,CQ63*0.013,IF(CQ63&gt;3699,CQ63*0.01425,""))))</f>
        <v>0</v>
      </c>
      <c r="CS63" s="577">
        <v>18</v>
      </c>
      <c r="CT63" s="551">
        <f t="shared" si="72"/>
        <v>3115.8994974874367</v>
      </c>
      <c r="CU63" s="552">
        <f t="shared" si="72"/>
        <v>31.158994974874368</v>
      </c>
      <c r="CV63" s="553">
        <f t="shared" si="73"/>
        <v>164</v>
      </c>
      <c r="CW63" s="587"/>
      <c r="CX63" s="554">
        <f t="shared" si="74"/>
        <v>195.15899497487436</v>
      </c>
      <c r="CY63" s="555">
        <f t="shared" si="75"/>
        <v>30695.879396984928</v>
      </c>
      <c r="CZ63" s="556">
        <f t="shared" si="75"/>
        <v>318.40594974874369</v>
      </c>
      <c r="DA63" s="557">
        <f t="shared" si="75"/>
        <v>236</v>
      </c>
      <c r="DB63" s="558">
        <f t="shared" si="76"/>
        <v>554.40594974874375</v>
      </c>
    </row>
    <row r="64" spans="1:148" ht="15.75" customHeight="1" x14ac:dyDescent="0.25">
      <c r="A64" s="721">
        <f t="shared" si="77"/>
        <v>52</v>
      </c>
      <c r="B64" s="754" t="s">
        <v>61</v>
      </c>
      <c r="C64" s="750" t="s">
        <v>637</v>
      </c>
      <c r="D64" s="763" t="s">
        <v>641</v>
      </c>
      <c r="E64" s="764" t="s">
        <v>642</v>
      </c>
      <c r="F64" s="579">
        <v>0</v>
      </c>
      <c r="G64" s="517">
        <f>IF(F64&lt;2700,F64*0.0097,IF(F64&lt;3200,F64*0.01095,IF(F64&lt;3700,F64*0.0122,IF(F64&gt;3699,F64*0.01345,""))))</f>
        <v>0</v>
      </c>
      <c r="H64" s="517">
        <v>20</v>
      </c>
      <c r="I64" s="579">
        <v>2637.8291457286432</v>
      </c>
      <c r="J64" s="517">
        <f>IF(I64&lt;2700,I64*0.007,IF(I64&lt;3200,I64*0.008,IF(I64&lt;3700,I64*0.0097,IF(I64&gt;3699,I64*0.01095,""))))</f>
        <v>18.464804020100502</v>
      </c>
      <c r="K64" s="580">
        <f>35-J64</f>
        <v>16.535195979899498</v>
      </c>
      <c r="L64" s="579">
        <v>0</v>
      </c>
      <c r="M64" s="517">
        <f>IF(L64&lt;2700,L64*0.0097,IF(L64&lt;3200,L64*0.01095,IF(L64&lt;3700,L64*0.0122,IF(L64&gt;3699,L64*0.01345,""))))</f>
        <v>0</v>
      </c>
      <c r="N64" s="517">
        <v>18</v>
      </c>
      <c r="O64" s="620"/>
      <c r="P64" s="517">
        <f>IF(O64&lt;2700,O64*0.0097,IF(O64&lt;3200,O64*0.01095,IF(O64&lt;3700,O64*0.0122,IF(O64&gt;3699,O64*0.01345,""))))</f>
        <v>0</v>
      </c>
      <c r="Q64" s="517"/>
      <c r="R64" s="579">
        <v>4727.6381909547736</v>
      </c>
      <c r="S64" s="517">
        <f>IF(R64&lt;2700,R64*0.007,IF(R64&lt;3200,R64*0.008,IF(R64&lt;3700,R64*0.0097,IF(R64&gt;3699,R64*0.01095,""))))</f>
        <v>51.76763819095477</v>
      </c>
      <c r="T64" s="517"/>
      <c r="U64" s="579">
        <v>4166.1105527638192</v>
      </c>
      <c r="V64" s="517">
        <f>IF(U64&lt;2700,U64*0.007,IF(U64&lt;3200,U64*0.008,IF(U64&lt;3700,U64*0.0097,IF(U64&gt;3699,U64*0.01095,""))))</f>
        <v>45.618910552763822</v>
      </c>
      <c r="W64" s="517"/>
      <c r="X64" s="620">
        <v>2938.854271356784</v>
      </c>
      <c r="Y64" s="517">
        <f>IF(X64&lt;2700,X64*0.007,IF(X64&lt;3200,X64*0.008,IF(X64&lt;3700,X64*0.0097,IF(X64&gt;3699,X64*0.01095,""))))</f>
        <v>23.510834170854274</v>
      </c>
      <c r="Z64" s="517"/>
      <c r="AA64" s="620">
        <v>2958.633165829146</v>
      </c>
      <c r="AB64" s="517">
        <f>IF(AA64&lt;2700,AA64*0.007,IF(AA64&lt;3200,AA64*0.008,IF(AA64&lt;3700,AA64*0.0097,IF(AA64&gt;3699,AA64*0.01095,""))))</f>
        <v>23.66906532663317</v>
      </c>
      <c r="AC64" s="517"/>
      <c r="AD64" s="579">
        <v>7528.0402010050257</v>
      </c>
      <c r="AE64" s="517">
        <f>IF(AD64&lt;2700,AD64*0.007,IF(AD64&lt;3200,AD64*0.008,IF(AD64&lt;3700,AD64*0.0097,IF(AD64&gt;3699,AD64*0.01095,""))))</f>
        <v>82.432040201005023</v>
      </c>
      <c r="AF64" s="517"/>
      <c r="AG64" s="579">
        <v>0</v>
      </c>
      <c r="AH64" s="517">
        <f>IF(AG64&lt;2700,AG64*0.0097,IF(AG64&lt;3200,AG64*0.01095,IF(AG64&lt;3700,AG64*0.0122,IF(AG64&gt;3699,AG64*0.01345,""))))</f>
        <v>0</v>
      </c>
      <c r="AI64" s="517"/>
      <c r="AJ64" s="579">
        <v>4030.0703517587935</v>
      </c>
      <c r="AK64" s="517">
        <f>IF(AJ64&lt;2700,AJ64*0.007,IF(AJ64&lt;3200,AJ64*0.008,IF(AJ64&lt;3700,AJ64*0.0097,IF(AJ64&gt;3699,AJ64*0.01095,""))))</f>
        <v>44.129270351758791</v>
      </c>
      <c r="AL64" s="517"/>
      <c r="AM64" s="579">
        <v>3839.0351758793968</v>
      </c>
      <c r="AN64" s="517">
        <f>IF(AM64&lt;2700,AM64*0.007,IF(AM64&lt;3200,AM64*0.008,IF(AM64&lt;3700,AM64*0.0097,IF(AM64&gt;3699,AM64*0.01095,""))))</f>
        <v>42.037435175879395</v>
      </c>
      <c r="AO64" s="517"/>
      <c r="AP64" s="620">
        <v>0</v>
      </c>
      <c r="AQ64" s="517">
        <f>IF(AP64&lt;2700,AP64*0.0097,IF(AP64&lt;3200,AP64*0.01095,IF(AP64&lt;3700,AP64*0.0122,IF(AP64&gt;3699,AP64*0.01345,""))))</f>
        <v>0</v>
      </c>
      <c r="AR64" s="517">
        <v>12</v>
      </c>
      <c r="AS64" s="579">
        <v>4484.9849246231161</v>
      </c>
      <c r="AT64" s="517">
        <f>IF(AS64&lt;2700,AS64*0.007,IF(AS64&lt;3200,AS64*0.008,IF(AS64&lt;3700,AS64*0.0097,IF(AS64&gt;3699,AS64*0.01095,""))))</f>
        <v>49.110584924623119</v>
      </c>
      <c r="AU64" s="517"/>
      <c r="AV64" s="620"/>
      <c r="AW64" s="517">
        <f>IF(AV64&lt;2700,AV64*0.0097,IF(AV64&lt;3200,AV64*0.01095,IF(AV64&lt;3700,AV64*0.0122,IF(AV64&gt;3699,AV64*0.01345,""))))</f>
        <v>0</v>
      </c>
      <c r="AX64" s="517"/>
      <c r="AY64" s="620"/>
      <c r="AZ64" s="517">
        <f>IF(AY64&lt;2700,AY64*0.0097,IF(AY64&lt;3200,AY64*0.01095,IF(AY64&lt;3700,AY64*0.0122,IF(AY64&gt;3699,AY64*0.01345,""))))</f>
        <v>0</v>
      </c>
      <c r="BA64" s="517"/>
      <c r="BB64" s="463">
        <f t="shared" si="70"/>
        <v>37311.195979899494</v>
      </c>
      <c r="BC64" s="464">
        <f t="shared" si="70"/>
        <v>380.74058291457288</v>
      </c>
      <c r="BD64" s="465">
        <f t="shared" si="70"/>
        <v>66.535195979899498</v>
      </c>
      <c r="BE64" s="466"/>
      <c r="BF64" s="467">
        <f t="shared" si="71"/>
        <v>447.27577889447241</v>
      </c>
      <c r="BG64" s="620">
        <v>3574.1909547738692</v>
      </c>
      <c r="BH64" s="517">
        <f>IF(BG64&lt;2700,BG64*0.007,IF(BG64&lt;3200,BG64*0.008,IF(BG64&lt;3700,BG64*0.0097,IF(BG64&gt;3699,BG64*0.01095,""))))</f>
        <v>34.669652261306531</v>
      </c>
      <c r="BI64" s="517"/>
      <c r="BJ64" s="620">
        <v>0</v>
      </c>
      <c r="BK64" s="517">
        <f>IF(BJ64&lt;2700,BJ64*0.0097,IF(BJ64&lt;3200,BJ64*0.01095,IF(BJ64&lt;3700,BJ64*0.0122,IF(BJ64&gt;3699,BJ64*0.01345,""))))</f>
        <v>0</v>
      </c>
      <c r="BL64" s="517">
        <v>12</v>
      </c>
      <c r="BM64" s="579">
        <v>0</v>
      </c>
      <c r="BN64" s="517">
        <f>IF(BM64&lt;2700,BM64*0.0097,IF(BM64&lt;3200,BM64*0.01095,IF(BM64&lt;3700,BM64*0.0122,IF(BM64&gt;3699,BM64*0.01345,""))))</f>
        <v>0</v>
      </c>
      <c r="BO64" s="517">
        <v>18</v>
      </c>
      <c r="BP64" s="579">
        <v>0</v>
      </c>
      <c r="BQ64" s="517">
        <f>IF(BP64&lt;2700,BP64*0.0097,IF(BP64&lt;3200,BP64*0.01095,IF(BP64&lt;3700,BP64*0.0122,IF(BP64&gt;3699,BP64*0.01345,""))))</f>
        <v>0</v>
      </c>
      <c r="BR64" s="619">
        <v>18</v>
      </c>
      <c r="BS64" s="579">
        <v>0</v>
      </c>
      <c r="BT64" s="517">
        <f>IF(BS64&lt;2700,BS64*0.0097,IF(BS64&lt;3200,BS64*0.01095,IF(BS64&lt;3700,BS64*0.0122,IF(BS64&gt;3699,BS64*0.01345,""))))</f>
        <v>0</v>
      </c>
      <c r="BU64" s="619">
        <v>18</v>
      </c>
      <c r="BV64" s="579">
        <v>0</v>
      </c>
      <c r="BW64" s="517">
        <f>IF(BV64&lt;2700,BV64*0.0097,IF(BV64&lt;3200,BV64*0.01095,IF(BV64&lt;3700,BV64*0.0122,IF(BV64&gt;3699,BV64*0.01345,""))))</f>
        <v>0</v>
      </c>
      <c r="BX64" s="619">
        <v>18</v>
      </c>
      <c r="BY64" s="579">
        <v>0</v>
      </c>
      <c r="BZ64" s="517">
        <f>IF(BY64&lt;2700,BY64*0.0097,IF(BY64&lt;3200,BY64*0.01095,IF(BY64&lt;3700,BY64*0.0122,IF(BY64&gt;3699,BY64*0.01345,""))))</f>
        <v>0</v>
      </c>
      <c r="CA64" s="517">
        <v>18</v>
      </c>
      <c r="CB64" s="620">
        <v>0</v>
      </c>
      <c r="CC64" s="585">
        <f>IF(CB64&lt;2700,CB64*0.0097,IF(CB64&lt;3200,CB64*0.01095,IF(CB64&lt;3700,CB64*0.0122,IF(CB64&gt;3699,CB64*0.01345,""))))</f>
        <v>0</v>
      </c>
      <c r="CD64" s="585">
        <v>0</v>
      </c>
      <c r="CE64" s="579">
        <v>0</v>
      </c>
      <c r="CF64" s="517">
        <f>IF(CE64&lt;2700,CE64*0.0097,IF(CE64&lt;3200,CE64*0.01095,IF(CE64&lt;3700,CE64*0.0122,IF(CE64&gt;3699,CE64*0.01345,""))))</f>
        <v>0</v>
      </c>
      <c r="CG64" s="517">
        <v>18</v>
      </c>
      <c r="CH64" s="579">
        <v>0</v>
      </c>
      <c r="CI64" s="517">
        <f t="shared" si="78"/>
        <v>0</v>
      </c>
      <c r="CJ64" s="577">
        <v>18</v>
      </c>
      <c r="CK64" s="579">
        <v>0</v>
      </c>
      <c r="CL64" s="517">
        <f t="shared" si="79"/>
        <v>0</v>
      </c>
      <c r="CM64" s="577">
        <v>18</v>
      </c>
      <c r="CN64" s="579">
        <v>0</v>
      </c>
      <c r="CO64" s="517">
        <f>IF(CN64&lt;2700,CN64*0.0097,IF(CN64&lt;3200,CN64*0.01095,IF(CN64&lt;3700,CN64*0.0122,IF(CN64&gt;3699,CN64*0.01345,""))))</f>
        <v>0</v>
      </c>
      <c r="CP64" s="517">
        <v>5</v>
      </c>
      <c r="CQ64" s="579">
        <v>0</v>
      </c>
      <c r="CR64" s="517">
        <f>IF(CQ64&lt;2700,CQ64*0.0097,IF(CQ64&lt;3200,CQ64*0.01095,IF(CQ64&lt;3700,CQ64*0.0122,IF(CQ64&gt;3699,CQ64*0.01345,""))))</f>
        <v>0</v>
      </c>
      <c r="CS64" s="577">
        <v>18</v>
      </c>
      <c r="CT64" s="551">
        <f t="shared" si="72"/>
        <v>3574.1909547738692</v>
      </c>
      <c r="CU64" s="552">
        <f t="shared" si="72"/>
        <v>34.669652261306531</v>
      </c>
      <c r="CV64" s="553">
        <f t="shared" si="73"/>
        <v>179</v>
      </c>
      <c r="CW64" s="587"/>
      <c r="CX64" s="554">
        <f t="shared" si="74"/>
        <v>213.66965226130654</v>
      </c>
      <c r="CY64" s="555">
        <f t="shared" si="75"/>
        <v>40885.386934673363</v>
      </c>
      <c r="CZ64" s="556">
        <f t="shared" si="75"/>
        <v>415.41023517587939</v>
      </c>
      <c r="DA64" s="557">
        <f t="shared" si="75"/>
        <v>245.5351959798995</v>
      </c>
      <c r="DB64" s="558">
        <f t="shared" si="76"/>
        <v>660.94543115577892</v>
      </c>
    </row>
    <row r="65" spans="1:148" ht="15.75" customHeight="1" x14ac:dyDescent="0.25">
      <c r="A65" s="721">
        <f t="shared" si="77"/>
        <v>53</v>
      </c>
      <c r="B65" s="754" t="s">
        <v>76</v>
      </c>
      <c r="C65" s="750" t="s">
        <v>643</v>
      </c>
      <c r="D65" s="724" t="s">
        <v>644</v>
      </c>
      <c r="E65" s="755" t="s">
        <v>645</v>
      </c>
      <c r="F65" s="579">
        <v>4479.6783919597992</v>
      </c>
      <c r="G65" s="598">
        <f>IF(F65&lt;2700,F65*0.0085,IF(F65&lt;3200,F65*0.01,IF(F65&lt;3700,F65*0.0105,IF(F65&gt;3699,F65*0.01175,""))))</f>
        <v>52.636221105527639</v>
      </c>
      <c r="H65" s="517"/>
      <c r="I65" s="579">
        <v>4079.7587939698487</v>
      </c>
      <c r="J65" s="598">
        <f>IF(I65&lt;2700,I65*0.0085,IF(I65&lt;3200,I65*0.01,IF(I65&lt;3700,I65*0.0105,IF(I65&gt;3699,I65*0.01175,""))))</f>
        <v>47.937165829145719</v>
      </c>
      <c r="K65" s="517"/>
      <c r="L65" s="579">
        <v>4446.8743718592968</v>
      </c>
      <c r="M65" s="598">
        <f>IF(L65&lt;2700,L65*0.0085,IF(L65&lt;3200,L65*0.01,IF(L65&lt;3700,L65*0.0105,IF(L65&gt;3699,L65*0.01175,""))))</f>
        <v>52.250773869346737</v>
      </c>
      <c r="N65" s="517"/>
      <c r="O65" s="620"/>
      <c r="P65" s="660">
        <f>IF(O65&lt;2700,O65*0.0105,IF(O65&lt;3200,O65*0.01175,IF(O65&lt;3700,O65*0.013,IF(O65&gt;3699,O65*0.01425,""))))</f>
        <v>0</v>
      </c>
      <c r="Q65" s="517"/>
      <c r="R65" s="579">
        <v>4927.3599999999997</v>
      </c>
      <c r="S65" s="598">
        <f>IF(R65&lt;2700,R65*0.0085,IF(R65&lt;3200,R65*0.01,IF(R65&lt;3700,R65*0.0105,IF(R65&gt;3699,R65*0.01175,""))))</f>
        <v>57.896479999999997</v>
      </c>
      <c r="T65" s="517"/>
      <c r="U65" s="579">
        <v>3405.8291457286432</v>
      </c>
      <c r="V65" s="598">
        <f>IF(U65&lt;2700,U65*0.0085,IF(U65&lt;3200,U65*0.01,IF(U65&lt;3700,U65*0.0105,IF(U65&gt;3699,U65*0.01175,""))))</f>
        <v>35.761206030150753</v>
      </c>
      <c r="W65" s="517"/>
      <c r="X65" s="620">
        <v>3236.9849246231156</v>
      </c>
      <c r="Y65" s="598">
        <f>IF(X65&lt;2700,X65*0.0085,IF(X65&lt;3200,X65*0.01,IF(X65&lt;3700,X65*0.0105,IF(X65&gt;3699,X65*0.01175,""))))</f>
        <v>33.988341708542713</v>
      </c>
      <c r="Z65" s="517"/>
      <c r="AA65" s="620">
        <v>0</v>
      </c>
      <c r="AB65" s="660">
        <f>IF(AA65&lt;2700,AA65*0.0105,IF(AA65&lt;3200,AA65*0.01175,IF(AA65&lt;3700,AA65*0.013,IF(AA65&gt;3699,AA65*0.01425,""))))</f>
        <v>0</v>
      </c>
      <c r="AC65" s="517"/>
      <c r="AD65" s="579">
        <v>6362.5326633165832</v>
      </c>
      <c r="AE65" s="598">
        <f>IF(AD65&lt;2700,AD65*0.0085,IF(AD65&lt;3200,AD65*0.01,IF(AD65&lt;3700,AD65*0.0105,IF(AD65&gt;3699,AD65*0.01175,""))))</f>
        <v>74.759758793969851</v>
      </c>
      <c r="AF65" s="517"/>
      <c r="AG65" s="753">
        <v>0</v>
      </c>
      <c r="AH65" s="660">
        <f>IF(AG65&lt;2700,AG65*0.0105,IF(AG65&lt;3200,AG65*0.01175,IF(AG65&lt;3700,AG65*0.013,IF(AG65&gt;3699,AG65*0.01425,""))))</f>
        <v>0</v>
      </c>
      <c r="AI65" s="517"/>
      <c r="AJ65" s="579">
        <v>4040.6834170854272</v>
      </c>
      <c r="AK65" s="598">
        <f>IF(AJ65&lt;2700,AJ65*0.0085,IF(AJ65&lt;3200,AJ65*0.01,IF(AJ65&lt;3700,AJ65*0.0105,IF(AJ65&gt;3699,AJ65*0.01175,""))))</f>
        <v>47.478030150753767</v>
      </c>
      <c r="AL65" s="517"/>
      <c r="AM65" s="579">
        <v>3273.6482412060304</v>
      </c>
      <c r="AN65" s="598">
        <f>IF(AM65&lt;2700,AM65*0.0085,IF(AM65&lt;3200,AM65*0.01,IF(AM65&lt;3700,AM65*0.0105,IF(AM65&gt;3699,AM65*0.01175,""))))</f>
        <v>34.373306532663321</v>
      </c>
      <c r="AO65" s="517"/>
      <c r="AP65" s="620">
        <v>0</v>
      </c>
      <c r="AQ65" s="660">
        <f>IF(AP65&lt;2700,AP65*0.0105,IF(AP65&lt;3200,AP65*0.01175,IF(AP65&lt;3700,AP65*0.013,IF(AP65&gt;3699,AP65*0.01425,""))))</f>
        <v>0</v>
      </c>
      <c r="AR65" s="580">
        <v>12</v>
      </c>
      <c r="AS65" s="579">
        <v>4067.6984924623112</v>
      </c>
      <c r="AT65" s="598">
        <f>IF(AS65&lt;2700,AS65*0.0085,IF(AS65&lt;3200,AS65*0.01,IF(AS65&lt;3700,AS65*0.0105,IF(AS65&gt;3699,AS65*0.01175,""))))</f>
        <v>47.795457286432153</v>
      </c>
      <c r="AU65" s="517"/>
      <c r="AV65" s="620"/>
      <c r="AW65" s="660">
        <f>IF(AV65&lt;2700,AV65*0.0105,IF(AV65&lt;3200,AV65*0.01175,IF(AV65&lt;3700,AV65*0.013,IF(AV65&gt;3699,AV65*0.01425,""))))</f>
        <v>0</v>
      </c>
      <c r="AX65" s="517"/>
      <c r="AY65" s="620"/>
      <c r="AZ65" s="660">
        <f>IF(AY65&lt;2700,AY65*0.0105,IF(AY65&lt;3200,AY65*0.01175,IF(AY65&lt;3700,AY65*0.013,IF(AY65&gt;3699,AY65*0.01425,""))))</f>
        <v>0</v>
      </c>
      <c r="BA65" s="517"/>
      <c r="BB65" s="463">
        <f t="shared" si="70"/>
        <v>42321.048442211053</v>
      </c>
      <c r="BC65" s="464">
        <f t="shared" si="70"/>
        <v>484.87674130653272</v>
      </c>
      <c r="BD65" s="465">
        <f t="shared" si="70"/>
        <v>12</v>
      </c>
      <c r="BE65" s="466"/>
      <c r="BF65" s="467">
        <f t="shared" si="71"/>
        <v>496.87674130653272</v>
      </c>
      <c r="BG65" s="620">
        <v>3433.8090452261308</v>
      </c>
      <c r="BH65" s="598">
        <f>IF(BG65&lt;2700,BG65*0.0085,IF(BG65&lt;3200,BG65*0.01,IF(BG65&lt;3700,BG65*0.0105,IF(BG65&gt;3699,BG65*0.01175,""))))</f>
        <v>36.054994974874376</v>
      </c>
      <c r="BI65" s="517"/>
      <c r="BJ65" s="620">
        <v>0</v>
      </c>
      <c r="BK65" s="660">
        <f>IF(BJ65&lt;2700,BJ65*0.0105,IF(BJ65&lt;3200,BJ65*0.01175,IF(BJ65&lt;3700,BJ65*0.013,IF(BJ65&gt;3699,BJ65*0.01425,""))))</f>
        <v>0</v>
      </c>
      <c r="BL65" s="517">
        <v>0</v>
      </c>
      <c r="BM65" s="579">
        <v>0</v>
      </c>
      <c r="BN65" s="660">
        <f>IF(BM65&lt;2700,BM65*0.0105,IF(BM65&lt;3200,BM65*0.01175,IF(BM65&lt;3700,BM65*0.013,IF(BM65&gt;3699,BM65*0.01425,""))))</f>
        <v>0</v>
      </c>
      <c r="BO65" s="517">
        <v>0</v>
      </c>
      <c r="BP65" s="579">
        <v>0</v>
      </c>
      <c r="BQ65" s="660">
        <f>IF(BP65&lt;2700,BP65*0.0105,IF(BP65&lt;3200,BP65*0.01175,IF(BP65&lt;3700,BP65*0.013,IF(BP65&gt;3699,BP65*0.01425,""))))</f>
        <v>0</v>
      </c>
      <c r="BR65" s="517">
        <v>18</v>
      </c>
      <c r="BS65" s="579">
        <v>0</v>
      </c>
      <c r="BT65" s="660">
        <f>IF(BS65&lt;2700,BS65*0.0105,IF(BS65&lt;3200,BS65*0.01175,IF(BS65&lt;3700,BS65*0.013,IF(BS65&gt;3699,BS65*0.01425,""))))</f>
        <v>0</v>
      </c>
      <c r="BU65" s="517">
        <v>18</v>
      </c>
      <c r="BV65" s="579">
        <v>0</v>
      </c>
      <c r="BW65" s="660">
        <f>IF(BV65&lt;2700,BV65*0.0105,IF(BV65&lt;3200,BV65*0.01175,IF(BV65&lt;3700,BV65*0.013,IF(BV65&gt;3699,BV65*0.01425,""))))</f>
        <v>0</v>
      </c>
      <c r="BX65" s="517">
        <v>18</v>
      </c>
      <c r="BY65" s="579">
        <v>0</v>
      </c>
      <c r="BZ65" s="660">
        <f>IF(BY65&lt;2700,BY65*0.0105,IF(BY65&lt;3200,BY65*0.01175,IF(BY65&lt;3700,BY65*0.013,IF(BY65&gt;3699,BY65*0.01425,""))))</f>
        <v>0</v>
      </c>
      <c r="CA65" s="517">
        <v>20</v>
      </c>
      <c r="CB65" s="620">
        <v>0</v>
      </c>
      <c r="CC65" s="585">
        <f>IF(CB65&lt;2700,CB65*0.0105,IF(CB65&lt;3200,CB65*0.01175,IF(CB65&lt;3700,CB65*0.013,IF(CB65&gt;3699,CB65*0.01425,""))))</f>
        <v>0</v>
      </c>
      <c r="CD65" s="585">
        <v>0</v>
      </c>
      <c r="CE65" s="579">
        <v>0</v>
      </c>
      <c r="CF65" s="517">
        <v>0</v>
      </c>
      <c r="CG65" s="580"/>
      <c r="CH65" s="579">
        <v>0</v>
      </c>
      <c r="CI65" s="660">
        <f>IF(CH65&lt;2700,CH65*0.0105,IF(CH65&lt;3200,CH65*0.01175,IF(CH65&lt;3700,CH65*0.013,IF(CH65&gt;3699,CH65*0.01425,""))))</f>
        <v>0</v>
      </c>
      <c r="CJ65" s="517"/>
      <c r="CK65" s="579">
        <v>0</v>
      </c>
      <c r="CL65" s="660">
        <f>IF(CK65&lt;2700,CK65*0.0105,IF(CK65&lt;3200,CK65*0.01175,IF(CK65&lt;3700,CK65*0.013,IF(CK65&gt;3699,CK65*0.01425,""))))</f>
        <v>0</v>
      </c>
      <c r="CM65" s="517"/>
      <c r="CN65" s="579">
        <v>0</v>
      </c>
      <c r="CO65" s="660">
        <f>IF(CN65&lt;2700,CN65*0.0105,IF(CN65&lt;3200,CN65*0.01175,IF(CN65&lt;3700,CN65*0.013,IF(CN65&gt;3699,CN65*0.01425,""))))</f>
        <v>0</v>
      </c>
      <c r="CP65" s="517"/>
      <c r="CQ65" s="579">
        <v>0</v>
      </c>
      <c r="CR65" s="660">
        <f>IF(CQ65&lt;2700,CQ65*0.0105,IF(CQ65&lt;3200,CQ65*0.01175,IF(CQ65&lt;3700,CQ65*0.013,IF(CQ65&gt;3699,CQ65*0.01425,""))))</f>
        <v>0</v>
      </c>
      <c r="CS65" s="517"/>
      <c r="CT65" s="551">
        <f t="shared" si="72"/>
        <v>3433.8090452261308</v>
      </c>
      <c r="CU65" s="552">
        <f t="shared" si="72"/>
        <v>36.054994974874376</v>
      </c>
      <c r="CV65" s="553">
        <f t="shared" si="73"/>
        <v>74</v>
      </c>
      <c r="CW65" s="587"/>
      <c r="CX65" s="554">
        <f t="shared" si="74"/>
        <v>110.05499497487438</v>
      </c>
      <c r="CY65" s="555">
        <f t="shared" si="75"/>
        <v>45754.857487437184</v>
      </c>
      <c r="CZ65" s="556">
        <f t="shared" si="75"/>
        <v>520.9317362814071</v>
      </c>
      <c r="DA65" s="557">
        <f t="shared" si="75"/>
        <v>86</v>
      </c>
      <c r="DB65" s="558">
        <f t="shared" si="76"/>
        <v>606.9317362814071</v>
      </c>
      <c r="DC65" s="192" t="s">
        <v>646</v>
      </c>
      <c r="DE65" s="765"/>
      <c r="DF65" s="766"/>
    </row>
    <row r="66" spans="1:148" ht="15.75" customHeight="1" x14ac:dyDescent="0.25">
      <c r="A66" s="721">
        <f t="shared" si="77"/>
        <v>54</v>
      </c>
      <c r="B66" s="747" t="s">
        <v>161</v>
      </c>
      <c r="C66" s="750" t="s">
        <v>643</v>
      </c>
      <c r="D66" s="767" t="s">
        <v>647</v>
      </c>
      <c r="E66" s="755" t="s">
        <v>648</v>
      </c>
      <c r="F66" s="579">
        <v>0</v>
      </c>
      <c r="G66" s="517">
        <v>0</v>
      </c>
      <c r="H66" s="660">
        <v>18</v>
      </c>
      <c r="I66" s="579">
        <v>0</v>
      </c>
      <c r="J66" s="517">
        <v>0</v>
      </c>
      <c r="K66" s="660">
        <v>18</v>
      </c>
      <c r="L66" s="579">
        <v>0</v>
      </c>
      <c r="M66" s="585">
        <v>0</v>
      </c>
      <c r="N66" s="585">
        <v>0</v>
      </c>
      <c r="O66" s="620"/>
      <c r="P66" s="517">
        <v>0</v>
      </c>
      <c r="Q66" s="517"/>
      <c r="R66" s="620">
        <v>0</v>
      </c>
      <c r="S66" s="517">
        <v>0</v>
      </c>
      <c r="T66" s="517">
        <v>18</v>
      </c>
      <c r="U66" s="620">
        <v>0</v>
      </c>
      <c r="V66" s="517">
        <v>0</v>
      </c>
      <c r="W66" s="517">
        <v>18</v>
      </c>
      <c r="X66" s="620">
        <v>0</v>
      </c>
      <c r="Y66" s="517">
        <v>0</v>
      </c>
      <c r="Z66" s="517">
        <v>18</v>
      </c>
      <c r="AA66" s="620">
        <v>0</v>
      </c>
      <c r="AB66" s="517">
        <v>0</v>
      </c>
      <c r="AC66" s="517">
        <v>18</v>
      </c>
      <c r="AD66" s="620">
        <v>0</v>
      </c>
      <c r="AE66" s="517">
        <v>0</v>
      </c>
      <c r="AF66" s="517">
        <v>40</v>
      </c>
      <c r="AG66" s="620">
        <v>0</v>
      </c>
      <c r="AH66" s="517">
        <v>0</v>
      </c>
      <c r="AI66" s="517">
        <v>0</v>
      </c>
      <c r="AJ66" s="620">
        <v>0</v>
      </c>
      <c r="AK66" s="517">
        <v>0</v>
      </c>
      <c r="AL66" s="517">
        <v>18</v>
      </c>
      <c r="AM66" s="620">
        <v>0</v>
      </c>
      <c r="AN66" s="517">
        <v>0</v>
      </c>
      <c r="AO66" s="517">
        <v>18</v>
      </c>
      <c r="AP66" s="620">
        <v>0</v>
      </c>
      <c r="AQ66" s="517">
        <v>0</v>
      </c>
      <c r="AR66" s="517">
        <v>20</v>
      </c>
      <c r="AS66" s="620">
        <v>0</v>
      </c>
      <c r="AT66" s="517">
        <v>0</v>
      </c>
      <c r="AU66" s="517">
        <v>18</v>
      </c>
      <c r="AV66" s="620"/>
      <c r="AW66" s="517">
        <v>0</v>
      </c>
      <c r="AX66" s="517"/>
      <c r="AY66" s="620"/>
      <c r="AZ66" s="517">
        <v>0</v>
      </c>
      <c r="BA66" s="517"/>
      <c r="BB66" s="463">
        <f t="shared" si="70"/>
        <v>0</v>
      </c>
      <c r="BC66" s="464">
        <f t="shared" si="70"/>
        <v>0</v>
      </c>
      <c r="BD66" s="465">
        <f t="shared" si="70"/>
        <v>222</v>
      </c>
      <c r="BE66" s="466"/>
      <c r="BF66" s="467">
        <f t="shared" si="71"/>
        <v>222</v>
      </c>
      <c r="BG66" s="620">
        <v>0</v>
      </c>
      <c r="BH66" s="517">
        <v>0</v>
      </c>
      <c r="BI66" s="517">
        <v>18</v>
      </c>
      <c r="BJ66" s="620">
        <v>0</v>
      </c>
      <c r="BK66" s="517">
        <v>0</v>
      </c>
      <c r="BL66" s="517">
        <v>0</v>
      </c>
      <c r="BM66" s="579">
        <v>0</v>
      </c>
      <c r="BN66" s="517">
        <v>0</v>
      </c>
      <c r="BO66" s="517">
        <v>10</v>
      </c>
      <c r="BP66" s="579">
        <v>0</v>
      </c>
      <c r="BQ66" s="517">
        <v>0</v>
      </c>
      <c r="BR66" s="517">
        <v>0</v>
      </c>
      <c r="BS66" s="579">
        <v>0</v>
      </c>
      <c r="BT66" s="517">
        <v>0</v>
      </c>
      <c r="BU66" s="517">
        <v>18</v>
      </c>
      <c r="BV66" s="579">
        <v>0</v>
      </c>
      <c r="BW66" s="517">
        <v>0</v>
      </c>
      <c r="BX66" s="517">
        <v>0</v>
      </c>
      <c r="BY66" s="579">
        <v>0</v>
      </c>
      <c r="BZ66" s="517">
        <v>0</v>
      </c>
      <c r="CA66" s="517">
        <v>0</v>
      </c>
      <c r="CB66" s="620">
        <v>0</v>
      </c>
      <c r="CC66" s="517">
        <v>0</v>
      </c>
      <c r="CD66" s="517">
        <v>0</v>
      </c>
      <c r="CE66" s="620">
        <v>0</v>
      </c>
      <c r="CF66" s="517">
        <v>0</v>
      </c>
      <c r="CG66" s="517"/>
      <c r="CH66" s="579">
        <v>0</v>
      </c>
      <c r="CI66" s="517">
        <v>0</v>
      </c>
      <c r="CJ66" s="517"/>
      <c r="CK66" s="579">
        <v>0</v>
      </c>
      <c r="CL66" s="517">
        <v>0</v>
      </c>
      <c r="CM66" s="517"/>
      <c r="CN66" s="579">
        <v>0</v>
      </c>
      <c r="CO66" s="517">
        <v>0</v>
      </c>
      <c r="CP66" s="517"/>
      <c r="CQ66" s="579">
        <v>0</v>
      </c>
      <c r="CR66" s="517">
        <v>0</v>
      </c>
      <c r="CS66" s="517"/>
      <c r="CT66" s="551">
        <f t="shared" si="72"/>
        <v>0</v>
      </c>
      <c r="CU66" s="552">
        <f t="shared" si="72"/>
        <v>0</v>
      </c>
      <c r="CV66" s="553">
        <f t="shared" si="73"/>
        <v>46</v>
      </c>
      <c r="CW66" s="587"/>
      <c r="CX66" s="554">
        <f t="shared" si="74"/>
        <v>46</v>
      </c>
      <c r="CY66" s="555">
        <f t="shared" si="75"/>
        <v>0</v>
      </c>
      <c r="CZ66" s="556">
        <f t="shared" si="75"/>
        <v>0</v>
      </c>
      <c r="DA66" s="557">
        <f t="shared" si="75"/>
        <v>268</v>
      </c>
      <c r="DB66" s="558">
        <f t="shared" si="76"/>
        <v>268</v>
      </c>
      <c r="DC66" s="192" t="s">
        <v>649</v>
      </c>
    </row>
    <row r="67" spans="1:148" s="398" customFormat="1" ht="15.75" customHeight="1" x14ac:dyDescent="0.25">
      <c r="A67" s="721">
        <f t="shared" si="77"/>
        <v>55</v>
      </c>
      <c r="B67" s="772" t="s">
        <v>72</v>
      </c>
      <c r="C67" s="750" t="s">
        <v>643</v>
      </c>
      <c r="D67" s="751" t="s">
        <v>658</v>
      </c>
      <c r="E67" s="756" t="s">
        <v>659</v>
      </c>
      <c r="F67" s="579">
        <v>0</v>
      </c>
      <c r="G67" s="517">
        <f>IF(F67&lt;2700,F67*0.0101,IF(F67&lt;3200,F67*0.01135,IF(F67&lt;3700,F67*0.0126,IF(F67&gt;3699,F67*0.01385,""))))</f>
        <v>0</v>
      </c>
      <c r="H67" s="660">
        <v>18</v>
      </c>
      <c r="I67" s="579">
        <v>0</v>
      </c>
      <c r="J67" s="517">
        <f>IF(I67&lt;2700,I67*0.0101,IF(I67&lt;3200,I67*0.01135,IF(I67&lt;3700,I67*0.0126,IF(I67&gt;3699,I67*0.01385,""))))</f>
        <v>0</v>
      </c>
      <c r="K67" s="660"/>
      <c r="L67" s="579">
        <v>0</v>
      </c>
      <c r="M67" s="517">
        <f>IF(L67&lt;2700,L67*0.0101,IF(L67&lt;3200,L67*0.01135,IF(L67&lt;3700,L67*0.0126,IF(L67&gt;3699,L67*0.01385,""))))</f>
        <v>0</v>
      </c>
      <c r="N67" s="660">
        <v>18</v>
      </c>
      <c r="O67" s="620"/>
      <c r="P67" s="517">
        <f>IF(O67&lt;2700,O67*0.0101,IF(O67&lt;3200,O67*0.01135,IF(O67&lt;3700,O67*0.0126,IF(O67&gt;3699,O67*0.01385,""))))</f>
        <v>0</v>
      </c>
      <c r="Q67" s="660"/>
      <c r="R67" s="579">
        <v>0</v>
      </c>
      <c r="S67" s="517">
        <f>IF(R67&lt;2700,R67*0.0101,IF(R67&lt;3200,R67*0.01135,IF(R67&lt;3700,R67*0.0126,IF(R67&gt;3699,R67*0.01385,""))))</f>
        <v>0</v>
      </c>
      <c r="T67" s="660"/>
      <c r="U67" s="579">
        <v>0</v>
      </c>
      <c r="V67" s="517">
        <f>IF(U67&lt;2700,U67*0.0101,IF(U67&lt;3200,U67*0.01135,IF(U67&lt;3700,U67*0.0126,IF(U67&gt;3699,U67*0.01385,""))))</f>
        <v>0</v>
      </c>
      <c r="W67" s="660"/>
      <c r="X67" s="620">
        <v>0</v>
      </c>
      <c r="Y67" s="517">
        <f>IF(X67&lt;2700,X67*0.0101,IF(X67&lt;3200,X67*0.01135,IF(X67&lt;3700,X67*0.0126,IF(X67&gt;3699,X67*0.01385,""))))</f>
        <v>0</v>
      </c>
      <c r="Z67" s="660">
        <v>18</v>
      </c>
      <c r="AA67" s="620">
        <v>1883.3366834170852</v>
      </c>
      <c r="AB67" s="517">
        <f>IF(AA67&lt;2700,AA67*0.009,IF(AA67&lt;3200,AA67*0.0101,IF(AA67&lt;3700,AA67*0.01135,IF(AA67&gt;3699,AA67*0.0126,""))))</f>
        <v>16.950030150753765</v>
      </c>
      <c r="AC67" s="660"/>
      <c r="AD67" s="579">
        <v>6204.3015075376898</v>
      </c>
      <c r="AE67" s="517">
        <f>IF(AD67&lt;2700,AD67*0.009,IF(AD67&lt;3200,AD67*0.0101,IF(AD67&lt;3700,AD67*0.01135,IF(AD67&gt;3699,AD67*0.0126,""))))</f>
        <v>78.174198994974887</v>
      </c>
      <c r="AF67" s="660"/>
      <c r="AG67" s="579">
        <v>0</v>
      </c>
      <c r="AH67" s="517">
        <f>IF(AG67&lt;2700,AG67*0.0101,IF(AG67&lt;3200,AG67*0.01135,IF(AG67&lt;3700,AG67*0.0126,IF(AG67&gt;3699,AG67*0.01385,""))))</f>
        <v>0</v>
      </c>
      <c r="AI67" s="660"/>
      <c r="AJ67" s="579">
        <v>3698.653266331658</v>
      </c>
      <c r="AK67" s="517">
        <f>IF(AJ67&lt;2700,AJ67*0.009,IF(AJ67&lt;3200,AJ67*0.0101,IF(AJ67&lt;3700,AJ67*0.01135,IF(AJ67&gt;3699,AJ67*0.0126,""))))</f>
        <v>41.979714572864317</v>
      </c>
      <c r="AL67" s="660"/>
      <c r="AM67" s="579">
        <v>3554.4120603015072</v>
      </c>
      <c r="AN67" s="517">
        <f>IF(AM67&lt;2700,AM67*0.009,IF(AM67&lt;3200,AM67*0.0101,IF(AM67&lt;3700,AM67*0.01135,IF(AM67&gt;3699,AM67*0.0126,""))))</f>
        <v>40.342576884422108</v>
      </c>
      <c r="AO67" s="660"/>
      <c r="AP67" s="620">
        <v>0</v>
      </c>
      <c r="AQ67" s="517">
        <f>IF(AP67&lt;2700,AP67*0.0101,IF(AP67&lt;3200,AP67*0.01135,IF(AP67&lt;3700,AP67*0.0126,IF(AP67&gt;3699,AP67*0.01385,""))))</f>
        <v>0</v>
      </c>
      <c r="AR67" s="517">
        <v>14</v>
      </c>
      <c r="AS67" s="579">
        <v>4090.3718592964824</v>
      </c>
      <c r="AT67" s="517">
        <f>IF(AS67&lt;2700,AS67*0.0075,IF(AS67&lt;3200,AS67*0.009,IF(AS67&lt;3700,AS67*0.0101,IF(AS67&gt;3699,AS67*0.01135,""))))</f>
        <v>46.42572060301508</v>
      </c>
      <c r="AU67" s="660"/>
      <c r="AV67" s="620"/>
      <c r="AW67" s="517">
        <f>IF(AV67&lt;2700,AV67*0.0101,IF(AV67&lt;3200,AV67*0.01135,IF(AV67&lt;3700,AV67*0.0126,IF(AV67&gt;3699,AV67*0.01385,""))))</f>
        <v>0</v>
      </c>
      <c r="AX67" s="660"/>
      <c r="AY67" s="620"/>
      <c r="AZ67" s="517">
        <f>IF(AY67&lt;2700,AY67*0.0101,IF(AY67&lt;3200,AY67*0.01135,IF(AY67&lt;3700,AY67*0.0126,IF(AY67&gt;3699,AY67*0.01385,""))))</f>
        <v>0</v>
      </c>
      <c r="BA67" s="660"/>
      <c r="BB67" s="463">
        <f t="shared" si="70"/>
        <v>19431.075376884422</v>
      </c>
      <c r="BC67" s="464">
        <f t="shared" si="70"/>
        <v>223.87224120603014</v>
      </c>
      <c r="BD67" s="465">
        <f t="shared" si="70"/>
        <v>68</v>
      </c>
      <c r="BE67" s="466"/>
      <c r="BF67" s="467">
        <f t="shared" si="71"/>
        <v>291.87224120603014</v>
      </c>
      <c r="BG67" s="620">
        <v>4243.29648241206</v>
      </c>
      <c r="BH67" s="517">
        <f>IF(BG67&lt;2700,BG67*0.0075,IF(BG67&lt;3200,BG67*0.009,IF(BG67&lt;3700,BG67*0.0101,IF(BG67&gt;3699,BG67*0.01135,""))))</f>
        <v>48.161415075376887</v>
      </c>
      <c r="BI67" s="660"/>
      <c r="BJ67" s="620">
        <v>0</v>
      </c>
      <c r="BK67" s="517">
        <f>IF(BJ67&lt;2700,BJ67*0.0101,IF(BJ67&lt;3200,BJ67*0.01135,IF(BJ67&lt;3700,BJ67*0.0126,IF(BJ67&gt;3699,BJ67*0.01385,""))))</f>
        <v>0</v>
      </c>
      <c r="BL67" s="517">
        <v>12</v>
      </c>
      <c r="BM67" s="579">
        <v>3133.7487437185928</v>
      </c>
      <c r="BN67" s="517">
        <f>IF(BM67&lt;2700,BM67*0.0075,IF(BM67&lt;3200,BM67*0.009,IF(BM67&lt;3700,BM67*0.0101,IF(BM67&gt;3699,BM67*0.01135,""))))</f>
        <v>28.203738693467333</v>
      </c>
      <c r="BO67" s="660"/>
      <c r="BP67" s="579">
        <v>3044.9849246231151</v>
      </c>
      <c r="BQ67" s="517">
        <f>IF(BP67&lt;2700,BP67*0.0075,IF(BP67&lt;3200,BP67*0.009,IF(BP67&lt;3700,BP67*0.0101,IF(BP67&gt;3699,BP67*0.01135,""))))</f>
        <v>27.404864321608034</v>
      </c>
      <c r="BR67" s="660"/>
      <c r="BS67" s="579">
        <v>0</v>
      </c>
      <c r="BT67" s="517">
        <f>IF(BS67&lt;2700,BS67*0.0101,IF(BS67&lt;3200,BS67*0.01135,IF(BS67&lt;3700,BS67*0.0126,IF(BS67&gt;3699,BS67*0.01385,""))))</f>
        <v>0</v>
      </c>
      <c r="BU67" s="517">
        <v>18</v>
      </c>
      <c r="BV67" s="579">
        <v>3044.9849246231151</v>
      </c>
      <c r="BW67" s="517">
        <f>IF(BV67&lt;2700,BV67*0.0075,IF(BV67&lt;3200,BV67*0.009,IF(BV67&lt;3700,BV67*0.0101,IF(BV67&gt;3699,BV67*0.01135,""))))</f>
        <v>27.404864321608034</v>
      </c>
      <c r="BX67" s="660"/>
      <c r="BY67" s="579">
        <v>1389.8291457286434</v>
      </c>
      <c r="BZ67" s="517">
        <f>IF(BY67&lt;2700,BY67*0.0075,IF(BY67&lt;3200,BY67*0.009,IF(BY67&lt;3700,BY67*0.0101,IF(BY67&gt;3699,BY67*0.01135,""))))</f>
        <v>10.423718592964825</v>
      </c>
      <c r="CA67" s="660"/>
      <c r="CB67" s="620">
        <v>0</v>
      </c>
      <c r="CC67" s="517">
        <f>IF(CB67&lt;2700,CB67*0.0101,IF(CB67&lt;3200,CB67*0.01135,IF(CB67&lt;3700,CB67*0.0126,IF(CB67&gt;3699,CB67*0.01385,""))))</f>
        <v>0</v>
      </c>
      <c r="CD67" s="660">
        <v>10</v>
      </c>
      <c r="CE67" s="579">
        <v>0</v>
      </c>
      <c r="CF67" s="517">
        <f>IF(CE67&lt;2700,CE67*0.0101,IF(CE67&lt;3200,CE67*0.01135,IF(CE67&lt;3700,CE67*0.0126,IF(CE67&gt;3699,CE67*0.01385,""))))</f>
        <v>0</v>
      </c>
      <c r="CG67" s="660">
        <v>18</v>
      </c>
      <c r="CH67" s="579">
        <v>0</v>
      </c>
      <c r="CI67" s="517">
        <f>IF(CH67&lt;2700,CH67*0.0101,IF(CH67&lt;3200,CH67*0.01135,IF(CH67&lt;3700,CH67*0.0126,IF(CH67&gt;3699,CH67*0.01385,""))))</f>
        <v>0</v>
      </c>
      <c r="CJ67" s="577">
        <v>18</v>
      </c>
      <c r="CK67" s="579">
        <v>0</v>
      </c>
      <c r="CL67" s="517">
        <f>IF(CK67&lt;2700,CK67*0.0101,IF(CK67&lt;3200,CK67*0.01135,IF(CK67&lt;3700,CK67*0.0126,IF(CK67&gt;3699,CK67*0.01385,""))))</f>
        <v>0</v>
      </c>
      <c r="CM67" s="577">
        <v>18</v>
      </c>
      <c r="CN67" s="579">
        <v>0</v>
      </c>
      <c r="CO67" s="517">
        <f>IF(CN67&lt;2700,CN67*0.0101,IF(CN67&lt;3200,CN67*0.01135,IF(CN67&lt;3700,CN67*0.0126,IF(CN67&gt;3699,CN67*0.01385,""))))</f>
        <v>0</v>
      </c>
      <c r="CP67" s="660"/>
      <c r="CQ67" s="579">
        <v>0</v>
      </c>
      <c r="CR67" s="517">
        <f>IF(CQ67&lt;2700,CQ67*0.0101,IF(CQ67&lt;3200,CQ67*0.01135,IF(CQ67&lt;3700,CQ67*0.0126,IF(CQ67&gt;3699,CQ67*0.01385,""))))</f>
        <v>0</v>
      </c>
      <c r="CS67" s="577">
        <v>18</v>
      </c>
      <c r="CT67" s="551">
        <f t="shared" si="72"/>
        <v>14856.844221105526</v>
      </c>
      <c r="CU67" s="552">
        <f t="shared" si="72"/>
        <v>141.59860100502513</v>
      </c>
      <c r="CV67" s="553">
        <f t="shared" si="73"/>
        <v>112</v>
      </c>
      <c r="CW67" s="587"/>
      <c r="CX67" s="554">
        <f t="shared" si="74"/>
        <v>253.59860100502513</v>
      </c>
      <c r="CY67" s="555">
        <f t="shared" si="75"/>
        <v>34287.919597989952</v>
      </c>
      <c r="CZ67" s="556">
        <f t="shared" si="75"/>
        <v>365.47084221105524</v>
      </c>
      <c r="DA67" s="557">
        <f t="shared" si="75"/>
        <v>180</v>
      </c>
      <c r="DB67" s="558">
        <f t="shared" si="76"/>
        <v>545.47084221105524</v>
      </c>
      <c r="DC67" s="192" t="s">
        <v>660</v>
      </c>
    </row>
    <row r="68" spans="1:148" ht="15.75" customHeight="1" thickBot="1" x14ac:dyDescent="0.3">
      <c r="A68" s="721">
        <f t="shared" si="77"/>
        <v>56</v>
      </c>
      <c r="B68" s="774" t="s">
        <v>112</v>
      </c>
      <c r="C68" s="775" t="s">
        <v>643</v>
      </c>
      <c r="D68" s="724" t="s">
        <v>661</v>
      </c>
      <c r="E68" s="755" t="s">
        <v>662</v>
      </c>
      <c r="F68" s="753">
        <v>0</v>
      </c>
      <c r="G68" s="660">
        <f>IF(F68&lt;2700,F68*0.0105,IF(F68&lt;3200,F68*0.01175,IF(F68&lt;3700,F68*0.013,IF(F68&gt;3699,F68*0.01425,""))))</f>
        <v>0</v>
      </c>
      <c r="H68" s="660">
        <v>18</v>
      </c>
      <c r="I68" s="753">
        <v>0</v>
      </c>
      <c r="J68" s="660">
        <f>IF(I68&lt;2700,I68*0.0105,IF(I68&lt;3200,I68*0.01175,IF(I68&lt;3700,I68*0.013,IF(I68&gt;3699,I68*0.01425,""))))</f>
        <v>0</v>
      </c>
      <c r="K68" s="660">
        <v>18</v>
      </c>
      <c r="L68" s="753">
        <v>0</v>
      </c>
      <c r="M68" s="660">
        <f>IF(L68&lt;2700,L68*0.0105,IF(L68&lt;3200,L68*0.01175,IF(L68&lt;3700,L68*0.013,IF(L68&gt;3699,L68*0.01425,""))))</f>
        <v>0</v>
      </c>
      <c r="N68" s="580">
        <v>18</v>
      </c>
      <c r="O68" s="762"/>
      <c r="P68" s="660">
        <f>IF(O68&lt;2700,O68*0.0105,IF(O68&lt;3200,O68*0.01175,IF(O68&lt;3700,O68*0.013,IF(O68&gt;3699,O68*0.01425,""))))</f>
        <v>0</v>
      </c>
      <c r="Q68" s="580"/>
      <c r="R68" s="753">
        <v>4235.577889447236</v>
      </c>
      <c r="S68" s="598">
        <f>IF(R68&lt;2700,R68*0.0085,IF(R68&lt;3200,R68*0.01,IF(R68&lt;3700,R68*0.0105,IF(R68&gt;3699,R68*0.01175,""))))</f>
        <v>49.768040201005022</v>
      </c>
      <c r="T68" s="580"/>
      <c r="U68" s="753">
        <v>2880</v>
      </c>
      <c r="V68" s="598">
        <f>IF(U68&lt;2700,U68*0.0085,IF(U68&lt;3200,U68*0.01,IF(U68&lt;3700,U68*0.0105,IF(U68&gt;3699,U68*0.01175,""))))</f>
        <v>28.8</v>
      </c>
      <c r="W68" s="580"/>
      <c r="X68" s="762">
        <v>2844.7839195979896</v>
      </c>
      <c r="Y68" s="598">
        <f>IF(X68&lt;2700,X68*0.0085,IF(X68&lt;3200,X68*0.01,IF(X68&lt;3700,X68*0.0105,IF(X68&gt;3699,X68*0.01175,""))))</f>
        <v>28.447839195979896</v>
      </c>
      <c r="Z68" s="580"/>
      <c r="AA68" s="762">
        <v>2501.788944723618</v>
      </c>
      <c r="AB68" s="598">
        <f>IF(AA68&lt;2700,AA68*0.0085,IF(AA68&lt;3200,AA68*0.01,IF(AA68&lt;3700,AA68*0.0105,IF(AA68&gt;3699,AA68*0.01175,""))))</f>
        <v>21.265206030150754</v>
      </c>
      <c r="AC68" s="580"/>
      <c r="AD68" s="753">
        <v>1253.7889447236182</v>
      </c>
      <c r="AE68" s="598">
        <f>IF(AD68&lt;2700,AD68*0.0085,IF(AD68&lt;3200,AD68*0.01,IF(AD68&lt;3700,AD68*0.0105,IF(AD68&gt;3699,AD68*0.01175,""))))</f>
        <v>10.657206030150755</v>
      </c>
      <c r="AF68" s="580">
        <v>40</v>
      </c>
      <c r="AG68" s="753">
        <v>0</v>
      </c>
      <c r="AH68" s="660">
        <f>IF(AG68&lt;2700,AG68*0.0105,IF(AG68&lt;3200,AG68*0.01175,IF(AG68&lt;3700,AG68*0.013,IF(AG68&gt;3699,AG68*0.01425,""))))</f>
        <v>0</v>
      </c>
      <c r="AI68" s="580"/>
      <c r="AJ68" s="753">
        <v>3698.653266331658</v>
      </c>
      <c r="AK68" s="598">
        <f>IF(AJ68&lt;2700,AJ68*0.0085,IF(AJ68&lt;3200,AJ68*0.01,IF(AJ68&lt;3700,AJ68*0.0105,IF(AJ68&gt;3699,AJ68*0.01175,""))))</f>
        <v>38.835859296482411</v>
      </c>
      <c r="AL68" s="580"/>
      <c r="AM68" s="753">
        <v>3554.4120603015072</v>
      </c>
      <c r="AN68" s="598">
        <f>IF(AM68&lt;2700,AM68*0.0085,IF(AM68&lt;3200,AM68*0.01,IF(AM68&lt;3700,AM68*0.0105,IF(AM68&gt;3699,AM68*0.01175,""))))</f>
        <v>37.321326633165825</v>
      </c>
      <c r="AO68" s="580"/>
      <c r="AP68" s="620">
        <v>0</v>
      </c>
      <c r="AQ68" s="660">
        <f>IF(AP68&lt;2700,AP68*0.0105,IF(AP68&lt;3200,AP68*0.01175,IF(AP68&lt;3700,AP68*0.013,IF(AP68&gt;3699,AP68*0.01425,""))))</f>
        <v>0</v>
      </c>
      <c r="AR68" s="580">
        <v>14</v>
      </c>
      <c r="AS68" s="753">
        <v>4090.3718592964824</v>
      </c>
      <c r="AT68" s="598">
        <f>IF(AS68&lt;2700,AS68*0.0085,IF(AS68&lt;3200,AS68*0.01,IF(AS68&lt;3700,AS68*0.0105,IF(AS68&gt;3699,AS68*0.01175,""))))</f>
        <v>48.061869346733666</v>
      </c>
      <c r="AU68" s="580"/>
      <c r="AV68" s="762"/>
      <c r="AW68" s="660">
        <f>IF(AV68&lt;2700,AV68*0.0105,IF(AV68&lt;3200,AV68*0.01175,IF(AV68&lt;3700,AV68*0.013,IF(AV68&gt;3699,AV68*0.01425,""))))</f>
        <v>0</v>
      </c>
      <c r="AX68" s="580"/>
      <c r="AY68" s="762"/>
      <c r="AZ68" s="660">
        <f>IF(AY68&lt;2700,AY68*0.0105,IF(AY68&lt;3200,AY68*0.01175,IF(AY68&lt;3700,AY68*0.013,IF(AY68&gt;3699,AY68*0.01425,""))))</f>
        <v>0</v>
      </c>
      <c r="BA68" s="580"/>
      <c r="BB68" s="486">
        <f t="shared" si="70"/>
        <v>25059.376884422109</v>
      </c>
      <c r="BC68" s="487">
        <f t="shared" si="70"/>
        <v>263.15734673366831</v>
      </c>
      <c r="BD68" s="488">
        <f t="shared" si="70"/>
        <v>108</v>
      </c>
      <c r="BE68" s="489"/>
      <c r="BF68" s="490">
        <f t="shared" si="71"/>
        <v>371.15734673366831</v>
      </c>
      <c r="BG68" s="762">
        <v>4243.29648241206</v>
      </c>
      <c r="BH68" s="598">
        <f>IF(BG68&lt;2700,BG68*0.0085,IF(BG68&lt;3200,BG68*0.01,IF(BG68&lt;3700,BG68*0.0105,IF(BG68&gt;3699,BG68*0.01175,""))))</f>
        <v>49.858733668341706</v>
      </c>
      <c r="BI68" s="580"/>
      <c r="BJ68" s="620">
        <v>0</v>
      </c>
      <c r="BK68" s="660">
        <f>IF(BJ68&lt;2700,BJ68*0.0105,IF(BJ68&lt;3200,BJ68*0.01175,IF(BJ68&lt;3700,BJ68*0.013,IF(BJ68&gt;3699,BJ68*0.01425,""))))</f>
        <v>0</v>
      </c>
      <c r="BL68" s="517">
        <v>0</v>
      </c>
      <c r="BM68" s="753">
        <v>3133.7487437185928</v>
      </c>
      <c r="BN68" s="598">
        <f>IF(BM68&lt;2700,BM68*0.0085,IF(BM68&lt;3200,BM68*0.01,IF(BM68&lt;3700,BM68*0.0105,IF(BM68&gt;3699,BM68*0.01175,""))))</f>
        <v>31.337487437185928</v>
      </c>
      <c r="BO68" s="580"/>
      <c r="BP68" s="753">
        <v>3044.9849246231151</v>
      </c>
      <c r="BQ68" s="598">
        <f>IF(BP68&lt;2700,BP68*0.0085,IF(BP68&lt;3200,BP68*0.01,IF(BP68&lt;3700,BP68*0.0105,IF(BP68&gt;3699,BP68*0.01175,""))))</f>
        <v>30.449849246231153</v>
      </c>
      <c r="BR68" s="580"/>
      <c r="BS68" s="753">
        <v>0</v>
      </c>
      <c r="BT68" s="660">
        <f>IF(BS68&lt;2700,BS68*0.0105,IF(BS68&lt;3200,BS68*0.01175,IF(BS68&lt;3700,BS68*0.013,IF(BS68&gt;3699,BS68*0.01425,""))))</f>
        <v>0</v>
      </c>
      <c r="BU68" s="517">
        <v>18</v>
      </c>
      <c r="BV68" s="753">
        <v>3044.9849246231151</v>
      </c>
      <c r="BW68" s="598">
        <f>IF(BV68&lt;2700,BV68*0.0085,IF(BV68&lt;3200,BV68*0.01,IF(BV68&lt;3700,BV68*0.0105,IF(BV68&gt;3699,BV68*0.01175,""))))</f>
        <v>30.449849246231153</v>
      </c>
      <c r="BX68" s="580"/>
      <c r="BY68" s="753">
        <v>1389.8291457286434</v>
      </c>
      <c r="BZ68" s="598">
        <f>IF(BY68&lt;2700,BY68*0.0085,IF(BY68&lt;3200,BY68*0.01,IF(BY68&lt;3700,BY68*0.0105,IF(BY68&gt;3699,BY68*0.01175,""))))</f>
        <v>11.813547738693471</v>
      </c>
      <c r="CA68" s="580"/>
      <c r="CB68" s="762">
        <v>0</v>
      </c>
      <c r="CC68" s="660">
        <f>IF(CB68&lt;2700,CB68*0.0105,IF(CB68&lt;3200,CB68*0.01175,IF(CB68&lt;3700,CB68*0.013,IF(CB68&gt;3699,CB68*0.01425,""))))</f>
        <v>0</v>
      </c>
      <c r="CD68" s="580">
        <v>0</v>
      </c>
      <c r="CE68" s="753">
        <v>0</v>
      </c>
      <c r="CF68" s="660">
        <f>IF(CE68&lt;2700,CE68*0.0105,IF(CE68&lt;3200,CE68*0.01175,IF(CE68&lt;3700,CE68*0.013,IF(CE68&gt;3699,CE68*0.01425,""))))</f>
        <v>0</v>
      </c>
      <c r="CG68" s="580">
        <v>18</v>
      </c>
      <c r="CH68" s="579">
        <v>0</v>
      </c>
      <c r="CI68" s="660">
        <f>IF(CH68&lt;2700,CH68*0.0105,IF(CH68&lt;3200,CH68*0.01175,IF(CH68&lt;3700,CH68*0.013,IF(CH68&gt;3699,CH68*0.01425,""))))</f>
        <v>0</v>
      </c>
      <c r="CJ68" s="580"/>
      <c r="CK68" s="579">
        <v>0</v>
      </c>
      <c r="CL68" s="660">
        <f>IF(CK68&lt;2700,CK68*0.0105,IF(CK68&lt;3200,CK68*0.01175,IF(CK68&lt;3700,CK68*0.013,IF(CK68&gt;3699,CK68*0.01425,""))))</f>
        <v>0</v>
      </c>
      <c r="CM68" s="580"/>
      <c r="CN68" s="579">
        <v>0</v>
      </c>
      <c r="CO68" s="660">
        <f>IF(CN68&lt;2700,CN68*0.0105,IF(CN68&lt;3200,CN68*0.01175,IF(CN68&lt;3700,CN68*0.013,IF(CN68&gt;3699,CN68*0.01425,""))))</f>
        <v>0</v>
      </c>
      <c r="CP68" s="580"/>
      <c r="CQ68" s="579">
        <v>0</v>
      </c>
      <c r="CR68" s="660">
        <f>IF(CQ68&lt;2700,CQ68*0.0105,IF(CQ68&lt;3200,CQ68*0.01175,IF(CQ68&lt;3700,CQ68*0.013,IF(CQ68&gt;3699,CQ68*0.01425,""))))</f>
        <v>0</v>
      </c>
      <c r="CS68" s="580"/>
      <c r="CT68" s="495">
        <f t="shared" si="72"/>
        <v>14856.844221105526</v>
      </c>
      <c r="CU68" s="496">
        <f t="shared" si="72"/>
        <v>153.90946733668341</v>
      </c>
      <c r="CV68" s="497">
        <f t="shared" si="73"/>
        <v>36</v>
      </c>
      <c r="CW68" s="646"/>
      <c r="CX68" s="498">
        <f t="shared" si="74"/>
        <v>189.90946733668341</v>
      </c>
      <c r="CY68" s="499">
        <f t="shared" si="75"/>
        <v>39916.221105527635</v>
      </c>
      <c r="CZ68" s="500">
        <f t="shared" si="75"/>
        <v>417.06681407035171</v>
      </c>
      <c r="DA68" s="501">
        <f t="shared" si="75"/>
        <v>144</v>
      </c>
      <c r="DB68" s="502">
        <f t="shared" si="76"/>
        <v>561.06681407035171</v>
      </c>
    </row>
    <row r="69" spans="1:148" ht="15.75" customHeight="1" x14ac:dyDescent="0.25">
      <c r="A69" s="721">
        <f t="shared" si="77"/>
        <v>57</v>
      </c>
      <c r="B69" s="776" t="s">
        <v>111</v>
      </c>
      <c r="C69" s="777" t="s">
        <v>663</v>
      </c>
      <c r="D69" s="635" t="s">
        <v>664</v>
      </c>
      <c r="E69" s="636" t="s">
        <v>665</v>
      </c>
      <c r="F69" s="778"/>
      <c r="G69" s="779">
        <f>IF(F69&lt;2700,F69*0.0101,IF(F69&lt;3200,F69*0.01135,IF(F69&lt;3700,F69*0.0126,IF(F69&gt;3699,F69*0.01385,""))))</f>
        <v>0</v>
      </c>
      <c r="H69" s="779"/>
      <c r="I69" s="778"/>
      <c r="J69" s="779">
        <f>IF(I69&lt;2700,I69*0.0101,IF(I69&lt;3200,I69*0.01135,IF(I69&lt;3700,I69*0.0126,IF(I69&gt;3699,I69*0.01385,""))))</f>
        <v>0</v>
      </c>
      <c r="K69" s="779"/>
      <c r="L69" s="778"/>
      <c r="M69" s="779">
        <f>IF(L69&lt;2700,L69*0.0101,IF(L69&lt;3200,L69*0.01135,IF(L69&lt;3700,L69*0.0126,IF(L69&gt;3699,L69*0.01385,""))))</f>
        <v>0</v>
      </c>
      <c r="N69" s="779"/>
      <c r="O69" s="780"/>
      <c r="P69" s="779">
        <f>IF(O69&lt;2700,O69*0.0101,IF(O69&lt;3200,O69*0.01135,IF(O69&lt;3700,O69*0.0126,IF(O69&gt;3699,O69*0.01385,""))))</f>
        <v>0</v>
      </c>
      <c r="Q69" s="779"/>
      <c r="R69" s="780"/>
      <c r="S69" s="779">
        <f>IF(R69&lt;2700,R69*0.0101,IF(R69&lt;3200,R69*0.01135,IF(R69&lt;3700,R69*0.0126,IF(R69&gt;3699,R69*0.01385,""))))</f>
        <v>0</v>
      </c>
      <c r="T69" s="779"/>
      <c r="U69" s="780"/>
      <c r="V69" s="779">
        <f>IF(U69&lt;2700,U69*0.0101,IF(U69&lt;3200,U69*0.01135,IF(U69&lt;3700,U69*0.0126,IF(U69&gt;3699,U69*0.01385,""))))</f>
        <v>0</v>
      </c>
      <c r="W69" s="779"/>
      <c r="X69" s="780"/>
      <c r="Y69" s="779">
        <f>IF(X69&lt;2700,X69*0.0101,IF(X69&lt;3200,X69*0.01135,IF(X69&lt;3700,X69*0.0126,IF(X69&gt;3699,X69*0.01385,""))))</f>
        <v>0</v>
      </c>
      <c r="Z69" s="779"/>
      <c r="AA69" s="780"/>
      <c r="AB69" s="779">
        <f>IF(AA69&lt;2700,AA69*0.0101,IF(AA69&lt;3200,AA69*0.01135,IF(AA69&lt;3700,AA69*0.0126,IF(AA69&gt;3699,AA69*0.01385,""))))</f>
        <v>0</v>
      </c>
      <c r="AC69" s="779"/>
      <c r="AD69" s="780"/>
      <c r="AE69" s="779">
        <f>IF(AD69&lt;2700,AD69*0.0101,IF(AD69&lt;3200,AD69*0.01135,IF(AD69&lt;3700,AD69*0.0126,IF(AD69&gt;3699,AD69*0.01385,""))))</f>
        <v>0</v>
      </c>
      <c r="AF69" s="779"/>
      <c r="AG69" s="780"/>
      <c r="AH69" s="779">
        <f>IF(AG69&lt;2700,AG69*0.0101,IF(AG69&lt;3200,AG69*0.01135,IF(AG69&lt;3700,AG69*0.0126,IF(AG69&gt;3699,AG69*0.01385,""))))</f>
        <v>0</v>
      </c>
      <c r="AI69" s="779"/>
      <c r="AJ69" s="780"/>
      <c r="AK69" s="779">
        <f>IF(AJ69&lt;2700,AJ69*0.0101,IF(AJ69&lt;3200,AJ69*0.01135,IF(AJ69&lt;3700,AJ69*0.0126,IF(AJ69&gt;3699,AJ69*0.01385,""))))</f>
        <v>0</v>
      </c>
      <c r="AL69" s="779"/>
      <c r="AM69" s="780"/>
      <c r="AN69" s="779">
        <f>IF(AM69&lt;2700,AM69*0.0101,IF(AM69&lt;3200,AM69*0.01135,IF(AM69&lt;3700,AM69*0.0126,IF(AM69&gt;3699,AM69*0.01385,""))))</f>
        <v>0</v>
      </c>
      <c r="AO69" s="779"/>
      <c r="AP69" s="780"/>
      <c r="AQ69" s="779">
        <f>IF(AP69&lt;2700,AP69*0.0101,IF(AP69&lt;3200,AP69*0.01135,IF(AP69&lt;3700,AP69*0.0126,IF(AP69&gt;3699,AP69*0.01385,""))))</f>
        <v>0</v>
      </c>
      <c r="AR69" s="779"/>
      <c r="AS69" s="780"/>
      <c r="AT69" s="779">
        <f>IF(AS69&lt;2700,AS69*0.0101,IF(AS69&lt;3200,AS69*0.01135,IF(AS69&lt;3700,AS69*0.0126,IF(AS69&gt;3699,AS69*0.01385,""))))</f>
        <v>0</v>
      </c>
      <c r="AU69" s="779"/>
      <c r="AV69" s="780"/>
      <c r="AW69" s="779">
        <f>IF(AV69&lt;2700,AV69*0.0101,IF(AV69&lt;3200,AV69*0.01135,IF(AV69&lt;3700,AV69*0.0126,IF(AV69&gt;3699,AV69*0.01385,""))))</f>
        <v>0</v>
      </c>
      <c r="AX69" s="779"/>
      <c r="AY69" s="780"/>
      <c r="AZ69" s="779">
        <f>IF(AY69&lt;2700,AY69*0.0101,IF(AY69&lt;3200,AY69*0.01135,IF(AY69&lt;3700,AY69*0.0126,IF(AY69&gt;3699,AY69*0.01385,""))))</f>
        <v>0</v>
      </c>
      <c r="BA69" s="779"/>
      <c r="BB69" s="781">
        <f t="shared" si="70"/>
        <v>0</v>
      </c>
      <c r="BC69" s="782">
        <f t="shared" si="70"/>
        <v>0</v>
      </c>
      <c r="BD69" s="779">
        <f t="shared" si="70"/>
        <v>0</v>
      </c>
      <c r="BE69" s="783"/>
      <c r="BF69" s="784">
        <f t="shared" si="71"/>
        <v>0</v>
      </c>
      <c r="BG69" s="780"/>
      <c r="BH69" s="779">
        <f>IF(BG69&lt;2700,BG69*0.0101,IF(BG69&lt;3200,BG69*0.01135,IF(BG69&lt;3700,BG69*0.0126,IF(BG69&gt;3699,BG69*0.01385,""))))</f>
        <v>0</v>
      </c>
      <c r="BI69" s="779"/>
      <c r="BJ69" s="780"/>
      <c r="BK69" s="779">
        <f>IF(BJ69&lt;2700,BJ69*0.0101,IF(BJ69&lt;3200,BJ69*0.01135,IF(BJ69&lt;3700,BJ69*0.0126,IF(BJ69&gt;3699,BJ69*0.01385,""))))</f>
        <v>0</v>
      </c>
      <c r="BL69" s="779"/>
      <c r="BM69" s="778"/>
      <c r="BN69" s="779">
        <f>IF(BM69&lt;2700,BM69*0.0101,IF(BM69&lt;3200,BM69*0.01135,IF(BM69&lt;3700,BM69*0.0126,IF(BM69&gt;3699,BM69*0.01385,""))))</f>
        <v>0</v>
      </c>
      <c r="BO69" s="779"/>
      <c r="BP69" s="778"/>
      <c r="BQ69" s="779">
        <f>IF(BP69&lt;2700,BP69*0.0101,IF(BP69&lt;3200,BP69*0.01135,IF(BP69&lt;3700,BP69*0.0126,IF(BP69&gt;3699,BP69*0.01385,""))))</f>
        <v>0</v>
      </c>
      <c r="BR69" s="779"/>
      <c r="BS69" s="778"/>
      <c r="BT69" s="779">
        <f>IF(BS69&lt;2700,BS69*0.0101,IF(BS69&lt;3200,BS69*0.01135,IF(BS69&lt;3700,BS69*0.0126,IF(BS69&gt;3699,BS69*0.01385,""))))</f>
        <v>0</v>
      </c>
      <c r="BU69" s="779"/>
      <c r="BV69" s="778"/>
      <c r="BW69" s="779">
        <f>IF(BV69&lt;2700,BV69*0.0101,IF(BV69&lt;3200,BV69*0.01135,IF(BV69&lt;3700,BV69*0.0126,IF(BV69&gt;3699,BV69*0.01385,""))))</f>
        <v>0</v>
      </c>
      <c r="BX69" s="779"/>
      <c r="BY69" s="778"/>
      <c r="BZ69" s="779">
        <f>IF(BY69&lt;2700,BY69*0.0101,IF(BY69&lt;3200,BY69*0.01135,IF(BY69&lt;3700,BY69*0.0126,IF(BY69&gt;3699,BY69*0.01385,""))))</f>
        <v>0</v>
      </c>
      <c r="CA69" s="779"/>
      <c r="CB69" s="780"/>
      <c r="CC69" s="779">
        <f>IF(CB69&lt;2700,CB69*0.0101,IF(CB69&lt;3200,CB69*0.01135,IF(CB69&lt;3700,CB69*0.0126,IF(CB69&gt;3699,CB69*0.01385,""))))</f>
        <v>0</v>
      </c>
      <c r="CD69" s="779"/>
      <c r="CE69" s="780"/>
      <c r="CF69" s="779">
        <f>IF(CE69&lt;2700,CE69*0.0101,IF(CE69&lt;3200,CE69*0.01135,IF(CE69&lt;3700,CE69*0.0126,IF(CE69&gt;3699,CE69*0.01385,""))))</f>
        <v>0</v>
      </c>
      <c r="CG69" s="779"/>
      <c r="CH69" s="780"/>
      <c r="CI69" s="779">
        <f>IF(CH69&lt;2700,CH69*0.0101,IF(CH69&lt;3200,CH69*0.01135,IF(CH69&lt;3700,CH69*0.0126,IF(CH69&gt;3699,CH69*0.01385,""))))</f>
        <v>0</v>
      </c>
      <c r="CJ69" s="779"/>
      <c r="CK69" s="780"/>
      <c r="CL69" s="779">
        <f>IF(CK69&lt;2700,CK69*0.0101,IF(CK69&lt;3200,CK69*0.01135,IF(CK69&lt;3700,CK69*0.0126,IF(CK69&gt;3699,CK69*0.01385,""))))</f>
        <v>0</v>
      </c>
      <c r="CM69" s="779"/>
      <c r="CN69" s="780"/>
      <c r="CO69" s="779">
        <f>IF(CN69&lt;2700,CN69*0.0101,IF(CN69&lt;3200,CN69*0.01135,IF(CN69&lt;3700,CN69*0.0126,IF(CN69&gt;3699,CN69*0.01385,""))))</f>
        <v>0</v>
      </c>
      <c r="CP69" s="779"/>
      <c r="CQ69" s="780"/>
      <c r="CR69" s="779">
        <f>IF(CQ69&lt;2700,CQ69*0.0101,IF(CQ69&lt;3200,CQ69*0.01135,IF(CQ69&lt;3700,CQ69*0.0126,IF(CQ69&gt;3699,CQ69*0.01385,""))))</f>
        <v>0</v>
      </c>
      <c r="CS69" s="779"/>
      <c r="CT69" s="785">
        <f t="shared" si="72"/>
        <v>0</v>
      </c>
      <c r="CU69" s="786">
        <f t="shared" si="72"/>
        <v>0</v>
      </c>
      <c r="CV69" s="779">
        <f t="shared" si="73"/>
        <v>0</v>
      </c>
      <c r="CW69" s="783"/>
      <c r="CX69" s="787">
        <f t="shared" si="74"/>
        <v>0</v>
      </c>
      <c r="CY69" s="788">
        <f t="shared" si="75"/>
        <v>0</v>
      </c>
      <c r="CZ69" s="789">
        <f t="shared" si="75"/>
        <v>0</v>
      </c>
      <c r="DA69" s="789">
        <f t="shared" si="75"/>
        <v>0</v>
      </c>
      <c r="DB69" s="790">
        <f t="shared" si="76"/>
        <v>0</v>
      </c>
      <c r="DC69" s="791" t="s">
        <v>666</v>
      </c>
      <c r="DE69" s="570"/>
      <c r="DF69" s="570"/>
      <c r="DG69" s="570"/>
    </row>
    <row r="70" spans="1:148" ht="15.75" customHeight="1" x14ac:dyDescent="0.25">
      <c r="A70" s="721">
        <f t="shared" si="77"/>
        <v>58</v>
      </c>
      <c r="B70" s="792" t="s">
        <v>115</v>
      </c>
      <c r="C70" s="793" t="s">
        <v>663</v>
      </c>
      <c r="D70" s="794" t="s">
        <v>667</v>
      </c>
      <c r="E70" s="795" t="s">
        <v>668</v>
      </c>
      <c r="F70" s="796"/>
      <c r="G70" s="797">
        <v>0</v>
      </c>
      <c r="H70" s="779"/>
      <c r="I70" s="796"/>
      <c r="J70" s="797">
        <v>0</v>
      </c>
      <c r="K70" s="779"/>
      <c r="L70" s="796"/>
      <c r="M70" s="797">
        <v>0</v>
      </c>
      <c r="N70" s="779"/>
      <c r="O70" s="798"/>
      <c r="P70" s="797">
        <v>0</v>
      </c>
      <c r="Q70" s="779"/>
      <c r="R70" s="798"/>
      <c r="S70" s="797">
        <v>0</v>
      </c>
      <c r="T70" s="779"/>
      <c r="U70" s="798"/>
      <c r="V70" s="797">
        <v>0</v>
      </c>
      <c r="W70" s="779"/>
      <c r="X70" s="798"/>
      <c r="Y70" s="797">
        <v>0</v>
      </c>
      <c r="Z70" s="779"/>
      <c r="AA70" s="798"/>
      <c r="AB70" s="797">
        <v>0</v>
      </c>
      <c r="AC70" s="779"/>
      <c r="AD70" s="798"/>
      <c r="AE70" s="797">
        <v>0</v>
      </c>
      <c r="AF70" s="779"/>
      <c r="AG70" s="798"/>
      <c r="AH70" s="797">
        <v>0</v>
      </c>
      <c r="AI70" s="779"/>
      <c r="AJ70" s="798"/>
      <c r="AK70" s="797">
        <v>0</v>
      </c>
      <c r="AL70" s="779"/>
      <c r="AM70" s="798"/>
      <c r="AN70" s="797">
        <v>0</v>
      </c>
      <c r="AO70" s="779"/>
      <c r="AP70" s="798"/>
      <c r="AQ70" s="797">
        <v>0</v>
      </c>
      <c r="AR70" s="779"/>
      <c r="AS70" s="798"/>
      <c r="AT70" s="797">
        <v>0</v>
      </c>
      <c r="AU70" s="779"/>
      <c r="AV70" s="798"/>
      <c r="AW70" s="797">
        <v>0</v>
      </c>
      <c r="AX70" s="779"/>
      <c r="AY70" s="798"/>
      <c r="AZ70" s="797">
        <v>0</v>
      </c>
      <c r="BA70" s="779"/>
      <c r="BB70" s="781">
        <f t="shared" ref="BB70:BD72" si="91">+F70+I70+L70+O70+R70+U70+X70+AA70+AD70+AG70+AJ70+AM70+AP70+AS70+AV70+AY70</f>
        <v>0</v>
      </c>
      <c r="BC70" s="782">
        <f t="shared" si="91"/>
        <v>0</v>
      </c>
      <c r="BD70" s="779">
        <f t="shared" si="91"/>
        <v>0</v>
      </c>
      <c r="BE70" s="783"/>
      <c r="BF70" s="784">
        <f t="shared" si="71"/>
        <v>0</v>
      </c>
      <c r="BG70" s="798"/>
      <c r="BH70" s="797">
        <v>0</v>
      </c>
      <c r="BI70" s="779"/>
      <c r="BJ70" s="798"/>
      <c r="BK70" s="797">
        <v>0</v>
      </c>
      <c r="BL70" s="779"/>
      <c r="BM70" s="796"/>
      <c r="BN70" s="797">
        <v>0</v>
      </c>
      <c r="BO70" s="779"/>
      <c r="BP70" s="796"/>
      <c r="BQ70" s="797">
        <v>0</v>
      </c>
      <c r="BR70" s="779"/>
      <c r="BS70" s="796"/>
      <c r="BT70" s="797">
        <v>0</v>
      </c>
      <c r="BU70" s="779"/>
      <c r="BV70" s="796"/>
      <c r="BW70" s="797">
        <v>0</v>
      </c>
      <c r="BX70" s="779"/>
      <c r="BY70" s="796"/>
      <c r="BZ70" s="797">
        <v>0</v>
      </c>
      <c r="CA70" s="779"/>
      <c r="CB70" s="798"/>
      <c r="CC70" s="797">
        <v>0</v>
      </c>
      <c r="CD70" s="779"/>
      <c r="CE70" s="798"/>
      <c r="CF70" s="797">
        <v>0</v>
      </c>
      <c r="CG70" s="779"/>
      <c r="CH70" s="798"/>
      <c r="CI70" s="797">
        <v>0</v>
      </c>
      <c r="CJ70" s="779"/>
      <c r="CK70" s="798"/>
      <c r="CL70" s="797">
        <v>0</v>
      </c>
      <c r="CM70" s="779"/>
      <c r="CN70" s="798"/>
      <c r="CO70" s="797">
        <v>0</v>
      </c>
      <c r="CP70" s="779"/>
      <c r="CQ70" s="798"/>
      <c r="CR70" s="797">
        <v>0</v>
      </c>
      <c r="CS70" s="779"/>
      <c r="CT70" s="799">
        <f t="shared" ref="CT70:CU72" si="92">BG70+BJ70+BM70+BP70+BS70+BV70+BY70+CB70+CH70+CK70+CN70+CQ70+CE70</f>
        <v>0</v>
      </c>
      <c r="CU70" s="786">
        <f t="shared" si="92"/>
        <v>0</v>
      </c>
      <c r="CV70" s="779">
        <f t="shared" si="73"/>
        <v>0</v>
      </c>
      <c r="CW70" s="783"/>
      <c r="CX70" s="787">
        <f t="shared" si="74"/>
        <v>0</v>
      </c>
      <c r="CY70" s="800">
        <f t="shared" ref="CY70:DA72" si="93">+BB70+CT70</f>
        <v>0</v>
      </c>
      <c r="CZ70" s="789">
        <f t="shared" si="93"/>
        <v>0</v>
      </c>
      <c r="DA70" s="789">
        <f t="shared" si="93"/>
        <v>0</v>
      </c>
      <c r="DB70" s="790">
        <f t="shared" si="76"/>
        <v>0</v>
      </c>
      <c r="DC70" s="791" t="s">
        <v>663</v>
      </c>
    </row>
    <row r="71" spans="1:148" s="570" customFormat="1" ht="15.75" customHeight="1" x14ac:dyDescent="0.25">
      <c r="A71" s="721">
        <f t="shared" si="77"/>
        <v>59</v>
      </c>
      <c r="B71" s="801" t="s">
        <v>160</v>
      </c>
      <c r="C71" s="801" t="s">
        <v>669</v>
      </c>
      <c r="D71" s="802" t="s">
        <v>670</v>
      </c>
      <c r="E71" s="803" t="s">
        <v>671</v>
      </c>
      <c r="F71" s="804"/>
      <c r="G71" s="805">
        <v>0</v>
      </c>
      <c r="H71" s="806"/>
      <c r="I71" s="804"/>
      <c r="J71" s="805">
        <v>0</v>
      </c>
      <c r="K71" s="806"/>
      <c r="L71" s="804"/>
      <c r="M71" s="805">
        <v>0</v>
      </c>
      <c r="N71" s="806"/>
      <c r="O71" s="807"/>
      <c r="P71" s="805">
        <v>0</v>
      </c>
      <c r="Q71" s="806"/>
      <c r="R71" s="807"/>
      <c r="S71" s="805">
        <v>0</v>
      </c>
      <c r="T71" s="806"/>
      <c r="U71" s="807"/>
      <c r="V71" s="805">
        <v>0</v>
      </c>
      <c r="W71" s="806"/>
      <c r="X71" s="807"/>
      <c r="Y71" s="805">
        <v>0</v>
      </c>
      <c r="Z71" s="806"/>
      <c r="AA71" s="807"/>
      <c r="AB71" s="805">
        <v>0</v>
      </c>
      <c r="AC71" s="806"/>
      <c r="AD71" s="807"/>
      <c r="AE71" s="805">
        <v>0</v>
      </c>
      <c r="AF71" s="806"/>
      <c r="AG71" s="807"/>
      <c r="AH71" s="805">
        <v>0</v>
      </c>
      <c r="AI71" s="806"/>
      <c r="AJ71" s="807"/>
      <c r="AK71" s="805">
        <v>0</v>
      </c>
      <c r="AL71" s="806"/>
      <c r="AM71" s="807"/>
      <c r="AN71" s="805">
        <v>0</v>
      </c>
      <c r="AO71" s="806"/>
      <c r="AP71" s="807"/>
      <c r="AQ71" s="805">
        <v>0</v>
      </c>
      <c r="AR71" s="806"/>
      <c r="AS71" s="807"/>
      <c r="AT71" s="805">
        <v>0</v>
      </c>
      <c r="AU71" s="806"/>
      <c r="AV71" s="807"/>
      <c r="AW71" s="805">
        <v>0</v>
      </c>
      <c r="AX71" s="806"/>
      <c r="AY71" s="807"/>
      <c r="AZ71" s="805">
        <v>0</v>
      </c>
      <c r="BA71" s="806"/>
      <c r="BB71" s="808">
        <f t="shared" si="91"/>
        <v>0</v>
      </c>
      <c r="BC71" s="809">
        <f t="shared" si="91"/>
        <v>0</v>
      </c>
      <c r="BD71" s="805">
        <f t="shared" si="91"/>
        <v>0</v>
      </c>
      <c r="BE71" s="810"/>
      <c r="BF71" s="811">
        <f t="shared" si="71"/>
        <v>0</v>
      </c>
      <c r="BG71" s="807"/>
      <c r="BH71" s="805">
        <v>0</v>
      </c>
      <c r="BI71" s="806"/>
      <c r="BJ71" s="807"/>
      <c r="BK71" s="805">
        <v>0</v>
      </c>
      <c r="BL71" s="806"/>
      <c r="BM71" s="804"/>
      <c r="BN71" s="805">
        <v>0</v>
      </c>
      <c r="BO71" s="806"/>
      <c r="BP71" s="804"/>
      <c r="BQ71" s="805">
        <v>0</v>
      </c>
      <c r="BR71" s="806"/>
      <c r="BS71" s="804"/>
      <c r="BT71" s="805">
        <v>0</v>
      </c>
      <c r="BU71" s="806"/>
      <c r="BV71" s="804"/>
      <c r="BW71" s="805">
        <v>0</v>
      </c>
      <c r="BX71" s="806"/>
      <c r="BY71" s="804"/>
      <c r="BZ71" s="805">
        <v>0</v>
      </c>
      <c r="CA71" s="806"/>
      <c r="CB71" s="807"/>
      <c r="CC71" s="805">
        <v>0</v>
      </c>
      <c r="CD71" s="806"/>
      <c r="CE71" s="807"/>
      <c r="CF71" s="805">
        <v>0</v>
      </c>
      <c r="CG71" s="806"/>
      <c r="CH71" s="807"/>
      <c r="CI71" s="805">
        <v>0</v>
      </c>
      <c r="CJ71" s="806"/>
      <c r="CK71" s="807"/>
      <c r="CL71" s="805">
        <v>0</v>
      </c>
      <c r="CM71" s="806"/>
      <c r="CN71" s="807"/>
      <c r="CO71" s="805">
        <v>0</v>
      </c>
      <c r="CP71" s="806"/>
      <c r="CQ71" s="807"/>
      <c r="CR71" s="805">
        <v>0</v>
      </c>
      <c r="CS71" s="806"/>
      <c r="CT71" s="812">
        <f t="shared" si="92"/>
        <v>0</v>
      </c>
      <c r="CU71" s="813">
        <f t="shared" si="92"/>
        <v>0</v>
      </c>
      <c r="CV71" s="805">
        <f t="shared" si="73"/>
        <v>0</v>
      </c>
      <c r="CW71" s="810"/>
      <c r="CX71" s="814">
        <f t="shared" si="74"/>
        <v>0</v>
      </c>
      <c r="CY71" s="815">
        <f t="shared" si="93"/>
        <v>0</v>
      </c>
      <c r="CZ71" s="816">
        <f t="shared" si="93"/>
        <v>0</v>
      </c>
      <c r="DA71" s="816">
        <f t="shared" si="93"/>
        <v>0</v>
      </c>
      <c r="DB71" s="817">
        <f t="shared" si="76"/>
        <v>0</v>
      </c>
      <c r="DC71" s="818" t="s">
        <v>669</v>
      </c>
      <c r="DD71" s="398"/>
    </row>
    <row r="72" spans="1:148" s="571" customFormat="1" ht="15.75" customHeight="1" thickBot="1" x14ac:dyDescent="0.3">
      <c r="A72" s="721">
        <f t="shared" si="77"/>
        <v>60</v>
      </c>
      <c r="B72" s="819" t="s">
        <v>128</v>
      </c>
      <c r="C72" s="801" t="s">
        <v>669</v>
      </c>
      <c r="D72" s="802" t="s">
        <v>672</v>
      </c>
      <c r="E72" s="803" t="s">
        <v>673</v>
      </c>
      <c r="F72" s="804"/>
      <c r="G72" s="805">
        <v>0</v>
      </c>
      <c r="H72" s="820"/>
      <c r="I72" s="804"/>
      <c r="J72" s="805">
        <v>0</v>
      </c>
      <c r="K72" s="820"/>
      <c r="L72" s="804"/>
      <c r="M72" s="805">
        <v>0</v>
      </c>
      <c r="N72" s="820"/>
      <c r="O72" s="807"/>
      <c r="P72" s="805">
        <v>0</v>
      </c>
      <c r="Q72" s="820"/>
      <c r="R72" s="807"/>
      <c r="S72" s="805">
        <v>0</v>
      </c>
      <c r="T72" s="820"/>
      <c r="U72" s="807"/>
      <c r="V72" s="805">
        <v>0</v>
      </c>
      <c r="W72" s="820"/>
      <c r="X72" s="807"/>
      <c r="Y72" s="805">
        <v>0</v>
      </c>
      <c r="Z72" s="820"/>
      <c r="AA72" s="807"/>
      <c r="AB72" s="805">
        <v>0</v>
      </c>
      <c r="AC72" s="820"/>
      <c r="AD72" s="807"/>
      <c r="AE72" s="805">
        <v>0</v>
      </c>
      <c r="AF72" s="820"/>
      <c r="AG72" s="807"/>
      <c r="AH72" s="805">
        <v>0</v>
      </c>
      <c r="AI72" s="820"/>
      <c r="AJ72" s="807"/>
      <c r="AK72" s="805">
        <v>0</v>
      </c>
      <c r="AL72" s="820"/>
      <c r="AM72" s="807"/>
      <c r="AN72" s="805">
        <v>0</v>
      </c>
      <c r="AO72" s="820"/>
      <c r="AP72" s="807"/>
      <c r="AQ72" s="805">
        <v>0</v>
      </c>
      <c r="AR72" s="820"/>
      <c r="AS72" s="807"/>
      <c r="AT72" s="805">
        <v>0</v>
      </c>
      <c r="AU72" s="820"/>
      <c r="AV72" s="807"/>
      <c r="AW72" s="805">
        <v>0</v>
      </c>
      <c r="AX72" s="820"/>
      <c r="AY72" s="807"/>
      <c r="AZ72" s="805">
        <v>0</v>
      </c>
      <c r="BA72" s="820"/>
      <c r="BB72" s="808">
        <f t="shared" si="91"/>
        <v>0</v>
      </c>
      <c r="BC72" s="809">
        <f t="shared" si="91"/>
        <v>0</v>
      </c>
      <c r="BD72" s="805">
        <f t="shared" si="91"/>
        <v>0</v>
      </c>
      <c r="BE72" s="810"/>
      <c r="BF72" s="811">
        <f t="shared" si="71"/>
        <v>0</v>
      </c>
      <c r="BG72" s="807"/>
      <c r="BH72" s="805">
        <v>0</v>
      </c>
      <c r="BI72" s="820"/>
      <c r="BJ72" s="807"/>
      <c r="BK72" s="805">
        <v>0</v>
      </c>
      <c r="BL72" s="820"/>
      <c r="BM72" s="804"/>
      <c r="BN72" s="805">
        <v>0</v>
      </c>
      <c r="BO72" s="820"/>
      <c r="BP72" s="804"/>
      <c r="BQ72" s="805">
        <v>0</v>
      </c>
      <c r="BR72" s="820"/>
      <c r="BS72" s="804"/>
      <c r="BT72" s="805">
        <v>0</v>
      </c>
      <c r="BU72" s="820"/>
      <c r="BV72" s="804"/>
      <c r="BW72" s="805">
        <v>0</v>
      </c>
      <c r="BX72" s="820"/>
      <c r="BY72" s="804"/>
      <c r="BZ72" s="805">
        <v>0</v>
      </c>
      <c r="CA72" s="820"/>
      <c r="CB72" s="807"/>
      <c r="CC72" s="805">
        <v>0</v>
      </c>
      <c r="CD72" s="820"/>
      <c r="CE72" s="807"/>
      <c r="CF72" s="805">
        <v>0</v>
      </c>
      <c r="CG72" s="820"/>
      <c r="CH72" s="807"/>
      <c r="CI72" s="805">
        <v>0</v>
      </c>
      <c r="CJ72" s="820"/>
      <c r="CK72" s="807"/>
      <c r="CL72" s="805">
        <v>0</v>
      </c>
      <c r="CM72" s="820"/>
      <c r="CN72" s="807"/>
      <c r="CO72" s="805">
        <v>0</v>
      </c>
      <c r="CP72" s="820"/>
      <c r="CQ72" s="807"/>
      <c r="CR72" s="805">
        <v>0</v>
      </c>
      <c r="CS72" s="820"/>
      <c r="CT72" s="812">
        <f t="shared" si="92"/>
        <v>0</v>
      </c>
      <c r="CU72" s="813">
        <f t="shared" si="92"/>
        <v>0</v>
      </c>
      <c r="CV72" s="805">
        <f t="shared" si="73"/>
        <v>0</v>
      </c>
      <c r="CW72" s="810"/>
      <c r="CX72" s="814">
        <f t="shared" si="74"/>
        <v>0</v>
      </c>
      <c r="CY72" s="815">
        <f t="shared" si="93"/>
        <v>0</v>
      </c>
      <c r="CZ72" s="816">
        <f t="shared" si="93"/>
        <v>0</v>
      </c>
      <c r="DA72" s="816">
        <f t="shared" si="93"/>
        <v>0</v>
      </c>
      <c r="DB72" s="817">
        <f t="shared" si="76"/>
        <v>0</v>
      </c>
      <c r="DC72" s="818" t="s">
        <v>674</v>
      </c>
      <c r="DD72" s="1075">
        <f>+CZ51+CZ73+DD73</f>
        <v>28280.326718808505</v>
      </c>
      <c r="DE72" s="1075">
        <f t="shared" ref="DE72:DF72" si="94">+DA51+DA73+DE73</f>
        <v>18657.375798170338</v>
      </c>
      <c r="DF72" s="1075">
        <f t="shared" si="94"/>
        <v>46937.702516978839</v>
      </c>
      <c r="DG72" s="570"/>
      <c r="DH72" s="570"/>
      <c r="DI72" s="570"/>
      <c r="DJ72" s="570"/>
      <c r="DK72" s="570"/>
      <c r="DL72" s="570"/>
      <c r="DM72" s="570"/>
      <c r="DN72" s="570"/>
      <c r="DO72" s="570"/>
      <c r="DP72" s="570"/>
      <c r="DQ72" s="570"/>
      <c r="DR72" s="570"/>
      <c r="DS72" s="570"/>
      <c r="DT72" s="570"/>
      <c r="DU72" s="570"/>
      <c r="DV72" s="570"/>
      <c r="DW72" s="570"/>
      <c r="DX72" s="570"/>
      <c r="DY72" s="570"/>
      <c r="DZ72" s="570"/>
      <c r="EA72" s="570"/>
      <c r="EB72" s="570"/>
      <c r="EC72" s="570"/>
      <c r="ED72" s="570"/>
      <c r="EE72" s="570"/>
      <c r="EF72" s="570"/>
      <c r="EG72" s="570"/>
      <c r="EH72" s="570"/>
      <c r="EI72" s="570"/>
      <c r="EJ72" s="570"/>
      <c r="EK72" s="570"/>
      <c r="EL72" s="570"/>
      <c r="EM72" s="570"/>
      <c r="EN72" s="570"/>
      <c r="EO72" s="570"/>
      <c r="EP72" s="570"/>
      <c r="EQ72" s="570"/>
      <c r="ER72" s="570"/>
    </row>
    <row r="73" spans="1:148" s="571" customFormat="1" ht="23.25" customHeight="1" thickBot="1" x14ac:dyDescent="0.3">
      <c r="A73" s="1379" t="s">
        <v>247</v>
      </c>
      <c r="B73" s="1380"/>
      <c r="C73" s="1380"/>
      <c r="D73" s="1380"/>
      <c r="E73" s="1381"/>
      <c r="F73" s="1331"/>
      <c r="G73" s="1332"/>
      <c r="H73" s="1332"/>
      <c r="I73" s="1332"/>
      <c r="J73" s="1332"/>
      <c r="K73" s="1332"/>
      <c r="L73" s="1332"/>
      <c r="M73" s="1332"/>
      <c r="N73" s="1332"/>
      <c r="O73" s="1332"/>
      <c r="P73" s="1332"/>
      <c r="Q73" s="1332"/>
      <c r="R73" s="1332"/>
      <c r="S73" s="1332"/>
      <c r="T73" s="1332"/>
      <c r="U73" s="1332"/>
      <c r="V73" s="1332"/>
      <c r="W73" s="1332"/>
      <c r="X73" s="1332"/>
      <c r="Y73" s="1332"/>
      <c r="Z73" s="1332"/>
      <c r="AA73" s="1332"/>
      <c r="AB73" s="1332"/>
      <c r="AC73" s="1332"/>
      <c r="AD73" s="1332"/>
      <c r="AE73" s="1332"/>
      <c r="AF73" s="1332"/>
      <c r="AG73" s="1332"/>
      <c r="AH73" s="1332"/>
      <c r="AI73" s="1332"/>
      <c r="AJ73" s="1332"/>
      <c r="AK73" s="1332"/>
      <c r="AL73" s="1332"/>
      <c r="AM73" s="1332"/>
      <c r="AN73" s="1332"/>
      <c r="AO73" s="1332"/>
      <c r="AP73" s="1332"/>
      <c r="AQ73" s="1332"/>
      <c r="AR73" s="1332"/>
      <c r="AS73" s="1332"/>
      <c r="AT73" s="1332"/>
      <c r="AU73" s="1332"/>
      <c r="AV73" s="1332"/>
      <c r="AW73" s="1332"/>
      <c r="AX73" s="1332"/>
      <c r="AY73" s="1332"/>
      <c r="AZ73" s="1332"/>
      <c r="BA73" s="1333"/>
      <c r="BB73" s="559">
        <f>SUM(BB54:BB72)</f>
        <v>458105.73819095467</v>
      </c>
      <c r="BC73" s="560">
        <f>SUM(BC54:BC72)</f>
        <v>4961.2027781675051</v>
      </c>
      <c r="BD73" s="560">
        <f>SUM(BD54:BD72)</f>
        <v>1044.1220636515914</v>
      </c>
      <c r="BE73" s="561">
        <f>SUM(BE54:BE72)</f>
        <v>0</v>
      </c>
      <c r="BF73" s="562">
        <f>SUM(BF54:BF72)</f>
        <v>6005.3248418190951</v>
      </c>
      <c r="BG73" s="1374"/>
      <c r="BH73" s="1375"/>
      <c r="BI73" s="1375"/>
      <c r="BJ73" s="1375"/>
      <c r="BK73" s="1375"/>
      <c r="BL73" s="1375"/>
      <c r="BM73" s="1375"/>
      <c r="BN73" s="1375"/>
      <c r="BO73" s="1375"/>
      <c r="BP73" s="1375"/>
      <c r="BQ73" s="1375"/>
      <c r="BR73" s="1375"/>
      <c r="BS73" s="1375"/>
      <c r="BT73" s="1375"/>
      <c r="BU73" s="1375"/>
      <c r="BV73" s="1375"/>
      <c r="BW73" s="1375"/>
      <c r="BX73" s="1375"/>
      <c r="BY73" s="1375"/>
      <c r="BZ73" s="1375"/>
      <c r="CA73" s="1375"/>
      <c r="CB73" s="1375"/>
      <c r="CC73" s="1375"/>
      <c r="CD73" s="1375"/>
      <c r="CE73" s="1375"/>
      <c r="CF73" s="1375"/>
      <c r="CG73" s="1375"/>
      <c r="CH73" s="1375"/>
      <c r="CI73" s="1375"/>
      <c r="CJ73" s="1375"/>
      <c r="CK73" s="1375"/>
      <c r="CL73" s="1375"/>
      <c r="CM73" s="1375"/>
      <c r="CN73" s="1375"/>
      <c r="CO73" s="1375"/>
      <c r="CP73" s="1376"/>
      <c r="CQ73" s="531"/>
      <c r="CR73" s="532">
        <f>+CQ73*0.0065/2</f>
        <v>0</v>
      </c>
      <c r="CS73" s="532"/>
      <c r="CT73" s="563">
        <f t="shared" ref="CT73:DB73" si="95">SUM(CT54:CT72)</f>
        <v>68021.547738693465</v>
      </c>
      <c r="CU73" s="564">
        <f t="shared" si="95"/>
        <v>674.15384522613067</v>
      </c>
      <c r="CV73" s="564">
        <f t="shared" si="95"/>
        <v>2135</v>
      </c>
      <c r="CW73" s="821">
        <f t="shared" si="95"/>
        <v>0</v>
      </c>
      <c r="CX73" s="565">
        <f t="shared" si="95"/>
        <v>2809.1538452261307</v>
      </c>
      <c r="CY73" s="566">
        <f t="shared" si="95"/>
        <v>526127.28592964821</v>
      </c>
      <c r="CZ73" s="567">
        <f t="shared" si="95"/>
        <v>5635.3566233936353</v>
      </c>
      <c r="DA73" s="568">
        <f t="shared" si="95"/>
        <v>3179.1220636515914</v>
      </c>
      <c r="DB73" s="741">
        <f t="shared" si="95"/>
        <v>8814.4786870452244</v>
      </c>
      <c r="DC73" s="192"/>
      <c r="DD73" s="1026">
        <v>11214.124911894472</v>
      </c>
      <c r="DE73" s="1026">
        <v>9881.9730480092767</v>
      </c>
      <c r="DF73" s="1026">
        <v>21096.097959903756</v>
      </c>
      <c r="DG73" s="570"/>
      <c r="DH73" s="570"/>
      <c r="DI73" s="570"/>
      <c r="DJ73" s="570"/>
      <c r="DK73" s="570"/>
      <c r="DL73" s="570"/>
      <c r="DM73" s="570"/>
      <c r="DN73" s="570"/>
      <c r="DO73" s="570"/>
      <c r="DP73" s="570"/>
      <c r="DQ73" s="570"/>
      <c r="DR73" s="570"/>
      <c r="DS73" s="570"/>
      <c r="DT73" s="570"/>
      <c r="DU73" s="570"/>
      <c r="DV73" s="570"/>
      <c r="DW73" s="570"/>
      <c r="DX73" s="570"/>
      <c r="DY73" s="570"/>
      <c r="DZ73" s="570"/>
      <c r="EA73" s="570"/>
      <c r="EB73" s="570"/>
      <c r="EC73" s="570"/>
      <c r="ED73" s="570"/>
      <c r="EE73" s="570"/>
      <c r="EF73" s="570"/>
      <c r="EG73" s="570"/>
      <c r="EH73" s="570"/>
      <c r="EI73" s="570"/>
      <c r="EJ73" s="570"/>
      <c r="EK73" s="570"/>
      <c r="EL73" s="570"/>
      <c r="EM73" s="570"/>
      <c r="EN73" s="570"/>
      <c r="EO73" s="570"/>
      <c r="EP73" s="570"/>
      <c r="EQ73" s="570"/>
      <c r="ER73" s="570"/>
    </row>
    <row r="74" spans="1:148" s="452" customFormat="1" ht="24.75" customHeight="1" x14ac:dyDescent="0.25">
      <c r="A74" s="1372"/>
      <c r="B74" s="1382" t="s">
        <v>675</v>
      </c>
      <c r="C74" s="1366" t="s">
        <v>493</v>
      </c>
      <c r="D74" s="1368" t="s">
        <v>494</v>
      </c>
      <c r="E74" s="1370" t="s">
        <v>495</v>
      </c>
      <c r="F74" s="1353" t="s">
        <v>496</v>
      </c>
      <c r="G74" s="1354"/>
      <c r="H74" s="1355"/>
      <c r="I74" s="1353" t="s">
        <v>497</v>
      </c>
      <c r="J74" s="1354"/>
      <c r="K74" s="1355"/>
      <c r="L74" s="1353" t="s">
        <v>498</v>
      </c>
      <c r="M74" s="1354"/>
      <c r="N74" s="1355"/>
      <c r="O74" s="1353" t="s">
        <v>499</v>
      </c>
      <c r="P74" s="1354"/>
      <c r="Q74" s="1355"/>
      <c r="R74" s="1353" t="s">
        <v>500</v>
      </c>
      <c r="S74" s="1354"/>
      <c r="T74" s="1355"/>
      <c r="U74" s="1353" t="s">
        <v>501</v>
      </c>
      <c r="V74" s="1354"/>
      <c r="W74" s="1355"/>
      <c r="X74" s="1353" t="s">
        <v>502</v>
      </c>
      <c r="Y74" s="1354"/>
      <c r="Z74" s="1355"/>
      <c r="AA74" s="1353" t="s">
        <v>503</v>
      </c>
      <c r="AB74" s="1354"/>
      <c r="AC74" s="1355"/>
      <c r="AD74" s="1353" t="s">
        <v>504</v>
      </c>
      <c r="AE74" s="1354"/>
      <c r="AF74" s="1355"/>
      <c r="AG74" s="1353" t="s">
        <v>505</v>
      </c>
      <c r="AH74" s="1354"/>
      <c r="AI74" s="1355"/>
      <c r="AJ74" s="1353" t="s">
        <v>506</v>
      </c>
      <c r="AK74" s="1354"/>
      <c r="AL74" s="1355"/>
      <c r="AM74" s="1353" t="s">
        <v>507</v>
      </c>
      <c r="AN74" s="1354"/>
      <c r="AO74" s="1355"/>
      <c r="AP74" s="1353" t="s">
        <v>508</v>
      </c>
      <c r="AQ74" s="1354"/>
      <c r="AR74" s="1355"/>
      <c r="AS74" s="1353" t="s">
        <v>509</v>
      </c>
      <c r="AT74" s="1354"/>
      <c r="AU74" s="1355"/>
      <c r="AV74" s="1353"/>
      <c r="AW74" s="1354"/>
      <c r="AX74" s="1355"/>
      <c r="AY74" s="1353"/>
      <c r="AZ74" s="1354"/>
      <c r="BA74" s="1355"/>
      <c r="BB74" s="1356" t="s">
        <v>510</v>
      </c>
      <c r="BC74" s="1358" t="s">
        <v>511</v>
      </c>
      <c r="BD74" s="1358" t="s">
        <v>512</v>
      </c>
      <c r="BE74" s="1347" t="s">
        <v>22</v>
      </c>
      <c r="BF74" s="1360" t="s">
        <v>513</v>
      </c>
      <c r="BG74" s="1340" t="s">
        <v>514</v>
      </c>
      <c r="BH74" s="1341"/>
      <c r="BI74" s="1342"/>
      <c r="BJ74" s="1340" t="s">
        <v>515</v>
      </c>
      <c r="BK74" s="1341"/>
      <c r="BL74" s="1342"/>
      <c r="BM74" s="1340" t="s">
        <v>516</v>
      </c>
      <c r="BN74" s="1341"/>
      <c r="BO74" s="1342"/>
      <c r="BP74" s="1340" t="s">
        <v>517</v>
      </c>
      <c r="BQ74" s="1341"/>
      <c r="BR74" s="1342"/>
      <c r="BS74" s="1340" t="s">
        <v>518</v>
      </c>
      <c r="BT74" s="1341"/>
      <c r="BU74" s="1342"/>
      <c r="BV74" s="1340" t="s">
        <v>519</v>
      </c>
      <c r="BW74" s="1341"/>
      <c r="BX74" s="1342"/>
      <c r="BY74" s="1340" t="s">
        <v>520</v>
      </c>
      <c r="BZ74" s="1341"/>
      <c r="CA74" s="1342"/>
      <c r="CB74" s="1340" t="s">
        <v>521</v>
      </c>
      <c r="CC74" s="1341"/>
      <c r="CD74" s="1342"/>
      <c r="CE74" s="1340" t="s">
        <v>522</v>
      </c>
      <c r="CF74" s="1341"/>
      <c r="CG74" s="1342"/>
      <c r="CH74" s="1340" t="s">
        <v>523</v>
      </c>
      <c r="CI74" s="1341"/>
      <c r="CJ74" s="1342"/>
      <c r="CK74" s="1340" t="s">
        <v>524</v>
      </c>
      <c r="CL74" s="1341"/>
      <c r="CM74" s="1342"/>
      <c r="CN74" s="1340" t="s">
        <v>525</v>
      </c>
      <c r="CO74" s="1341"/>
      <c r="CP74" s="1342"/>
      <c r="CQ74" s="1340" t="s">
        <v>526</v>
      </c>
      <c r="CR74" s="1341"/>
      <c r="CS74" s="1342"/>
      <c r="CT74" s="1343" t="s">
        <v>510</v>
      </c>
      <c r="CU74" s="1345" t="s">
        <v>511</v>
      </c>
      <c r="CV74" s="1345" t="s">
        <v>512</v>
      </c>
      <c r="CW74" s="1347" t="s">
        <v>22</v>
      </c>
      <c r="CX74" s="1349" t="s">
        <v>513</v>
      </c>
      <c r="CY74" s="1351" t="s">
        <v>256</v>
      </c>
      <c r="CZ74" s="1322" t="s">
        <v>511</v>
      </c>
      <c r="DA74" s="1324" t="s">
        <v>512</v>
      </c>
      <c r="DB74" s="1326" t="s">
        <v>257</v>
      </c>
      <c r="DC74" s="192"/>
      <c r="DD74" s="398"/>
      <c r="DE74" s="453"/>
      <c r="DF74" s="893">
        <f>+DB73+DB51+DF73</f>
        <v>46937.702516978839</v>
      </c>
      <c r="DG74" s="453"/>
      <c r="DH74" s="453"/>
      <c r="DI74" s="453"/>
      <c r="DJ74" s="453"/>
      <c r="DK74" s="453"/>
      <c r="DL74" s="453"/>
      <c r="DM74" s="453"/>
      <c r="DN74" s="453"/>
      <c r="DO74" s="453"/>
      <c r="DP74" s="453"/>
      <c r="DQ74" s="453"/>
      <c r="DR74" s="453"/>
      <c r="DS74" s="453"/>
      <c r="DT74" s="453"/>
      <c r="DU74" s="453"/>
      <c r="DV74" s="453"/>
      <c r="DW74" s="453"/>
      <c r="DX74" s="453"/>
      <c r="DY74" s="453"/>
      <c r="DZ74" s="453"/>
      <c r="EA74" s="453"/>
      <c r="EB74" s="453"/>
      <c r="EC74" s="453"/>
      <c r="ED74" s="453"/>
      <c r="EE74" s="453"/>
      <c r="EF74" s="453"/>
      <c r="EG74" s="453"/>
      <c r="EH74" s="453"/>
      <c r="EI74" s="453"/>
      <c r="EJ74" s="453"/>
      <c r="EK74" s="453"/>
      <c r="EL74" s="453"/>
      <c r="EM74" s="453"/>
      <c r="EN74" s="453"/>
      <c r="EO74" s="453"/>
      <c r="EP74" s="453"/>
      <c r="EQ74" s="453"/>
      <c r="ER74" s="453"/>
    </row>
    <row r="75" spans="1:148" s="452" customFormat="1" ht="24.75" customHeight="1" thickBot="1" x14ac:dyDescent="0.3">
      <c r="A75" s="1377"/>
      <c r="B75" s="1383"/>
      <c r="C75" s="1367"/>
      <c r="D75" s="1369"/>
      <c r="E75" s="1371"/>
      <c r="F75" s="425" t="s">
        <v>527</v>
      </c>
      <c r="G75" s="426" t="s">
        <v>258</v>
      </c>
      <c r="H75" s="427" t="s">
        <v>528</v>
      </c>
      <c r="I75" s="426" t="s">
        <v>527</v>
      </c>
      <c r="J75" s="426" t="s">
        <v>258</v>
      </c>
      <c r="K75" s="427" t="s">
        <v>528</v>
      </c>
      <c r="L75" s="426" t="s">
        <v>527</v>
      </c>
      <c r="M75" s="426" t="s">
        <v>258</v>
      </c>
      <c r="N75" s="427" t="s">
        <v>528</v>
      </c>
      <c r="O75" s="426" t="s">
        <v>527</v>
      </c>
      <c r="P75" s="426" t="s">
        <v>258</v>
      </c>
      <c r="Q75" s="427" t="s">
        <v>528</v>
      </c>
      <c r="R75" s="426" t="s">
        <v>527</v>
      </c>
      <c r="S75" s="426" t="s">
        <v>258</v>
      </c>
      <c r="T75" s="427" t="s">
        <v>528</v>
      </c>
      <c r="U75" s="426" t="s">
        <v>527</v>
      </c>
      <c r="V75" s="426" t="s">
        <v>258</v>
      </c>
      <c r="W75" s="427" t="s">
        <v>528</v>
      </c>
      <c r="X75" s="426" t="s">
        <v>527</v>
      </c>
      <c r="Y75" s="426" t="s">
        <v>258</v>
      </c>
      <c r="Z75" s="427" t="s">
        <v>528</v>
      </c>
      <c r="AA75" s="426" t="s">
        <v>527</v>
      </c>
      <c r="AB75" s="426" t="s">
        <v>258</v>
      </c>
      <c r="AC75" s="427" t="s">
        <v>528</v>
      </c>
      <c r="AD75" s="426" t="s">
        <v>527</v>
      </c>
      <c r="AE75" s="426" t="s">
        <v>258</v>
      </c>
      <c r="AF75" s="427" t="s">
        <v>528</v>
      </c>
      <c r="AG75" s="426" t="s">
        <v>527</v>
      </c>
      <c r="AH75" s="426" t="s">
        <v>258</v>
      </c>
      <c r="AI75" s="427" t="s">
        <v>528</v>
      </c>
      <c r="AJ75" s="426" t="s">
        <v>527</v>
      </c>
      <c r="AK75" s="426" t="s">
        <v>258</v>
      </c>
      <c r="AL75" s="427" t="s">
        <v>528</v>
      </c>
      <c r="AM75" s="426" t="s">
        <v>527</v>
      </c>
      <c r="AN75" s="426" t="s">
        <v>258</v>
      </c>
      <c r="AO75" s="427" t="s">
        <v>528</v>
      </c>
      <c r="AP75" s="426" t="s">
        <v>527</v>
      </c>
      <c r="AQ75" s="426" t="s">
        <v>258</v>
      </c>
      <c r="AR75" s="427" t="s">
        <v>528</v>
      </c>
      <c r="AS75" s="426" t="s">
        <v>527</v>
      </c>
      <c r="AT75" s="426" t="s">
        <v>258</v>
      </c>
      <c r="AU75" s="427" t="s">
        <v>528</v>
      </c>
      <c r="AV75" s="426" t="s">
        <v>527</v>
      </c>
      <c r="AW75" s="426" t="s">
        <v>258</v>
      </c>
      <c r="AX75" s="427" t="s">
        <v>528</v>
      </c>
      <c r="AY75" s="426" t="s">
        <v>527</v>
      </c>
      <c r="AZ75" s="426" t="s">
        <v>258</v>
      </c>
      <c r="BA75" s="427" t="s">
        <v>528</v>
      </c>
      <c r="BB75" s="1357"/>
      <c r="BC75" s="1359"/>
      <c r="BD75" s="1359"/>
      <c r="BE75" s="1348"/>
      <c r="BF75" s="1361"/>
      <c r="BG75" s="428" t="s">
        <v>527</v>
      </c>
      <c r="BH75" s="428" t="s">
        <v>258</v>
      </c>
      <c r="BI75" s="429" t="s">
        <v>528</v>
      </c>
      <c r="BJ75" s="428" t="s">
        <v>527</v>
      </c>
      <c r="BK75" s="428" t="s">
        <v>258</v>
      </c>
      <c r="BL75" s="429" t="s">
        <v>528</v>
      </c>
      <c r="BM75" s="428" t="s">
        <v>527</v>
      </c>
      <c r="BN75" s="428" t="s">
        <v>258</v>
      </c>
      <c r="BO75" s="429" t="s">
        <v>528</v>
      </c>
      <c r="BP75" s="428" t="s">
        <v>527</v>
      </c>
      <c r="BQ75" s="428" t="s">
        <v>258</v>
      </c>
      <c r="BR75" s="429" t="s">
        <v>528</v>
      </c>
      <c r="BS75" s="428" t="s">
        <v>527</v>
      </c>
      <c r="BT75" s="428" t="s">
        <v>258</v>
      </c>
      <c r="BU75" s="429" t="s">
        <v>528</v>
      </c>
      <c r="BV75" s="428" t="s">
        <v>527</v>
      </c>
      <c r="BW75" s="428" t="s">
        <v>258</v>
      </c>
      <c r="BX75" s="429" t="s">
        <v>528</v>
      </c>
      <c r="BY75" s="428" t="s">
        <v>527</v>
      </c>
      <c r="BZ75" s="428" t="s">
        <v>258</v>
      </c>
      <c r="CA75" s="429" t="s">
        <v>528</v>
      </c>
      <c r="CB75" s="428" t="s">
        <v>527</v>
      </c>
      <c r="CC75" s="428" t="s">
        <v>258</v>
      </c>
      <c r="CD75" s="429" t="s">
        <v>528</v>
      </c>
      <c r="CE75" s="428" t="s">
        <v>527</v>
      </c>
      <c r="CF75" s="428" t="s">
        <v>258</v>
      </c>
      <c r="CG75" s="429" t="s">
        <v>528</v>
      </c>
      <c r="CH75" s="428" t="s">
        <v>527</v>
      </c>
      <c r="CI75" s="428" t="s">
        <v>258</v>
      </c>
      <c r="CJ75" s="429" t="s">
        <v>528</v>
      </c>
      <c r="CK75" s="428" t="s">
        <v>527</v>
      </c>
      <c r="CL75" s="428" t="s">
        <v>258</v>
      </c>
      <c r="CM75" s="429" t="s">
        <v>528</v>
      </c>
      <c r="CN75" s="428" t="s">
        <v>527</v>
      </c>
      <c r="CO75" s="428" t="s">
        <v>258</v>
      </c>
      <c r="CP75" s="429" t="s">
        <v>528</v>
      </c>
      <c r="CQ75" s="428" t="s">
        <v>527</v>
      </c>
      <c r="CR75" s="428" t="s">
        <v>258</v>
      </c>
      <c r="CS75" s="429" t="s">
        <v>528</v>
      </c>
      <c r="CT75" s="1344"/>
      <c r="CU75" s="1346"/>
      <c r="CV75" s="1346"/>
      <c r="CW75" s="1348"/>
      <c r="CX75" s="1350"/>
      <c r="CY75" s="1352"/>
      <c r="CZ75" s="1323"/>
      <c r="DA75" s="1325"/>
      <c r="DB75" s="1327"/>
      <c r="DC75" s="192"/>
      <c r="DD75" s="398"/>
      <c r="DE75" s="453"/>
      <c r="DF75" s="453"/>
      <c r="DG75" s="453"/>
      <c r="DH75" s="453"/>
      <c r="DI75" s="453"/>
      <c r="DJ75" s="453"/>
      <c r="DK75" s="453"/>
      <c r="DL75" s="453"/>
      <c r="DM75" s="453"/>
      <c r="DN75" s="453"/>
      <c r="DO75" s="453"/>
      <c r="DP75" s="453"/>
      <c r="DQ75" s="453"/>
      <c r="DR75" s="453"/>
      <c r="DS75" s="453"/>
      <c r="DT75" s="453"/>
      <c r="DU75" s="453"/>
      <c r="DV75" s="453"/>
      <c r="DW75" s="453"/>
      <c r="DX75" s="453"/>
      <c r="DY75" s="453"/>
      <c r="DZ75" s="453"/>
      <c r="EA75" s="453"/>
      <c r="EB75" s="453"/>
      <c r="EC75" s="453"/>
      <c r="ED75" s="453"/>
      <c r="EE75" s="453"/>
      <c r="EF75" s="453"/>
      <c r="EG75" s="453"/>
      <c r="EH75" s="453"/>
      <c r="EI75" s="453"/>
      <c r="EJ75" s="453"/>
      <c r="EK75" s="453"/>
      <c r="EL75" s="453"/>
      <c r="EM75" s="453"/>
      <c r="EN75" s="453"/>
      <c r="EO75" s="453"/>
      <c r="EP75" s="453"/>
      <c r="EQ75" s="453"/>
      <c r="ER75" s="453"/>
    </row>
    <row r="76" spans="1:148" s="452" customFormat="1" ht="15.75" x14ac:dyDescent="0.25">
      <c r="A76" s="822">
        <f>+A72+1</f>
        <v>61</v>
      </c>
      <c r="B76" s="823" t="s">
        <v>144</v>
      </c>
      <c r="C76" s="823" t="s">
        <v>676</v>
      </c>
      <c r="D76" s="824" t="s">
        <v>677</v>
      </c>
      <c r="E76" s="825" t="s">
        <v>678</v>
      </c>
      <c r="F76" s="607">
        <v>3044.0201005025124</v>
      </c>
      <c r="G76" s="599">
        <f>+F76*0.013732</f>
        <v>41.800484020100498</v>
      </c>
      <c r="H76" s="599"/>
      <c r="I76" s="607">
        <v>3080.6834170854268</v>
      </c>
      <c r="J76" s="599">
        <f>+I76*0.013717</f>
        <v>42.257734432160802</v>
      </c>
      <c r="K76" s="599"/>
      <c r="L76" s="607">
        <v>4370.1708542713568</v>
      </c>
      <c r="M76" s="599">
        <f>+L76*0.013358</f>
        <v>58.376742271356783</v>
      </c>
      <c r="N76" s="599"/>
      <c r="O76" s="607"/>
      <c r="P76" s="599">
        <f>+O76*0.0226165/2</f>
        <v>0</v>
      </c>
      <c r="Q76" s="599"/>
      <c r="R76" s="607">
        <v>4509.1055276381912</v>
      </c>
      <c r="S76" s="599">
        <f>+R76*0.05/4</f>
        <v>56.363819095477396</v>
      </c>
      <c r="T76" s="599"/>
      <c r="U76" s="607">
        <v>6435.3768844221113</v>
      </c>
      <c r="V76" s="599">
        <f>+U76*0.0178062/2-0.5</f>
        <v>56.794803939698504</v>
      </c>
      <c r="W76" s="599"/>
      <c r="X76" s="607">
        <v>3839.5175879396988</v>
      </c>
      <c r="Y76" s="599">
        <f>+X76*0.018575/2-0.5</f>
        <v>35.159519597989956</v>
      </c>
      <c r="Z76" s="599"/>
      <c r="AA76" s="607">
        <v>2616.1206030150756</v>
      </c>
      <c r="AB76" s="599">
        <f>+AA76*0.01947/2-0.5</f>
        <v>24.967934070351763</v>
      </c>
      <c r="AC76" s="599"/>
      <c r="AD76" s="607">
        <v>6173.9095477386936</v>
      </c>
      <c r="AE76" s="599">
        <f>+AD76*0.01807/2-0.5</f>
        <v>55.281272763819096</v>
      </c>
      <c r="AF76" s="599"/>
      <c r="AG76" s="607">
        <v>0</v>
      </c>
      <c r="AH76" s="599">
        <f>+AG76*0.0226165/2</f>
        <v>0</v>
      </c>
      <c r="AI76" s="599">
        <v>0</v>
      </c>
      <c r="AJ76" s="607">
        <v>4252.4623115577888</v>
      </c>
      <c r="AK76" s="599">
        <f>+AJ76*0.0183905/2-0.5</f>
        <v>38.602454070351762</v>
      </c>
      <c r="AL76" s="599"/>
      <c r="AM76" s="607">
        <v>3052.2211055276389</v>
      </c>
      <c r="AN76" s="599">
        <f>+AM76*0.01907/2-0.5</f>
        <v>28.602928241206037</v>
      </c>
      <c r="AO76" s="599"/>
      <c r="AP76" s="607">
        <v>0</v>
      </c>
      <c r="AQ76" s="599">
        <f>+AP76*0.0226165/2</f>
        <v>0</v>
      </c>
      <c r="AR76" s="599">
        <v>20</v>
      </c>
      <c r="AS76" s="607">
        <v>4652.86432160804</v>
      </c>
      <c r="AT76" s="599">
        <f>+AS76*0.021418/2-0.5</f>
        <v>49.327524020100498</v>
      </c>
      <c r="AU76" s="599"/>
      <c r="AV76" s="607"/>
      <c r="AW76" s="599">
        <f>+AV76*0.0226165/2</f>
        <v>0</v>
      </c>
      <c r="AX76" s="599"/>
      <c r="AY76" s="607"/>
      <c r="AZ76" s="599">
        <f>+AY76*0.0226165/2</f>
        <v>0</v>
      </c>
      <c r="BA76" s="599"/>
      <c r="BB76" s="826">
        <f t="shared" ref="BB76:BD76" si="96">+F76+I76+L76+O76+R76+U76+X76+AA76+AD76+AG76+AJ76+AM76+AP76+AS76+AV76+AY76</f>
        <v>46026.452261306535</v>
      </c>
      <c r="BC76" s="604">
        <f t="shared" si="96"/>
        <v>487.5352165226131</v>
      </c>
      <c r="BD76" s="605">
        <f t="shared" si="96"/>
        <v>20</v>
      </c>
      <c r="BE76" s="446"/>
      <c r="BF76" s="827">
        <f t="shared" ref="BF76" si="97">+BC76+BD76-BE76</f>
        <v>507.5352165226131</v>
      </c>
      <c r="BG76" s="607">
        <v>4341.708542713568</v>
      </c>
      <c r="BH76" s="599">
        <f>+BG76*0.018355/2-0.5</f>
        <v>39.346030150753769</v>
      </c>
      <c r="BI76" s="599"/>
      <c r="BJ76" s="607">
        <v>0</v>
      </c>
      <c r="BK76" s="599">
        <f>+BJ76*0.0226165/2</f>
        <v>0</v>
      </c>
      <c r="BL76" s="599">
        <v>0</v>
      </c>
      <c r="BM76" s="602">
        <v>4524.5427135678383</v>
      </c>
      <c r="BN76" s="599">
        <f>+BM76*0.021458/2-0.5</f>
        <v>48.04381877386934</v>
      </c>
      <c r="BO76" s="599"/>
      <c r="BP76" s="602">
        <v>4097.1256281407032</v>
      </c>
      <c r="BQ76" s="599">
        <f>+BP76*0.021171/2-0.5</f>
        <v>42.870123336683413</v>
      </c>
      <c r="BR76" s="599"/>
      <c r="BS76" s="602">
        <v>4120.7638190954767</v>
      </c>
      <c r="BT76" s="599">
        <f>+BS76*0.021515/2-0.5</f>
        <v>43.829116783919588</v>
      </c>
      <c r="BU76" s="599"/>
      <c r="BV76" s="602">
        <v>3070.0703517587935</v>
      </c>
      <c r="BW76" s="599">
        <f>+BV76*0.021208/2-0.5</f>
        <v>32.055026010050248</v>
      </c>
      <c r="BX76" s="599"/>
      <c r="BY76" s="602">
        <v>4867.0552763819087</v>
      </c>
      <c r="BZ76" s="599">
        <f>+BY76*0.021941/2-0.5</f>
        <v>52.894029909547726</v>
      </c>
      <c r="CA76" s="599"/>
      <c r="CB76" s="607"/>
      <c r="CC76" s="599">
        <f>+CB76*0.0226165/2</f>
        <v>0</v>
      </c>
      <c r="CD76" s="599"/>
      <c r="CE76" s="607">
        <v>4416.4824120603016</v>
      </c>
      <c r="CF76" s="599">
        <f>+CE76*0.0214943/2-0.5</f>
        <v>46.964598954773869</v>
      </c>
      <c r="CG76" s="599"/>
      <c r="CH76" s="607">
        <v>0</v>
      </c>
      <c r="CI76" s="599">
        <f>+CH76*0.0226165/2</f>
        <v>0</v>
      </c>
      <c r="CJ76" s="599"/>
      <c r="CK76" s="607">
        <v>0</v>
      </c>
      <c r="CL76" s="599">
        <f>+CK76*0.0226165/2</f>
        <v>0</v>
      </c>
      <c r="CM76" s="599">
        <v>20</v>
      </c>
      <c r="CN76" s="607">
        <v>0</v>
      </c>
      <c r="CO76" s="599">
        <f>+CN76*0.0226165/2</f>
        <v>0</v>
      </c>
      <c r="CP76" s="599"/>
      <c r="CQ76" s="607">
        <v>0</v>
      </c>
      <c r="CR76" s="599">
        <f>+CQ76*0.0226165/2</f>
        <v>0</v>
      </c>
      <c r="CS76" s="599"/>
      <c r="CT76" s="443">
        <f t="shared" ref="CT76:CU76" si="98">BG76+BJ76+BM76+BP76+BS76+BV76+BY76+CB76+CH76+CK76+CN76+CQ76+CE76</f>
        <v>29437.748743718592</v>
      </c>
      <c r="CU76" s="444">
        <f t="shared" si="98"/>
        <v>306.00274391959795</v>
      </c>
      <c r="CV76" s="445">
        <f t="shared" ref="CV76" si="99">+BI76+BL76+BO76+BR76+BU76+BX76+CA76+CD76+CG76+CJ76+CM76+CP76+CS76</f>
        <v>20</v>
      </c>
      <c r="CW76" s="446"/>
      <c r="CX76" s="447">
        <f t="shared" ref="CX76" si="100">+CU76+CV76-CW76</f>
        <v>326.00274391959795</v>
      </c>
      <c r="CY76" s="448">
        <f t="shared" ref="CY76:DA76" si="101">+BB76+CT76</f>
        <v>75464.201005025127</v>
      </c>
      <c r="CZ76" s="449">
        <f t="shared" si="101"/>
        <v>793.53796044221099</v>
      </c>
      <c r="DA76" s="450">
        <f t="shared" si="101"/>
        <v>40</v>
      </c>
      <c r="DB76" s="451">
        <f t="shared" ref="DB76" si="102">+CZ76+DA76</f>
        <v>833.53796044221099</v>
      </c>
      <c r="DD76" s="893">
        <f>+CZ77+DD77</f>
        <v>2920.8223048241202</v>
      </c>
      <c r="DE76" s="893">
        <f t="shared" ref="DE76:DF76" si="103">+DA77+DE77</f>
        <v>681.86824944723617</v>
      </c>
      <c r="DF76" s="893">
        <f t="shared" si="103"/>
        <v>3602.6905542713562</v>
      </c>
      <c r="DG76" s="453"/>
      <c r="DH76" s="453"/>
      <c r="DI76" s="453"/>
      <c r="DJ76" s="453"/>
      <c r="DK76" s="453"/>
      <c r="DL76" s="453"/>
      <c r="DM76" s="453"/>
      <c r="DN76" s="453"/>
      <c r="DO76" s="453"/>
      <c r="DP76" s="453"/>
      <c r="DQ76" s="453"/>
      <c r="DR76" s="453"/>
      <c r="DS76" s="453"/>
      <c r="DT76" s="453"/>
      <c r="DU76" s="453"/>
      <c r="DV76" s="453"/>
      <c r="DW76" s="453"/>
      <c r="DX76" s="453"/>
      <c r="DY76" s="453"/>
      <c r="DZ76" s="453"/>
      <c r="EA76" s="453"/>
      <c r="EB76" s="453"/>
      <c r="EC76" s="453"/>
      <c r="ED76" s="453"/>
      <c r="EE76" s="453"/>
      <c r="EF76" s="453"/>
      <c r="EG76" s="453"/>
      <c r="EH76" s="453"/>
      <c r="EI76" s="453"/>
      <c r="EJ76" s="453"/>
      <c r="EK76" s="453"/>
      <c r="EL76" s="453"/>
      <c r="EM76" s="453"/>
      <c r="EN76" s="453"/>
      <c r="EO76" s="453"/>
      <c r="EP76" s="453"/>
      <c r="EQ76" s="453"/>
      <c r="ER76" s="453"/>
    </row>
    <row r="77" spans="1:148" s="571" customFormat="1" ht="23.25" customHeight="1" thickBot="1" x14ac:dyDescent="0.3">
      <c r="A77" s="1328" t="s">
        <v>247</v>
      </c>
      <c r="B77" s="1329"/>
      <c r="C77" s="1329"/>
      <c r="D77" s="1329"/>
      <c r="E77" s="1330"/>
      <c r="F77" s="1331"/>
      <c r="G77" s="1332"/>
      <c r="H77" s="1332"/>
      <c r="I77" s="1332"/>
      <c r="J77" s="1332"/>
      <c r="K77" s="1332"/>
      <c r="L77" s="1332"/>
      <c r="M77" s="1332"/>
      <c r="N77" s="1332"/>
      <c r="O77" s="1332"/>
      <c r="P77" s="1332"/>
      <c r="Q77" s="1332"/>
      <c r="R77" s="1332"/>
      <c r="S77" s="1332"/>
      <c r="T77" s="1332"/>
      <c r="U77" s="1332"/>
      <c r="V77" s="1332"/>
      <c r="W77" s="1332"/>
      <c r="X77" s="1332"/>
      <c r="Y77" s="1332"/>
      <c r="Z77" s="1332"/>
      <c r="AA77" s="1332"/>
      <c r="AB77" s="1332"/>
      <c r="AC77" s="1332"/>
      <c r="AD77" s="1332"/>
      <c r="AE77" s="1332"/>
      <c r="AF77" s="1332"/>
      <c r="AG77" s="1332"/>
      <c r="AH77" s="1332"/>
      <c r="AI77" s="1332"/>
      <c r="AJ77" s="1332"/>
      <c r="AK77" s="1332"/>
      <c r="AL77" s="1332"/>
      <c r="AM77" s="1332"/>
      <c r="AN77" s="1332"/>
      <c r="AO77" s="1332"/>
      <c r="AP77" s="1332"/>
      <c r="AQ77" s="1332"/>
      <c r="AR77" s="1332"/>
      <c r="AS77" s="1332"/>
      <c r="AT77" s="1332"/>
      <c r="AU77" s="1332"/>
      <c r="AV77" s="1332"/>
      <c r="AW77" s="1332"/>
      <c r="AX77" s="1332"/>
      <c r="AY77" s="1332"/>
      <c r="AZ77" s="1332"/>
      <c r="BA77" s="1333"/>
      <c r="BB77" s="559">
        <f>SUM(BB76:BB76)</f>
        <v>46026.452261306535</v>
      </c>
      <c r="BC77" s="560">
        <f>SUM(BC76:BC76)</f>
        <v>487.5352165226131</v>
      </c>
      <c r="BD77" s="560">
        <f>SUM(BD76:BD76)</f>
        <v>20</v>
      </c>
      <c r="BE77" s="561">
        <f>SUM(BE76:BE76)</f>
        <v>0</v>
      </c>
      <c r="BF77" s="562">
        <f>SUM(BF76:BF76)</f>
        <v>507.5352165226131</v>
      </c>
      <c r="BG77" s="1374"/>
      <c r="BH77" s="1375"/>
      <c r="BI77" s="1375"/>
      <c r="BJ77" s="1375"/>
      <c r="BK77" s="1375"/>
      <c r="BL77" s="1375"/>
      <c r="BM77" s="1375"/>
      <c r="BN77" s="1375"/>
      <c r="BO77" s="1375"/>
      <c r="BP77" s="1375"/>
      <c r="BQ77" s="1375"/>
      <c r="BR77" s="1375"/>
      <c r="BS77" s="1375"/>
      <c r="BT77" s="1375"/>
      <c r="BU77" s="1375"/>
      <c r="BV77" s="1375"/>
      <c r="BW77" s="1375"/>
      <c r="BX77" s="1375"/>
      <c r="BY77" s="1375"/>
      <c r="BZ77" s="1375"/>
      <c r="CA77" s="1375"/>
      <c r="CB77" s="1375"/>
      <c r="CC77" s="1375"/>
      <c r="CD77" s="1375"/>
      <c r="CE77" s="1375"/>
      <c r="CF77" s="1375"/>
      <c r="CG77" s="1375"/>
      <c r="CH77" s="1375"/>
      <c r="CI77" s="1375"/>
      <c r="CJ77" s="1375"/>
      <c r="CK77" s="1375"/>
      <c r="CL77" s="1375"/>
      <c r="CM77" s="1375"/>
      <c r="CN77" s="1375"/>
      <c r="CO77" s="1375"/>
      <c r="CP77" s="1375"/>
      <c r="CQ77" s="1375"/>
      <c r="CR77" s="1375"/>
      <c r="CS77" s="1376"/>
      <c r="CT77" s="563">
        <f t="shared" ref="CT77:DB77" si="104">SUM(CT76:CT76)</f>
        <v>29437.748743718592</v>
      </c>
      <c r="CU77" s="564">
        <f t="shared" si="104"/>
        <v>306.00274391959795</v>
      </c>
      <c r="CV77" s="564">
        <f t="shared" si="104"/>
        <v>20</v>
      </c>
      <c r="CW77" s="561">
        <f t="shared" si="104"/>
        <v>0</v>
      </c>
      <c r="CX77" s="565">
        <f t="shared" si="104"/>
        <v>326.00274391959795</v>
      </c>
      <c r="CY77" s="566">
        <f t="shared" si="104"/>
        <v>75464.201005025127</v>
      </c>
      <c r="CZ77" s="567">
        <f t="shared" si="104"/>
        <v>793.53796044221099</v>
      </c>
      <c r="DA77" s="568">
        <f t="shared" si="104"/>
        <v>40</v>
      </c>
      <c r="DB77" s="741">
        <f t="shared" si="104"/>
        <v>833.53796044221099</v>
      </c>
      <c r="DC77" s="192"/>
      <c r="DD77" s="1074">
        <v>2127.2843443819092</v>
      </c>
      <c r="DE77" s="528">
        <v>641.86824944723617</v>
      </c>
      <c r="DF77" s="1026">
        <v>2769.1525938291452</v>
      </c>
      <c r="DG77" s="570"/>
      <c r="DH77" s="570"/>
      <c r="DI77" s="570"/>
      <c r="DJ77" s="570"/>
      <c r="DK77" s="570"/>
      <c r="DL77" s="570"/>
      <c r="DM77" s="570"/>
      <c r="DN77" s="570"/>
      <c r="DO77" s="570"/>
      <c r="DP77" s="570"/>
      <c r="DQ77" s="570"/>
      <c r="DR77" s="570"/>
      <c r="DS77" s="570"/>
      <c r="DT77" s="570"/>
      <c r="DU77" s="570"/>
      <c r="DV77" s="570"/>
      <c r="DW77" s="570"/>
      <c r="DX77" s="570"/>
      <c r="DY77" s="570"/>
      <c r="DZ77" s="570"/>
      <c r="EA77" s="570"/>
      <c r="EB77" s="570"/>
      <c r="EC77" s="570"/>
      <c r="ED77" s="570"/>
      <c r="EE77" s="570"/>
      <c r="EF77" s="570"/>
      <c r="EG77" s="570"/>
      <c r="EH77" s="570"/>
      <c r="EI77" s="570"/>
      <c r="EJ77" s="570"/>
      <c r="EK77" s="570"/>
      <c r="EL77" s="570"/>
      <c r="EM77" s="570"/>
      <c r="EN77" s="570"/>
      <c r="EO77" s="570"/>
      <c r="EP77" s="570"/>
      <c r="EQ77" s="570"/>
      <c r="ER77" s="570"/>
    </row>
    <row r="78" spans="1:148" s="452" customFormat="1" ht="24.75" customHeight="1" x14ac:dyDescent="0.25">
      <c r="A78" s="1362"/>
      <c r="B78" s="1364" t="s">
        <v>681</v>
      </c>
      <c r="C78" s="1366" t="s">
        <v>493</v>
      </c>
      <c r="D78" s="1368" t="s">
        <v>494</v>
      </c>
      <c r="E78" s="1370" t="s">
        <v>495</v>
      </c>
      <c r="F78" s="1353" t="s">
        <v>496</v>
      </c>
      <c r="G78" s="1354"/>
      <c r="H78" s="1355"/>
      <c r="I78" s="1353" t="s">
        <v>497</v>
      </c>
      <c r="J78" s="1354"/>
      <c r="K78" s="1355"/>
      <c r="L78" s="1353" t="s">
        <v>498</v>
      </c>
      <c r="M78" s="1354"/>
      <c r="N78" s="1355"/>
      <c r="O78" s="1353" t="s">
        <v>499</v>
      </c>
      <c r="P78" s="1354"/>
      <c r="Q78" s="1355"/>
      <c r="R78" s="1353" t="s">
        <v>500</v>
      </c>
      <c r="S78" s="1354"/>
      <c r="T78" s="1355"/>
      <c r="U78" s="1353" t="s">
        <v>501</v>
      </c>
      <c r="V78" s="1354"/>
      <c r="W78" s="1355"/>
      <c r="X78" s="1353" t="s">
        <v>502</v>
      </c>
      <c r="Y78" s="1354"/>
      <c r="Z78" s="1355"/>
      <c r="AA78" s="1353" t="s">
        <v>503</v>
      </c>
      <c r="AB78" s="1354"/>
      <c r="AC78" s="1355"/>
      <c r="AD78" s="1353" t="s">
        <v>504</v>
      </c>
      <c r="AE78" s="1354"/>
      <c r="AF78" s="1355"/>
      <c r="AG78" s="1353" t="s">
        <v>505</v>
      </c>
      <c r="AH78" s="1354"/>
      <c r="AI78" s="1355"/>
      <c r="AJ78" s="1353" t="s">
        <v>506</v>
      </c>
      <c r="AK78" s="1354"/>
      <c r="AL78" s="1355"/>
      <c r="AM78" s="1353" t="s">
        <v>507</v>
      </c>
      <c r="AN78" s="1354"/>
      <c r="AO78" s="1355"/>
      <c r="AP78" s="1353" t="s">
        <v>508</v>
      </c>
      <c r="AQ78" s="1354"/>
      <c r="AR78" s="1355"/>
      <c r="AS78" s="1353" t="s">
        <v>509</v>
      </c>
      <c r="AT78" s="1354"/>
      <c r="AU78" s="1355"/>
      <c r="AV78" s="1353"/>
      <c r="AW78" s="1354"/>
      <c r="AX78" s="1355"/>
      <c r="AY78" s="1353"/>
      <c r="AZ78" s="1354"/>
      <c r="BA78" s="1355"/>
      <c r="BB78" s="1356" t="s">
        <v>510</v>
      </c>
      <c r="BC78" s="1358" t="s">
        <v>511</v>
      </c>
      <c r="BD78" s="1358" t="s">
        <v>512</v>
      </c>
      <c r="BE78" s="1347" t="s">
        <v>22</v>
      </c>
      <c r="BF78" s="1360" t="s">
        <v>513</v>
      </c>
      <c r="BG78" s="1340" t="s">
        <v>514</v>
      </c>
      <c r="BH78" s="1341"/>
      <c r="BI78" s="1342"/>
      <c r="BJ78" s="1340" t="s">
        <v>515</v>
      </c>
      <c r="BK78" s="1341"/>
      <c r="BL78" s="1342"/>
      <c r="BM78" s="1340" t="s">
        <v>516</v>
      </c>
      <c r="BN78" s="1341"/>
      <c r="BO78" s="1342"/>
      <c r="BP78" s="1340" t="s">
        <v>517</v>
      </c>
      <c r="BQ78" s="1341"/>
      <c r="BR78" s="1342"/>
      <c r="BS78" s="1340" t="s">
        <v>518</v>
      </c>
      <c r="BT78" s="1341"/>
      <c r="BU78" s="1342"/>
      <c r="BV78" s="1340" t="s">
        <v>519</v>
      </c>
      <c r="BW78" s="1341"/>
      <c r="BX78" s="1342"/>
      <c r="BY78" s="1340" t="s">
        <v>520</v>
      </c>
      <c r="BZ78" s="1341"/>
      <c r="CA78" s="1342"/>
      <c r="CB78" s="1340" t="s">
        <v>521</v>
      </c>
      <c r="CC78" s="1341"/>
      <c r="CD78" s="1342"/>
      <c r="CE78" s="1340" t="s">
        <v>522</v>
      </c>
      <c r="CF78" s="1341"/>
      <c r="CG78" s="1342"/>
      <c r="CH78" s="1340" t="s">
        <v>523</v>
      </c>
      <c r="CI78" s="1341"/>
      <c r="CJ78" s="1342"/>
      <c r="CK78" s="1340" t="s">
        <v>524</v>
      </c>
      <c r="CL78" s="1341"/>
      <c r="CM78" s="1342"/>
      <c r="CN78" s="1340" t="s">
        <v>525</v>
      </c>
      <c r="CO78" s="1341"/>
      <c r="CP78" s="1342"/>
      <c r="CQ78" s="1340" t="s">
        <v>526</v>
      </c>
      <c r="CR78" s="1341"/>
      <c r="CS78" s="1342"/>
      <c r="CT78" s="1343" t="s">
        <v>510</v>
      </c>
      <c r="CU78" s="1345" t="s">
        <v>511</v>
      </c>
      <c r="CV78" s="1345" t="s">
        <v>512</v>
      </c>
      <c r="CW78" s="1347" t="s">
        <v>22</v>
      </c>
      <c r="CX78" s="1349" t="s">
        <v>513</v>
      </c>
      <c r="CY78" s="1351" t="s">
        <v>256</v>
      </c>
      <c r="CZ78" s="1322" t="s">
        <v>511</v>
      </c>
      <c r="DA78" s="1324" t="s">
        <v>512</v>
      </c>
      <c r="DB78" s="1326" t="s">
        <v>257</v>
      </c>
      <c r="DC78" s="192"/>
      <c r="DD78" s="398"/>
      <c r="DE78" s="453"/>
      <c r="DF78" s="893">
        <f>+DB77+DF77</f>
        <v>3602.6905542713562</v>
      </c>
      <c r="DG78" s="453"/>
      <c r="DH78" s="453"/>
      <c r="DI78" s="453"/>
      <c r="DJ78" s="453"/>
      <c r="DK78" s="453"/>
      <c r="DL78" s="453"/>
      <c r="DM78" s="453"/>
      <c r="DN78" s="453"/>
      <c r="DO78" s="453"/>
      <c r="DP78" s="453"/>
      <c r="DQ78" s="453"/>
      <c r="DR78" s="453"/>
      <c r="DS78" s="453"/>
      <c r="DT78" s="453"/>
      <c r="DU78" s="453"/>
      <c r="DV78" s="453"/>
      <c r="DW78" s="453"/>
      <c r="DX78" s="453"/>
      <c r="DY78" s="453"/>
      <c r="DZ78" s="453"/>
      <c r="EA78" s="453"/>
      <c r="EB78" s="453"/>
      <c r="EC78" s="453"/>
      <c r="ED78" s="453"/>
      <c r="EE78" s="453"/>
      <c r="EF78" s="453"/>
      <c r="EG78" s="453"/>
      <c r="EH78" s="453"/>
      <c r="EI78" s="453"/>
      <c r="EJ78" s="453"/>
      <c r="EK78" s="453"/>
      <c r="EL78" s="453"/>
      <c r="EM78" s="453"/>
      <c r="EN78" s="453"/>
      <c r="EO78" s="453"/>
      <c r="EP78" s="453"/>
      <c r="EQ78" s="453"/>
      <c r="ER78" s="453"/>
    </row>
    <row r="79" spans="1:148" s="452" customFormat="1" ht="24.75" customHeight="1" thickBot="1" x14ac:dyDescent="0.3">
      <c r="A79" s="1377"/>
      <c r="B79" s="1378"/>
      <c r="C79" s="1367"/>
      <c r="D79" s="1369"/>
      <c r="E79" s="1371"/>
      <c r="F79" s="425" t="s">
        <v>527</v>
      </c>
      <c r="G79" s="426" t="s">
        <v>258</v>
      </c>
      <c r="H79" s="427" t="s">
        <v>528</v>
      </c>
      <c r="I79" s="426" t="s">
        <v>527</v>
      </c>
      <c r="J79" s="426" t="s">
        <v>258</v>
      </c>
      <c r="K79" s="427" t="s">
        <v>528</v>
      </c>
      <c r="L79" s="426" t="s">
        <v>527</v>
      </c>
      <c r="M79" s="426" t="s">
        <v>258</v>
      </c>
      <c r="N79" s="427" t="s">
        <v>528</v>
      </c>
      <c r="O79" s="426" t="s">
        <v>527</v>
      </c>
      <c r="P79" s="426" t="s">
        <v>258</v>
      </c>
      <c r="Q79" s="427" t="s">
        <v>528</v>
      </c>
      <c r="R79" s="426" t="s">
        <v>527</v>
      </c>
      <c r="S79" s="426" t="s">
        <v>258</v>
      </c>
      <c r="T79" s="427" t="s">
        <v>528</v>
      </c>
      <c r="U79" s="426" t="s">
        <v>527</v>
      </c>
      <c r="V79" s="426" t="s">
        <v>258</v>
      </c>
      <c r="W79" s="427" t="s">
        <v>528</v>
      </c>
      <c r="X79" s="426" t="s">
        <v>527</v>
      </c>
      <c r="Y79" s="426" t="s">
        <v>258</v>
      </c>
      <c r="Z79" s="427" t="s">
        <v>528</v>
      </c>
      <c r="AA79" s="426" t="s">
        <v>527</v>
      </c>
      <c r="AB79" s="426" t="s">
        <v>258</v>
      </c>
      <c r="AC79" s="427" t="s">
        <v>528</v>
      </c>
      <c r="AD79" s="426" t="s">
        <v>527</v>
      </c>
      <c r="AE79" s="426" t="s">
        <v>258</v>
      </c>
      <c r="AF79" s="427" t="s">
        <v>528</v>
      </c>
      <c r="AG79" s="426" t="s">
        <v>527</v>
      </c>
      <c r="AH79" s="426" t="s">
        <v>258</v>
      </c>
      <c r="AI79" s="427" t="s">
        <v>528</v>
      </c>
      <c r="AJ79" s="426" t="s">
        <v>527</v>
      </c>
      <c r="AK79" s="426" t="s">
        <v>258</v>
      </c>
      <c r="AL79" s="427" t="s">
        <v>528</v>
      </c>
      <c r="AM79" s="426" t="s">
        <v>527</v>
      </c>
      <c r="AN79" s="426" t="s">
        <v>258</v>
      </c>
      <c r="AO79" s="427" t="s">
        <v>528</v>
      </c>
      <c r="AP79" s="426" t="s">
        <v>527</v>
      </c>
      <c r="AQ79" s="426" t="s">
        <v>258</v>
      </c>
      <c r="AR79" s="427" t="s">
        <v>528</v>
      </c>
      <c r="AS79" s="426" t="s">
        <v>527</v>
      </c>
      <c r="AT79" s="426" t="s">
        <v>258</v>
      </c>
      <c r="AU79" s="427" t="s">
        <v>528</v>
      </c>
      <c r="AV79" s="426" t="s">
        <v>527</v>
      </c>
      <c r="AW79" s="426" t="s">
        <v>258</v>
      </c>
      <c r="AX79" s="427" t="s">
        <v>528</v>
      </c>
      <c r="AY79" s="426" t="s">
        <v>527</v>
      </c>
      <c r="AZ79" s="426" t="s">
        <v>258</v>
      </c>
      <c r="BA79" s="427" t="s">
        <v>528</v>
      </c>
      <c r="BB79" s="1357"/>
      <c r="BC79" s="1359"/>
      <c r="BD79" s="1359"/>
      <c r="BE79" s="1348"/>
      <c r="BF79" s="1361"/>
      <c r="BG79" s="428" t="s">
        <v>527</v>
      </c>
      <c r="BH79" s="428" t="s">
        <v>258</v>
      </c>
      <c r="BI79" s="429" t="s">
        <v>528</v>
      </c>
      <c r="BJ79" s="428" t="s">
        <v>527</v>
      </c>
      <c r="BK79" s="428" t="s">
        <v>258</v>
      </c>
      <c r="BL79" s="429" t="s">
        <v>528</v>
      </c>
      <c r="BM79" s="428" t="s">
        <v>527</v>
      </c>
      <c r="BN79" s="428" t="s">
        <v>258</v>
      </c>
      <c r="BO79" s="429" t="s">
        <v>528</v>
      </c>
      <c r="BP79" s="428" t="s">
        <v>527</v>
      </c>
      <c r="BQ79" s="428" t="s">
        <v>258</v>
      </c>
      <c r="BR79" s="429" t="s">
        <v>528</v>
      </c>
      <c r="BS79" s="428" t="s">
        <v>527</v>
      </c>
      <c r="BT79" s="428" t="s">
        <v>258</v>
      </c>
      <c r="BU79" s="429" t="s">
        <v>528</v>
      </c>
      <c r="BV79" s="428" t="s">
        <v>527</v>
      </c>
      <c r="BW79" s="428" t="s">
        <v>258</v>
      </c>
      <c r="BX79" s="429" t="s">
        <v>528</v>
      </c>
      <c r="BY79" s="428" t="s">
        <v>527</v>
      </c>
      <c r="BZ79" s="428" t="s">
        <v>258</v>
      </c>
      <c r="CA79" s="429" t="s">
        <v>528</v>
      </c>
      <c r="CB79" s="428" t="s">
        <v>527</v>
      </c>
      <c r="CC79" s="428" t="s">
        <v>258</v>
      </c>
      <c r="CD79" s="429" t="s">
        <v>528</v>
      </c>
      <c r="CE79" s="428" t="s">
        <v>527</v>
      </c>
      <c r="CF79" s="428" t="s">
        <v>258</v>
      </c>
      <c r="CG79" s="429" t="s">
        <v>528</v>
      </c>
      <c r="CH79" s="428" t="s">
        <v>527</v>
      </c>
      <c r="CI79" s="428" t="s">
        <v>258</v>
      </c>
      <c r="CJ79" s="429" t="s">
        <v>528</v>
      </c>
      <c r="CK79" s="428" t="s">
        <v>527</v>
      </c>
      <c r="CL79" s="428" t="s">
        <v>258</v>
      </c>
      <c r="CM79" s="429" t="s">
        <v>528</v>
      </c>
      <c r="CN79" s="428" t="s">
        <v>527</v>
      </c>
      <c r="CO79" s="428" t="s">
        <v>258</v>
      </c>
      <c r="CP79" s="429" t="s">
        <v>528</v>
      </c>
      <c r="CQ79" s="428" t="s">
        <v>527</v>
      </c>
      <c r="CR79" s="428" t="s">
        <v>258</v>
      </c>
      <c r="CS79" s="429" t="s">
        <v>528</v>
      </c>
      <c r="CT79" s="1344"/>
      <c r="CU79" s="1346"/>
      <c r="CV79" s="1346"/>
      <c r="CW79" s="1348"/>
      <c r="CX79" s="1350"/>
      <c r="CY79" s="1352"/>
      <c r="CZ79" s="1323"/>
      <c r="DA79" s="1325"/>
      <c r="DB79" s="1327"/>
      <c r="DC79" s="192"/>
      <c r="DD79" s="398"/>
      <c r="DE79" s="453"/>
      <c r="DF79" s="453"/>
      <c r="DG79" s="453"/>
      <c r="DH79" s="453"/>
      <c r="DI79" s="453"/>
      <c r="DJ79" s="453"/>
      <c r="DK79" s="453"/>
      <c r="DL79" s="453"/>
      <c r="DM79" s="453"/>
      <c r="DN79" s="453"/>
      <c r="DO79" s="453"/>
      <c r="DP79" s="453"/>
      <c r="DQ79" s="453"/>
      <c r="DR79" s="453"/>
      <c r="DS79" s="453"/>
      <c r="DT79" s="453"/>
      <c r="DU79" s="453"/>
      <c r="DV79" s="453"/>
      <c r="DW79" s="453"/>
      <c r="DX79" s="453"/>
      <c r="DY79" s="453"/>
      <c r="DZ79" s="453"/>
      <c r="EA79" s="453"/>
      <c r="EB79" s="453"/>
      <c r="EC79" s="453"/>
      <c r="ED79" s="453"/>
      <c r="EE79" s="453"/>
      <c r="EF79" s="453"/>
      <c r="EG79" s="453"/>
      <c r="EH79" s="453"/>
      <c r="EI79" s="453"/>
      <c r="EJ79" s="453"/>
      <c r="EK79" s="453"/>
      <c r="EL79" s="453"/>
      <c r="EM79" s="453"/>
      <c r="EN79" s="453"/>
      <c r="EO79" s="453"/>
      <c r="EP79" s="453"/>
      <c r="EQ79" s="453"/>
      <c r="ER79" s="453"/>
    </row>
    <row r="80" spans="1:148" s="453" customFormat="1" ht="15.75" x14ac:dyDescent="0.25">
      <c r="A80" s="592">
        <f>+A76+1</f>
        <v>62</v>
      </c>
      <c r="B80" s="829" t="s">
        <v>149</v>
      </c>
      <c r="C80" s="830" t="s">
        <v>676</v>
      </c>
      <c r="D80" s="769"/>
      <c r="E80" s="831"/>
      <c r="F80" s="609">
        <v>730.8542713567839</v>
      </c>
      <c r="G80" s="525">
        <f>+F80*0.05/10</f>
        <v>3.6542713567839193</v>
      </c>
      <c r="H80" s="599">
        <f>25-G80</f>
        <v>21.345728643216081</v>
      </c>
      <c r="I80" s="609">
        <v>908.8643216080402</v>
      </c>
      <c r="J80" s="525">
        <f>+I80*0.05/10</f>
        <v>4.5443216080402014</v>
      </c>
      <c r="K80" s="599">
        <f>25-J80</f>
        <v>20.4556783919598</v>
      </c>
      <c r="L80" s="609">
        <v>1392.2412060301508</v>
      </c>
      <c r="M80" s="525">
        <f>+L80*0.05/10</f>
        <v>6.9612060301507537</v>
      </c>
      <c r="N80" s="599">
        <f>35-M80</f>
        <v>28.038793969849245</v>
      </c>
      <c r="O80" s="609"/>
      <c r="P80" s="525">
        <v>0</v>
      </c>
      <c r="Q80" s="598"/>
      <c r="R80" s="609">
        <v>1268.2613065326634</v>
      </c>
      <c r="S80" s="525">
        <f>+R80*0.05/9</f>
        <v>7.0458961474036856</v>
      </c>
      <c r="T80" s="599">
        <f>30-S80</f>
        <v>22.954103852596315</v>
      </c>
      <c r="U80" s="609">
        <v>1159.718592964824</v>
      </c>
      <c r="V80" s="525">
        <f>+U80*0.05/9</f>
        <v>6.4428810720268004</v>
      </c>
      <c r="W80" s="599">
        <f>30-V80</f>
        <v>23.5571189279732</v>
      </c>
      <c r="X80" s="609">
        <v>786.3316582914573</v>
      </c>
      <c r="Y80" s="525">
        <f>+X80*0.05/9</f>
        <v>4.3685092127303191</v>
      </c>
      <c r="Z80" s="599">
        <f>20-Y80</f>
        <v>15.63149078726968</v>
      </c>
      <c r="AA80" s="609">
        <v>562.9748743718593</v>
      </c>
      <c r="AB80" s="525">
        <f t="shared" ref="AB80:AB83" si="105">+AA80*0.05/8</f>
        <v>3.518592964824121</v>
      </c>
      <c r="AC80" s="599">
        <f t="shared" ref="AC80:AC83" si="106">15-AB80</f>
        <v>11.481407035175879</v>
      </c>
      <c r="AD80" s="609">
        <v>1236.9045226130654</v>
      </c>
      <c r="AE80" s="525">
        <f>+AD80*0.05/9</f>
        <v>6.8716917922948078</v>
      </c>
      <c r="AF80" s="599">
        <f>50-AE80</f>
        <v>43.128308207705189</v>
      </c>
      <c r="AG80" s="609">
        <v>0</v>
      </c>
      <c r="AH80" s="525">
        <v>0</v>
      </c>
      <c r="AI80" s="598">
        <v>0</v>
      </c>
      <c r="AJ80" s="609">
        <v>956.62311557788939</v>
      </c>
      <c r="AK80" s="525">
        <f t="shared" ref="AK80:AK85" si="107">+AJ80*0.05/10</f>
        <v>4.783115577889447</v>
      </c>
      <c r="AL80" s="599">
        <f>25-AK80</f>
        <v>20.216884422110553</v>
      </c>
      <c r="AM80" s="609">
        <v>885.2261306532663</v>
      </c>
      <c r="AN80" s="525">
        <f>+AM80*0.05/9</f>
        <v>4.9179229480737021</v>
      </c>
      <c r="AO80" s="598">
        <f>25-AN80</f>
        <v>20.082077051926298</v>
      </c>
      <c r="AP80" s="609">
        <v>0</v>
      </c>
      <c r="AQ80" s="525">
        <v>0</v>
      </c>
      <c r="AR80" s="598">
        <v>20</v>
      </c>
      <c r="AS80" s="609">
        <v>898.25125628140711</v>
      </c>
      <c r="AT80" s="525">
        <f>+AS80*0.05/9</f>
        <v>4.9902847571189284</v>
      </c>
      <c r="AU80" s="598">
        <f>25-AT80</f>
        <v>20.009715242881072</v>
      </c>
      <c r="AV80" s="609"/>
      <c r="AW80" s="525">
        <v>0</v>
      </c>
      <c r="AX80" s="598"/>
      <c r="AY80" s="609"/>
      <c r="AZ80" s="525">
        <v>0</v>
      </c>
      <c r="BA80" s="598"/>
      <c r="BB80" s="603">
        <f t="shared" ref="BB80:BC85" si="108">+F80+I80+L80+O80+R80+U80+X80+AA80+AD80+AG80+AJ80+AM80+AP80+AS80+AV80+AY80</f>
        <v>10786.251256281406</v>
      </c>
      <c r="BC80" s="604">
        <f>+G80+J80+M80+P80+S80+V80+Y80+AB80+AE80+AH80+AK80+AN80+AQ80+AT80+AW80+AZ80</f>
        <v>58.09869346733668</v>
      </c>
      <c r="BD80" s="605">
        <f t="shared" ref="BD80:BD85" si="109">+H80+K80+N80+Q80+T80+W80+Z80+AC80+AF80+AI80+AL80+AO80+AR80+AU80+AX80+BA80</f>
        <v>266.90130653266328</v>
      </c>
      <c r="BE80" s="446"/>
      <c r="BF80" s="827">
        <f>+BC80+BD80-BE80</f>
        <v>324.99999999999994</v>
      </c>
      <c r="BG80" s="609">
        <v>958.07035175879389</v>
      </c>
      <c r="BH80" s="525">
        <f>+BG80*0.05/8</f>
        <v>5.987939698492462</v>
      </c>
      <c r="BI80" s="599">
        <f>25-BH80</f>
        <v>19.012060301507539</v>
      </c>
      <c r="BJ80" s="609">
        <v>0</v>
      </c>
      <c r="BK80" s="525">
        <v>0</v>
      </c>
      <c r="BL80" s="598">
        <v>20</v>
      </c>
      <c r="BM80" s="609">
        <v>494.9547738693467</v>
      </c>
      <c r="BN80" s="525">
        <f>+BM80*0.05/9</f>
        <v>2.7497487437185928</v>
      </c>
      <c r="BO80" s="599">
        <f>25-BN80</f>
        <v>22.250251256281409</v>
      </c>
      <c r="BP80" s="609">
        <v>795.0150753768844</v>
      </c>
      <c r="BQ80" s="525">
        <f>+BP80*0.05/9</f>
        <v>4.4167504187604685</v>
      </c>
      <c r="BR80" s="599">
        <f>25-BQ80</f>
        <v>20.583249581239532</v>
      </c>
      <c r="BS80" s="609">
        <v>635.3366834170854</v>
      </c>
      <c r="BT80" s="525">
        <f>+BS80*0.05/9</f>
        <v>3.5296482412060302</v>
      </c>
      <c r="BU80" s="599">
        <f>25-BT80</f>
        <v>21.470351758793971</v>
      </c>
      <c r="BV80" s="609">
        <v>622.3115577889447</v>
      </c>
      <c r="BW80" s="525">
        <f>+BV80*0.05/9</f>
        <v>3.4572864321608043</v>
      </c>
      <c r="BX80" s="599">
        <f>25-BW80</f>
        <v>21.542713567839197</v>
      </c>
      <c r="BY80" s="609">
        <v>456.84422110552759</v>
      </c>
      <c r="BZ80" s="525">
        <f>+BY80*0.05/9</f>
        <v>2.5380234505862642</v>
      </c>
      <c r="CA80" s="599">
        <f>25-BZ80</f>
        <v>22.461976549413734</v>
      </c>
      <c r="CB80" s="609">
        <v>0</v>
      </c>
      <c r="CC80" s="525">
        <v>0</v>
      </c>
      <c r="CD80" s="598">
        <v>0</v>
      </c>
      <c r="CE80" s="609">
        <v>800.321608040201</v>
      </c>
      <c r="CF80" s="525">
        <f>+CE80*0.05/8</f>
        <v>5.0020100502512568</v>
      </c>
      <c r="CG80" s="599">
        <f>25-CF80</f>
        <v>19.997989949748742</v>
      </c>
      <c r="CH80" s="609">
        <v>0</v>
      </c>
      <c r="CI80" s="525">
        <v>0</v>
      </c>
      <c r="CJ80" s="598"/>
      <c r="CK80" s="609">
        <v>0</v>
      </c>
      <c r="CL80" s="525">
        <v>0</v>
      </c>
      <c r="CM80" s="598"/>
      <c r="CN80" s="609">
        <v>0</v>
      </c>
      <c r="CO80" s="525">
        <v>0</v>
      </c>
      <c r="CP80" s="598"/>
      <c r="CQ80" s="609">
        <v>0</v>
      </c>
      <c r="CR80" s="525">
        <v>0</v>
      </c>
      <c r="CS80" s="598"/>
      <c r="CT80" s="443">
        <f>BG80+BJ80+BM80+BP80+BS80+BV80+BY80+CB80+CH80+CK80+CN80+CQ80+CE80</f>
        <v>4762.854271356784</v>
      </c>
      <c r="CU80" s="444">
        <f>BH80+BK80+BN80+BQ80+BT80+BW80+BZ80+CC80+CI80+CL80+CO80+CR80+CF80</f>
        <v>27.68140703517588</v>
      </c>
      <c r="CV80" s="445">
        <f>+BI80+BL80+BO80+BR80+BU80+BX80+CA80+CD80+CG80+CJ80+CM80+CP80+CS80</f>
        <v>167.31859296482412</v>
      </c>
      <c r="CW80" s="587"/>
      <c r="CX80" s="447">
        <f>+CU80+CV80-CW80</f>
        <v>195</v>
      </c>
      <c r="CY80" s="448">
        <f>+BB80+CT80</f>
        <v>15549.10552763819</v>
      </c>
      <c r="CZ80" s="449">
        <f>+BC80+CU80</f>
        <v>85.780100502512568</v>
      </c>
      <c r="DA80" s="450">
        <f>+BD80+CV80</f>
        <v>434.2198994974874</v>
      </c>
      <c r="DB80" s="451">
        <f>+CZ80+DA80</f>
        <v>520</v>
      </c>
      <c r="DC80" s="192"/>
      <c r="DD80" s="398"/>
    </row>
    <row r="81" spans="1:170" s="570" customFormat="1" ht="15.75" x14ac:dyDescent="0.25">
      <c r="A81" s="572">
        <f>+A80+1</f>
        <v>63</v>
      </c>
      <c r="B81" s="832" t="s">
        <v>154</v>
      </c>
      <c r="C81" s="833" t="s">
        <v>676</v>
      </c>
      <c r="D81" s="769"/>
      <c r="E81" s="831"/>
      <c r="F81" s="578">
        <v>730.8542713567839</v>
      </c>
      <c r="G81" s="532">
        <f t="shared" ref="G81:G85" si="110">+F81*0.05/10</f>
        <v>3.6542713567839193</v>
      </c>
      <c r="H81" s="619">
        <f>20-G81</f>
        <v>16.345728643216081</v>
      </c>
      <c r="I81" s="578">
        <v>908.8643216080402</v>
      </c>
      <c r="J81" s="532">
        <f t="shared" ref="J81:J85" si="111">+I81*0.05/10</f>
        <v>4.5443216080402014</v>
      </c>
      <c r="K81" s="619">
        <f>20-J81</f>
        <v>15.455678391959799</v>
      </c>
      <c r="L81" s="578">
        <v>1392.2412060301508</v>
      </c>
      <c r="M81" s="532">
        <f t="shared" ref="M81:M85" si="112">+L81*0.05/10</f>
        <v>6.9612060301507537</v>
      </c>
      <c r="N81" s="619">
        <f>30-M81</f>
        <v>23.038793969849245</v>
      </c>
      <c r="O81" s="578"/>
      <c r="P81" s="517">
        <v>0</v>
      </c>
      <c r="Q81" s="598"/>
      <c r="R81" s="578">
        <v>1268.2613065326634</v>
      </c>
      <c r="S81" s="532">
        <f t="shared" ref="S81:S85" si="113">+R81*0.05/9</f>
        <v>7.0458961474036856</v>
      </c>
      <c r="T81" s="577">
        <f>25-S81</f>
        <v>17.954103852596315</v>
      </c>
      <c r="U81" s="578">
        <v>1159.718592964824</v>
      </c>
      <c r="V81" s="532">
        <f t="shared" ref="V81:V85" si="114">+U81*0.05/9</f>
        <v>6.4428810720268004</v>
      </c>
      <c r="W81" s="577">
        <f>25-V81</f>
        <v>18.5571189279732</v>
      </c>
      <c r="X81" s="578">
        <v>786.3316582914573</v>
      </c>
      <c r="Y81" s="532">
        <f t="shared" ref="Y81:Y85" si="115">+X81*0.05/9</f>
        <v>4.3685092127303191</v>
      </c>
      <c r="Z81" s="577">
        <f>18-Y81</f>
        <v>13.63149078726968</v>
      </c>
      <c r="AA81" s="578">
        <v>562.9748743718593</v>
      </c>
      <c r="AB81" s="532">
        <f t="shared" si="105"/>
        <v>3.518592964824121</v>
      </c>
      <c r="AC81" s="619">
        <f t="shared" si="106"/>
        <v>11.481407035175879</v>
      </c>
      <c r="AD81" s="578">
        <v>1236.9045226130654</v>
      </c>
      <c r="AE81" s="532">
        <f t="shared" ref="AE81:AE85" si="116">+AD81*0.05/9</f>
        <v>6.8716917922948078</v>
      </c>
      <c r="AF81" s="577">
        <f>40-AE81</f>
        <v>33.128308207705189</v>
      </c>
      <c r="AG81" s="578">
        <v>0</v>
      </c>
      <c r="AH81" s="517">
        <v>0</v>
      </c>
      <c r="AI81" s="577">
        <v>0</v>
      </c>
      <c r="AJ81" s="578">
        <v>956.62311557788939</v>
      </c>
      <c r="AK81" s="532">
        <f t="shared" si="107"/>
        <v>4.783115577889447</v>
      </c>
      <c r="AL81" s="577">
        <f>20-AK81</f>
        <v>15.216884422110553</v>
      </c>
      <c r="AM81" s="578">
        <v>885.2261306532663</v>
      </c>
      <c r="AN81" s="532">
        <f t="shared" ref="AN81:AN85" si="117">+AM81*0.05/9</f>
        <v>4.9179229480737021</v>
      </c>
      <c r="AO81" s="577">
        <f>20-AN81</f>
        <v>15.082077051926298</v>
      </c>
      <c r="AP81" s="578">
        <v>0</v>
      </c>
      <c r="AQ81" s="517">
        <v>0</v>
      </c>
      <c r="AR81" s="577">
        <v>0</v>
      </c>
      <c r="AS81" s="578">
        <v>898.25125628140711</v>
      </c>
      <c r="AT81" s="532">
        <f t="shared" ref="AT81:AT85" si="118">+AS81*0.05/9</f>
        <v>4.9902847571189284</v>
      </c>
      <c r="AU81" s="577">
        <f>20-AT81</f>
        <v>15.009715242881072</v>
      </c>
      <c r="AV81" s="578"/>
      <c r="AW81" s="517">
        <v>0</v>
      </c>
      <c r="AX81" s="598"/>
      <c r="AY81" s="578"/>
      <c r="AZ81" s="517">
        <v>0</v>
      </c>
      <c r="BA81" s="598"/>
      <c r="BB81" s="463">
        <f t="shared" si="108"/>
        <v>10786.251256281406</v>
      </c>
      <c r="BC81" s="464">
        <f t="shared" si="108"/>
        <v>58.09869346733668</v>
      </c>
      <c r="BD81" s="465">
        <f t="shared" si="109"/>
        <v>194.90130653266331</v>
      </c>
      <c r="BE81" s="587"/>
      <c r="BF81" s="637">
        <f t="shared" ref="BF81:BF83" si="119">+BC81+BD81-BE81</f>
        <v>253</v>
      </c>
      <c r="BG81" s="578">
        <v>958.07035175879389</v>
      </c>
      <c r="BH81" s="532">
        <f t="shared" ref="BH81:BH85" si="120">+BG81*0.05/8</f>
        <v>5.987939698492462</v>
      </c>
      <c r="BI81" s="619">
        <f>20-BH81</f>
        <v>14.012060301507539</v>
      </c>
      <c r="BJ81" s="578">
        <v>0</v>
      </c>
      <c r="BK81" s="517">
        <v>0</v>
      </c>
      <c r="BL81" s="577">
        <v>0</v>
      </c>
      <c r="BM81" s="578">
        <v>494.9547738693467</v>
      </c>
      <c r="BN81" s="532">
        <f t="shared" ref="BN81:BN85" si="121">+BM81*0.05/9</f>
        <v>2.7497487437185928</v>
      </c>
      <c r="BO81" s="577">
        <f>20-BN81</f>
        <v>17.250251256281409</v>
      </c>
      <c r="BP81" s="578">
        <v>795.0150753768844</v>
      </c>
      <c r="BQ81" s="532">
        <f t="shared" ref="BQ81:BQ85" si="122">+BP81*0.05/9</f>
        <v>4.4167504187604685</v>
      </c>
      <c r="BR81" s="577">
        <f>20-BQ81</f>
        <v>15.583249581239532</v>
      </c>
      <c r="BS81" s="578">
        <v>635.3366834170854</v>
      </c>
      <c r="BT81" s="532">
        <f t="shared" ref="BT81:BT85" si="123">+BS81*0.05/9</f>
        <v>3.5296482412060302</v>
      </c>
      <c r="BU81" s="577">
        <f>20-BT81</f>
        <v>16.470351758793971</v>
      </c>
      <c r="BV81" s="578">
        <v>622.3115577889447</v>
      </c>
      <c r="BW81" s="532">
        <f t="shared" ref="BW81:BW85" si="124">+BV81*0.05/9</f>
        <v>3.4572864321608043</v>
      </c>
      <c r="BX81" s="577">
        <f>20-BW81</f>
        <v>16.542713567839197</v>
      </c>
      <c r="BY81" s="578">
        <v>456.84422110552759</v>
      </c>
      <c r="BZ81" s="532">
        <f t="shared" ref="BZ81:BZ85" si="125">+BY81*0.05/9</f>
        <v>2.5380234505862642</v>
      </c>
      <c r="CA81" s="577">
        <f>20-BZ81</f>
        <v>17.461976549413734</v>
      </c>
      <c r="CB81" s="578">
        <v>0</v>
      </c>
      <c r="CC81" s="517">
        <v>0</v>
      </c>
      <c r="CD81" s="598">
        <v>0</v>
      </c>
      <c r="CE81" s="578"/>
      <c r="CF81" s="662">
        <v>0</v>
      </c>
      <c r="CG81" s="598"/>
      <c r="CH81" s="578">
        <v>0</v>
      </c>
      <c r="CI81" s="517">
        <v>0</v>
      </c>
      <c r="CJ81" s="598"/>
      <c r="CK81" s="578">
        <v>0</v>
      </c>
      <c r="CL81" s="517">
        <v>0</v>
      </c>
      <c r="CM81" s="598"/>
      <c r="CN81" s="578">
        <v>0</v>
      </c>
      <c r="CO81" s="517">
        <v>0</v>
      </c>
      <c r="CP81" s="598"/>
      <c r="CQ81" s="578">
        <v>0</v>
      </c>
      <c r="CR81" s="517">
        <v>0</v>
      </c>
      <c r="CS81" s="598"/>
      <c r="CT81" s="551">
        <f t="shared" ref="CT81:CU85" si="126">BG81+BJ81+BM81+BP81+BS81+BV81+BY81+CB81+CH81+CK81+CN81+CQ81+CE81</f>
        <v>3962.5326633165828</v>
      </c>
      <c r="CU81" s="552">
        <f t="shared" si="126"/>
        <v>22.679396984924622</v>
      </c>
      <c r="CV81" s="553">
        <f t="shared" ref="CV81:CV85" si="127">+BI81+BL81+BO81+BR81+BU81+BX81+CA81+CD81+CG81+CJ81+CM81+CP81+CS81</f>
        <v>97.320603015075378</v>
      </c>
      <c r="CW81" s="587"/>
      <c r="CX81" s="554">
        <f t="shared" ref="CX81:CX85" si="128">+CU81+CV81-CW81</f>
        <v>120</v>
      </c>
      <c r="CY81" s="588">
        <f t="shared" ref="CY81:DA85" si="129">+BB81+CT81</f>
        <v>14748.783919597989</v>
      </c>
      <c r="CZ81" s="589">
        <f t="shared" si="129"/>
        <v>80.778090452261296</v>
      </c>
      <c r="DA81" s="590">
        <f t="shared" si="129"/>
        <v>292.22190954773868</v>
      </c>
      <c r="DB81" s="591">
        <f t="shared" ref="DB81:DB85" si="130">+CZ81+DA81</f>
        <v>373</v>
      </c>
      <c r="DC81" s="192" t="s">
        <v>860</v>
      </c>
      <c r="DD81" s="398"/>
    </row>
    <row r="82" spans="1:170" ht="15.75" x14ac:dyDescent="0.25">
      <c r="A82" s="572">
        <f t="shared" ref="A82:A85" si="131">+A81+1</f>
        <v>64</v>
      </c>
      <c r="B82" s="666" t="s">
        <v>155</v>
      </c>
      <c r="C82" s="833" t="s">
        <v>676</v>
      </c>
      <c r="D82" s="769" t="s">
        <v>684</v>
      </c>
      <c r="E82" s="770" t="s">
        <v>685</v>
      </c>
      <c r="F82" s="578">
        <v>730.8542713567839</v>
      </c>
      <c r="G82" s="532">
        <f>+F82*0.05/10</f>
        <v>3.6542713567839193</v>
      </c>
      <c r="H82" s="577">
        <f>20-G82</f>
        <v>16.345728643216081</v>
      </c>
      <c r="I82" s="578">
        <v>908.8643216080402</v>
      </c>
      <c r="J82" s="532">
        <f>+I82*0.05/10</f>
        <v>4.5443216080402014</v>
      </c>
      <c r="K82" s="577">
        <f>20-J82</f>
        <v>15.455678391959799</v>
      </c>
      <c r="L82" s="578">
        <v>1392.2412060301508</v>
      </c>
      <c r="M82" s="532">
        <f>+L82*0.05/10</f>
        <v>6.9612060301507537</v>
      </c>
      <c r="N82" s="619">
        <f>20-M82</f>
        <v>13.038793969849246</v>
      </c>
      <c r="O82" s="578"/>
      <c r="P82" s="517">
        <v>0</v>
      </c>
      <c r="Q82" s="598"/>
      <c r="R82" s="578">
        <v>1268.2613065326634</v>
      </c>
      <c r="S82" s="532">
        <f>+R82*0.05/9</f>
        <v>7.0458961474036856</v>
      </c>
      <c r="T82" s="577">
        <f>25-S82</f>
        <v>17.954103852596315</v>
      </c>
      <c r="U82" s="578">
        <v>1159.718592964824</v>
      </c>
      <c r="V82" s="532">
        <f>+U82*0.05/9</f>
        <v>6.4428810720268004</v>
      </c>
      <c r="W82" s="577">
        <f>25-V82</f>
        <v>18.5571189279732</v>
      </c>
      <c r="X82" s="578">
        <v>786.3316582914573</v>
      </c>
      <c r="Y82" s="532">
        <f>+X82*0.05/9</f>
        <v>4.3685092127303191</v>
      </c>
      <c r="Z82" s="577">
        <f>18-Y82</f>
        <v>13.63149078726968</v>
      </c>
      <c r="AA82" s="578">
        <v>562.9748743718593</v>
      </c>
      <c r="AB82" s="532">
        <f t="shared" si="105"/>
        <v>3.518592964824121</v>
      </c>
      <c r="AC82" s="619">
        <f t="shared" si="106"/>
        <v>11.481407035175879</v>
      </c>
      <c r="AD82" s="578">
        <v>1236.9045226130654</v>
      </c>
      <c r="AE82" s="532">
        <f>+AD82*0.05/9</f>
        <v>6.8716917922948078</v>
      </c>
      <c r="AF82" s="577">
        <f>20-AE82</f>
        <v>13.128308207705192</v>
      </c>
      <c r="AG82" s="578">
        <v>464.08040201005031</v>
      </c>
      <c r="AH82" s="517">
        <f>+AG82*0.05/3</f>
        <v>7.7346733668341727</v>
      </c>
      <c r="AI82" s="577">
        <f>20-AH82</f>
        <v>12.265326633165827</v>
      </c>
      <c r="AJ82" s="578">
        <v>956.62311557788939</v>
      </c>
      <c r="AK82" s="532">
        <f t="shared" si="107"/>
        <v>4.783115577889447</v>
      </c>
      <c r="AL82" s="577">
        <f>20-AK82</f>
        <v>15.216884422110553</v>
      </c>
      <c r="AM82" s="578">
        <v>0</v>
      </c>
      <c r="AN82" s="532">
        <f>+AM82*0.05/9</f>
        <v>0</v>
      </c>
      <c r="AO82" s="577">
        <v>0</v>
      </c>
      <c r="AP82" s="578">
        <v>0</v>
      </c>
      <c r="AQ82" s="517">
        <v>0</v>
      </c>
      <c r="AR82" s="577">
        <v>0</v>
      </c>
      <c r="AS82" s="578">
        <v>898.25125628140711</v>
      </c>
      <c r="AT82" s="532">
        <f>+AS82*0.05/9</f>
        <v>4.9902847571189284</v>
      </c>
      <c r="AU82" s="577">
        <f>20-AT82</f>
        <v>15.009715242881072</v>
      </c>
      <c r="AV82" s="578"/>
      <c r="AW82" s="517">
        <v>0</v>
      </c>
      <c r="AX82" s="598"/>
      <c r="AY82" s="578"/>
      <c r="AZ82" s="517">
        <v>0</v>
      </c>
      <c r="BA82" s="598"/>
      <c r="BB82" s="463">
        <f t="shared" si="108"/>
        <v>10365.10552763819</v>
      </c>
      <c r="BC82" s="464">
        <f>+G82+J82+M82+P82+S82+V82+Y82+AB82+AE82+AH82+AK82+AN82+AQ82+AT82+AW82+AZ82</f>
        <v>60.915443886097151</v>
      </c>
      <c r="BD82" s="465">
        <f t="shared" si="109"/>
        <v>162.08455611390286</v>
      </c>
      <c r="BE82" s="587"/>
      <c r="BF82" s="637">
        <f>+BC82+BD82-BE82</f>
        <v>223</v>
      </c>
      <c r="BG82" s="578">
        <v>958.07035175879389</v>
      </c>
      <c r="BH82" s="532">
        <f>+BG82*0.05/8</f>
        <v>5.987939698492462</v>
      </c>
      <c r="BI82" s="577">
        <f>20-BH82</f>
        <v>14.012060301507539</v>
      </c>
      <c r="BJ82" s="578">
        <v>0</v>
      </c>
      <c r="BK82" s="517">
        <v>0</v>
      </c>
      <c r="BL82" s="577">
        <v>0</v>
      </c>
      <c r="BM82" s="578">
        <v>494.9547738693467</v>
      </c>
      <c r="BN82" s="532">
        <f>+BM82*0.05/9</f>
        <v>2.7497487437185928</v>
      </c>
      <c r="BO82" s="577">
        <f>20-BN82</f>
        <v>17.250251256281409</v>
      </c>
      <c r="BP82" s="578">
        <v>795.0150753768844</v>
      </c>
      <c r="BQ82" s="532">
        <f>+BP82*0.05/9</f>
        <v>4.4167504187604685</v>
      </c>
      <c r="BR82" s="577">
        <f>20-BQ82</f>
        <v>15.583249581239532</v>
      </c>
      <c r="BS82" s="578">
        <v>635.3366834170854</v>
      </c>
      <c r="BT82" s="532">
        <f>+BS82*0.05/9</f>
        <v>3.5296482412060302</v>
      </c>
      <c r="BU82" s="577">
        <f>20-BT82</f>
        <v>16.470351758793971</v>
      </c>
      <c r="BV82" s="578">
        <v>622.3115577889447</v>
      </c>
      <c r="BW82" s="532">
        <f>+BV82*0.05/9</f>
        <v>3.4572864321608043</v>
      </c>
      <c r="BX82" s="577">
        <f>20-BW82</f>
        <v>16.542713567839197</v>
      </c>
      <c r="BY82" s="578">
        <v>456.84422110552759</v>
      </c>
      <c r="BZ82" s="532">
        <f>+BY82*0.05/9</f>
        <v>2.5380234505862642</v>
      </c>
      <c r="CA82" s="577">
        <f>20-BZ82</f>
        <v>17.461976549413734</v>
      </c>
      <c r="CB82" s="578">
        <v>0</v>
      </c>
      <c r="CC82" s="517">
        <v>0</v>
      </c>
      <c r="CD82" s="598">
        <v>0</v>
      </c>
      <c r="CE82" s="578">
        <v>800.321608040201</v>
      </c>
      <c r="CF82" s="532">
        <f>+CE82*0.05/8</f>
        <v>5.0020100502512568</v>
      </c>
      <c r="CG82" s="660">
        <f>20-CF82</f>
        <v>14.997989949748742</v>
      </c>
      <c r="CH82" s="578">
        <v>0</v>
      </c>
      <c r="CI82" s="517">
        <v>0</v>
      </c>
      <c r="CJ82" s="598"/>
      <c r="CK82" s="578">
        <v>0</v>
      </c>
      <c r="CL82" s="517">
        <v>0</v>
      </c>
      <c r="CM82" s="598"/>
      <c r="CN82" s="578">
        <v>0</v>
      </c>
      <c r="CO82" s="517">
        <v>0</v>
      </c>
      <c r="CP82" s="598"/>
      <c r="CQ82" s="578">
        <v>0</v>
      </c>
      <c r="CR82" s="517">
        <v>0</v>
      </c>
      <c r="CS82" s="598"/>
      <c r="CT82" s="551">
        <f>BG82+BJ82+BM82+BP82+BS82+BV82+BY82+CB82+CH82+CK82+CN82+CQ82+CE82</f>
        <v>4762.854271356784</v>
      </c>
      <c r="CU82" s="552">
        <f>BH82+BK82+BN82+BQ82+BT82+BW82+BZ82+CC82+CI82+CL82+CO82+CR82+CF82</f>
        <v>27.68140703517588</v>
      </c>
      <c r="CV82" s="553">
        <f>+BI82+BL82+BO82+BR82+BU82+BX82+CA82+CD82+CG82+CJ82+CM82+CP82+CS82</f>
        <v>112.31859296482412</v>
      </c>
      <c r="CW82" s="587"/>
      <c r="CX82" s="554">
        <f>+CU82+CV82-CW82</f>
        <v>140</v>
      </c>
      <c r="CY82" s="588">
        <f>+BB82+CT82</f>
        <v>15127.959798994974</v>
      </c>
      <c r="CZ82" s="589">
        <f>+BC82+CU82</f>
        <v>88.596850921273031</v>
      </c>
      <c r="DA82" s="590">
        <f>+BD82+CV82</f>
        <v>274.40314907872698</v>
      </c>
      <c r="DB82" s="591">
        <f>+CZ82+DA82</f>
        <v>363</v>
      </c>
    </row>
    <row r="83" spans="1:170" s="570" customFormat="1" ht="15.75" x14ac:dyDescent="0.25">
      <c r="A83" s="572">
        <f t="shared" si="131"/>
        <v>65</v>
      </c>
      <c r="B83" s="834" t="s">
        <v>157</v>
      </c>
      <c r="C83" s="833" t="s">
        <v>676</v>
      </c>
      <c r="D83" s="769" t="s">
        <v>686</v>
      </c>
      <c r="E83" s="770" t="s">
        <v>687</v>
      </c>
      <c r="F83" s="578">
        <v>730.8542713567839</v>
      </c>
      <c r="G83" s="532">
        <f t="shared" si="110"/>
        <v>3.6542713567839193</v>
      </c>
      <c r="H83" s="619">
        <f>20-G83</f>
        <v>16.345728643216081</v>
      </c>
      <c r="I83" s="578">
        <v>908.8643216080402</v>
      </c>
      <c r="J83" s="532">
        <f t="shared" si="111"/>
        <v>4.5443216080402014</v>
      </c>
      <c r="K83" s="619">
        <f>20-J83</f>
        <v>15.455678391959799</v>
      </c>
      <c r="L83" s="578">
        <v>1392.2412060301508</v>
      </c>
      <c r="M83" s="532">
        <f t="shared" si="112"/>
        <v>6.9612060301507537</v>
      </c>
      <c r="N83" s="619">
        <f>30-M83</f>
        <v>23.038793969849245</v>
      </c>
      <c r="O83" s="578"/>
      <c r="P83" s="517">
        <v>0</v>
      </c>
      <c r="Q83" s="598"/>
      <c r="R83" s="578">
        <v>1268.2613065326634</v>
      </c>
      <c r="S83" s="532">
        <f t="shared" si="113"/>
        <v>7.0458961474036856</v>
      </c>
      <c r="T83" s="577">
        <f>25-S83</f>
        <v>17.954103852596315</v>
      </c>
      <c r="U83" s="578">
        <v>1159.718592964824</v>
      </c>
      <c r="V83" s="532">
        <f t="shared" si="114"/>
        <v>6.4428810720268004</v>
      </c>
      <c r="W83" s="577">
        <f>25-V83</f>
        <v>18.5571189279732</v>
      </c>
      <c r="X83" s="578">
        <v>786.3316582914573</v>
      </c>
      <c r="Y83" s="532">
        <f t="shared" si="115"/>
        <v>4.3685092127303191</v>
      </c>
      <c r="Z83" s="577">
        <f>18-Y83</f>
        <v>13.63149078726968</v>
      </c>
      <c r="AA83" s="578">
        <v>562.9748743718593</v>
      </c>
      <c r="AB83" s="532">
        <f t="shared" si="105"/>
        <v>3.518592964824121</v>
      </c>
      <c r="AC83" s="619">
        <f t="shared" si="106"/>
        <v>11.481407035175879</v>
      </c>
      <c r="AD83" s="578">
        <v>1236.9045226130654</v>
      </c>
      <c r="AE83" s="532">
        <f t="shared" si="116"/>
        <v>6.8716917922948078</v>
      </c>
      <c r="AF83" s="577">
        <f>40-AE83</f>
        <v>33.128308207705189</v>
      </c>
      <c r="AG83" s="578">
        <v>0</v>
      </c>
      <c r="AH83" s="517">
        <v>0</v>
      </c>
      <c r="AI83" s="577">
        <v>0</v>
      </c>
      <c r="AJ83" s="578">
        <v>956.62311557788939</v>
      </c>
      <c r="AK83" s="532">
        <f t="shared" si="107"/>
        <v>4.783115577889447</v>
      </c>
      <c r="AL83" s="577">
        <f>20-AK83</f>
        <v>15.216884422110553</v>
      </c>
      <c r="AM83" s="578">
        <v>885.2261306532663</v>
      </c>
      <c r="AN83" s="532">
        <f t="shared" si="117"/>
        <v>4.9179229480737021</v>
      </c>
      <c r="AO83" s="577">
        <f>20-AN83</f>
        <v>15.082077051926298</v>
      </c>
      <c r="AP83" s="578">
        <v>0</v>
      </c>
      <c r="AQ83" s="517">
        <v>0</v>
      </c>
      <c r="AR83" s="577">
        <v>0</v>
      </c>
      <c r="AS83" s="578">
        <v>898.25125628140711</v>
      </c>
      <c r="AT83" s="532">
        <f t="shared" si="118"/>
        <v>4.9902847571189284</v>
      </c>
      <c r="AU83" s="577">
        <f>20-AT83</f>
        <v>15.009715242881072</v>
      </c>
      <c r="AV83" s="578"/>
      <c r="AW83" s="517">
        <v>0</v>
      </c>
      <c r="AX83" s="598"/>
      <c r="AY83" s="578"/>
      <c r="AZ83" s="517">
        <v>0</v>
      </c>
      <c r="BA83" s="598"/>
      <c r="BB83" s="463">
        <f t="shared" si="108"/>
        <v>10786.251256281406</v>
      </c>
      <c r="BC83" s="464">
        <f t="shared" si="108"/>
        <v>58.09869346733668</v>
      </c>
      <c r="BD83" s="465">
        <f t="shared" si="109"/>
        <v>194.90130653266331</v>
      </c>
      <c r="BE83" s="587"/>
      <c r="BF83" s="637">
        <f t="shared" si="119"/>
        <v>253</v>
      </c>
      <c r="BG83" s="578">
        <v>958.07035175879389</v>
      </c>
      <c r="BH83" s="532">
        <f t="shared" si="120"/>
        <v>5.987939698492462</v>
      </c>
      <c r="BI83" s="619">
        <f>20-BH83</f>
        <v>14.012060301507539</v>
      </c>
      <c r="BJ83" s="578">
        <v>0</v>
      </c>
      <c r="BK83" s="517">
        <v>0</v>
      </c>
      <c r="BL83" s="577">
        <v>20</v>
      </c>
      <c r="BM83" s="578">
        <v>494.9547738693467</v>
      </c>
      <c r="BN83" s="532">
        <f t="shared" si="121"/>
        <v>2.7497487437185928</v>
      </c>
      <c r="BO83" s="577">
        <f>20-BN83</f>
        <v>17.250251256281409</v>
      </c>
      <c r="BP83" s="578">
        <v>795.0150753768844</v>
      </c>
      <c r="BQ83" s="532">
        <f t="shared" si="122"/>
        <v>4.4167504187604685</v>
      </c>
      <c r="BR83" s="577">
        <f>20-BQ83</f>
        <v>15.583249581239532</v>
      </c>
      <c r="BS83" s="578">
        <v>635.3366834170854</v>
      </c>
      <c r="BT83" s="532">
        <f t="shared" si="123"/>
        <v>3.5296482412060302</v>
      </c>
      <c r="BU83" s="577">
        <f>20-BT83</f>
        <v>16.470351758793971</v>
      </c>
      <c r="BV83" s="578">
        <v>622.3115577889447</v>
      </c>
      <c r="BW83" s="532">
        <f t="shared" si="124"/>
        <v>3.4572864321608043</v>
      </c>
      <c r="BX83" s="577">
        <f>20-BW83</f>
        <v>16.542713567839197</v>
      </c>
      <c r="BY83" s="578">
        <v>456.84422110552759</v>
      </c>
      <c r="BZ83" s="532">
        <f t="shared" si="125"/>
        <v>2.5380234505862642</v>
      </c>
      <c r="CA83" s="577">
        <f>20-BZ83</f>
        <v>17.461976549413734</v>
      </c>
      <c r="CB83" s="578">
        <v>0</v>
      </c>
      <c r="CC83" s="517">
        <v>0</v>
      </c>
      <c r="CD83" s="598">
        <v>0</v>
      </c>
      <c r="CE83" s="578">
        <v>800.321608040201</v>
      </c>
      <c r="CF83" s="532">
        <f>+CE83*0.05/8</f>
        <v>5.0020100502512568</v>
      </c>
      <c r="CG83" s="660">
        <f>20-CF83</f>
        <v>14.997989949748742</v>
      </c>
      <c r="CH83" s="578">
        <v>0</v>
      </c>
      <c r="CI83" s="517">
        <v>0</v>
      </c>
      <c r="CJ83" s="598"/>
      <c r="CK83" s="578">
        <v>0</v>
      </c>
      <c r="CL83" s="517">
        <v>0</v>
      </c>
      <c r="CM83" s="598"/>
      <c r="CN83" s="578">
        <v>0</v>
      </c>
      <c r="CO83" s="517">
        <v>0</v>
      </c>
      <c r="CP83" s="598"/>
      <c r="CQ83" s="578">
        <v>0</v>
      </c>
      <c r="CR83" s="517">
        <v>0</v>
      </c>
      <c r="CS83" s="598"/>
      <c r="CT83" s="551">
        <f t="shared" si="126"/>
        <v>4762.854271356784</v>
      </c>
      <c r="CU83" s="552">
        <f t="shared" si="126"/>
        <v>27.68140703517588</v>
      </c>
      <c r="CV83" s="553">
        <f t="shared" si="127"/>
        <v>132.31859296482412</v>
      </c>
      <c r="CW83" s="587"/>
      <c r="CX83" s="554">
        <f t="shared" si="128"/>
        <v>160</v>
      </c>
      <c r="CY83" s="588">
        <f t="shared" si="129"/>
        <v>15549.10552763819</v>
      </c>
      <c r="CZ83" s="589">
        <f t="shared" si="129"/>
        <v>85.780100502512568</v>
      </c>
      <c r="DA83" s="590">
        <f t="shared" si="129"/>
        <v>327.2198994974874</v>
      </c>
      <c r="DB83" s="591">
        <f t="shared" si="130"/>
        <v>413</v>
      </c>
      <c r="DC83" s="192"/>
      <c r="DD83" s="398"/>
    </row>
    <row r="84" spans="1:170" s="571" customFormat="1" ht="15.75" x14ac:dyDescent="0.25">
      <c r="A84" s="572">
        <f t="shared" si="131"/>
        <v>66</v>
      </c>
      <c r="B84" s="614" t="s">
        <v>146</v>
      </c>
      <c r="C84" s="835" t="s">
        <v>676</v>
      </c>
      <c r="D84" s="769" t="s">
        <v>688</v>
      </c>
      <c r="E84" s="770" t="s">
        <v>689</v>
      </c>
      <c r="F84" s="578">
        <v>730.8542713567839</v>
      </c>
      <c r="G84" s="532">
        <f>+F84*0.05/10</f>
        <v>3.6542713567839193</v>
      </c>
      <c r="H84" s="619">
        <f>18-G84</f>
        <v>14.345728643216081</v>
      </c>
      <c r="I84" s="578">
        <v>908.8643216080402</v>
      </c>
      <c r="J84" s="532">
        <f>+I84*0.05/10</f>
        <v>4.5443216080402014</v>
      </c>
      <c r="K84" s="619">
        <f>18-J84</f>
        <v>13.455678391959799</v>
      </c>
      <c r="L84" s="578">
        <v>1392.2412060301508</v>
      </c>
      <c r="M84" s="532">
        <f>+L84*0.05/10</f>
        <v>6.9612060301507537</v>
      </c>
      <c r="N84" s="619">
        <f>20-M84</f>
        <v>13.038793969849246</v>
      </c>
      <c r="O84" s="578"/>
      <c r="P84" s="619">
        <f>+O84*0.03905/5</f>
        <v>0</v>
      </c>
      <c r="Q84" s="598"/>
      <c r="R84" s="578">
        <v>1268.2613065326634</v>
      </c>
      <c r="S84" s="532">
        <f>+R84*0.05/9</f>
        <v>7.0458961474036856</v>
      </c>
      <c r="T84" s="577">
        <f>20-S84</f>
        <v>12.954103852596315</v>
      </c>
      <c r="U84" s="578">
        <v>1159.718592964824</v>
      </c>
      <c r="V84" s="532">
        <f>+U84*0.05/9</f>
        <v>6.4428810720268004</v>
      </c>
      <c r="W84" s="577">
        <f>20-V84</f>
        <v>13.5571189279732</v>
      </c>
      <c r="X84" s="578">
        <v>786.3316582914573</v>
      </c>
      <c r="Y84" s="532">
        <f>+X84*0.05/9</f>
        <v>4.3685092127303191</v>
      </c>
      <c r="Z84" s="577">
        <f>18-Y84</f>
        <v>13.63149078726968</v>
      </c>
      <c r="AA84" s="578">
        <v>0</v>
      </c>
      <c r="AB84" s="619">
        <f>+AA84*0.03905/5</f>
        <v>0</v>
      </c>
      <c r="AC84" s="771">
        <v>0</v>
      </c>
      <c r="AD84" s="578">
        <v>1236.9045226130654</v>
      </c>
      <c r="AE84" s="532">
        <f>+AD84*0.05/9</f>
        <v>6.8716917922948078</v>
      </c>
      <c r="AF84" s="577">
        <f>20-AE84</f>
        <v>13.128308207705192</v>
      </c>
      <c r="AG84" s="578">
        <v>464.08040201005031</v>
      </c>
      <c r="AH84" s="517">
        <f>+AG84*0.05/3</f>
        <v>7.7346733668341727</v>
      </c>
      <c r="AI84" s="577">
        <f>20-AH84</f>
        <v>12.265326633165827</v>
      </c>
      <c r="AJ84" s="578">
        <v>956.62311557788939</v>
      </c>
      <c r="AK84" s="532">
        <f t="shared" si="107"/>
        <v>4.783115577889447</v>
      </c>
      <c r="AL84" s="577">
        <f>18-AK84</f>
        <v>13.216884422110553</v>
      </c>
      <c r="AM84" s="578">
        <v>885.2261306532663</v>
      </c>
      <c r="AN84" s="532">
        <f>+AM84*0.05/9</f>
        <v>4.9179229480737021</v>
      </c>
      <c r="AO84" s="577">
        <f>18-AN84</f>
        <v>13.082077051926298</v>
      </c>
      <c r="AP84" s="578">
        <v>0</v>
      </c>
      <c r="AQ84" s="619">
        <f>+AP84*0.03905/5</f>
        <v>0</v>
      </c>
      <c r="AR84" s="577">
        <v>0</v>
      </c>
      <c r="AS84" s="578">
        <v>898.25125628140711</v>
      </c>
      <c r="AT84" s="532">
        <f>+AS84*0.05/9</f>
        <v>4.9902847571189284</v>
      </c>
      <c r="AU84" s="577">
        <f>18-AT84</f>
        <v>13.009715242881072</v>
      </c>
      <c r="AV84" s="578"/>
      <c r="AW84" s="619">
        <f>+AV84*0.03905/5</f>
        <v>0</v>
      </c>
      <c r="AX84" s="598"/>
      <c r="AY84" s="578"/>
      <c r="AZ84" s="619">
        <f>+AY84*0.03905/5</f>
        <v>0</v>
      </c>
      <c r="BA84" s="598"/>
      <c r="BB84" s="463">
        <f t="shared" si="108"/>
        <v>10687.356783919597</v>
      </c>
      <c r="BC84" s="464">
        <f>+G84+J84+M84+P84+S84+V84+Y84+AB84+AE84+AH84+AK84+AN84+AQ84+AT84+AW84+AZ84</f>
        <v>62.31477386934673</v>
      </c>
      <c r="BD84" s="465">
        <f t="shared" si="109"/>
        <v>145.68522613065326</v>
      </c>
      <c r="BE84" s="587"/>
      <c r="BF84" s="637">
        <f>+BC84+BD84-BE84</f>
        <v>208</v>
      </c>
      <c r="BG84" s="578">
        <v>0</v>
      </c>
      <c r="BH84" s="532">
        <f>+BG84*0.05/8</f>
        <v>0</v>
      </c>
      <c r="BI84" s="619">
        <v>0</v>
      </c>
      <c r="BJ84" s="578">
        <v>0</v>
      </c>
      <c r="BK84" s="532">
        <f>+BJ84*0.05/8</f>
        <v>0</v>
      </c>
      <c r="BL84" s="619">
        <v>0</v>
      </c>
      <c r="BM84" s="578">
        <v>494.9547738693467</v>
      </c>
      <c r="BN84" s="532">
        <f>+BM84*0.05/9</f>
        <v>2.7497487437185928</v>
      </c>
      <c r="BO84" s="577">
        <f>18-BN84</f>
        <v>15.250251256281407</v>
      </c>
      <c r="BP84" s="578">
        <v>795.0150753768844</v>
      </c>
      <c r="BQ84" s="532">
        <f>+BP84*0.05/9</f>
        <v>4.4167504187604685</v>
      </c>
      <c r="BR84" s="577">
        <f>18-BQ84</f>
        <v>13.583249581239532</v>
      </c>
      <c r="BS84" s="578">
        <v>635.3366834170854</v>
      </c>
      <c r="BT84" s="532">
        <f>+BS84*0.05/9</f>
        <v>3.5296482412060302</v>
      </c>
      <c r="BU84" s="577">
        <f>18-BT84</f>
        <v>14.470351758793971</v>
      </c>
      <c r="BV84" s="578">
        <v>622.3115577889447</v>
      </c>
      <c r="BW84" s="532">
        <f>+BV84*0.05/9</f>
        <v>3.4572864321608043</v>
      </c>
      <c r="BX84" s="577">
        <f>18-BW84</f>
        <v>14.542713567839195</v>
      </c>
      <c r="BY84" s="578">
        <v>456.84422110552759</v>
      </c>
      <c r="BZ84" s="532">
        <f>+BY84*0.05/9</f>
        <v>2.5380234505862642</v>
      </c>
      <c r="CA84" s="577">
        <f>18-BZ84</f>
        <v>15.461976549413736</v>
      </c>
      <c r="CB84" s="578">
        <v>0</v>
      </c>
      <c r="CC84" s="619">
        <f>+CB84*0.03905/5</f>
        <v>0</v>
      </c>
      <c r="CD84" s="598">
        <v>0</v>
      </c>
      <c r="CE84" s="578">
        <v>800.321608040201</v>
      </c>
      <c r="CF84" s="532">
        <f>+CE84*0.05/8</f>
        <v>5.0020100502512568</v>
      </c>
      <c r="CG84" s="660">
        <f>18-CF84</f>
        <v>12.997989949748742</v>
      </c>
      <c r="CH84" s="578">
        <v>0</v>
      </c>
      <c r="CI84" s="619">
        <f>+CH84*0.03905/5</f>
        <v>0</v>
      </c>
      <c r="CJ84" s="598"/>
      <c r="CK84" s="578">
        <v>0</v>
      </c>
      <c r="CL84" s="619">
        <f>+CK84*0.03905/5</f>
        <v>0</v>
      </c>
      <c r="CM84" s="598"/>
      <c r="CN84" s="578">
        <v>0</v>
      </c>
      <c r="CO84" s="619">
        <f>+CN84*0.03905/5</f>
        <v>0</v>
      </c>
      <c r="CP84" s="598"/>
      <c r="CQ84" s="578">
        <v>0</v>
      </c>
      <c r="CR84" s="619">
        <f>+CQ84*0.03905/5</f>
        <v>0</v>
      </c>
      <c r="CS84" s="598"/>
      <c r="CT84" s="551">
        <f>BG84+BJ84+BM84+BP84+BS84+BV84+BY84+CB84+CH84+CK84+CN84+CQ84+CE84</f>
        <v>3804.7839195979896</v>
      </c>
      <c r="CU84" s="552">
        <f>BH84+BK84+BN84+BQ84+BT84+BW84+BZ84+CC84+CI84+CL84+CO84+CR84+CF84</f>
        <v>21.693467336683419</v>
      </c>
      <c r="CV84" s="553">
        <f>+BI84+BL84+BO84+BR84+BU84+BX84+CA84+CD84+CG84+CJ84+CM84+CP84+CS84</f>
        <v>86.306532663316588</v>
      </c>
      <c r="CW84" s="587"/>
      <c r="CX84" s="554">
        <f>+CU84+CV84-CW84</f>
        <v>108</v>
      </c>
      <c r="CY84" s="588">
        <f>+BB84+CT84</f>
        <v>14492.140703517587</v>
      </c>
      <c r="CZ84" s="589">
        <f>+BC84+CU84</f>
        <v>84.008241206030149</v>
      </c>
      <c r="DA84" s="590">
        <f>+BD84+CV84</f>
        <v>231.99175879396984</v>
      </c>
      <c r="DB84" s="591">
        <f>+CZ84+DA84</f>
        <v>316</v>
      </c>
      <c r="DC84" s="192" t="s">
        <v>690</v>
      </c>
      <c r="DD84" s="398"/>
      <c r="DE84" s="570"/>
      <c r="DF84" s="570"/>
      <c r="DG84" s="570"/>
      <c r="DH84" s="570"/>
      <c r="DI84" s="570"/>
      <c r="DJ84" s="570"/>
      <c r="DK84" s="570"/>
      <c r="DL84" s="570"/>
      <c r="DM84" s="570"/>
      <c r="DN84" s="570"/>
      <c r="DO84" s="570"/>
      <c r="DP84" s="570"/>
      <c r="DQ84" s="570"/>
      <c r="DR84" s="570"/>
      <c r="DS84" s="570"/>
      <c r="DT84" s="570"/>
      <c r="DU84" s="570"/>
      <c r="DV84" s="570"/>
      <c r="DW84" s="570"/>
      <c r="DX84" s="570"/>
      <c r="DY84" s="570"/>
      <c r="DZ84" s="570"/>
      <c r="EA84" s="570"/>
      <c r="EB84" s="570"/>
      <c r="EC84" s="570"/>
      <c r="ED84" s="570"/>
      <c r="EE84" s="570"/>
      <c r="EF84" s="570"/>
      <c r="EG84" s="570"/>
      <c r="EH84" s="570"/>
      <c r="EI84" s="570"/>
      <c r="EJ84" s="570"/>
      <c r="EK84" s="570"/>
      <c r="EL84" s="570"/>
      <c r="EM84" s="570"/>
      <c r="EN84" s="570"/>
      <c r="EO84" s="570"/>
      <c r="EP84" s="570"/>
      <c r="EQ84" s="570"/>
      <c r="ER84" s="570"/>
    </row>
    <row r="85" spans="1:170" ht="15.75" customHeight="1" x14ac:dyDescent="0.25">
      <c r="A85" s="572">
        <f t="shared" si="131"/>
        <v>67</v>
      </c>
      <c r="B85" s="652" t="s">
        <v>126</v>
      </c>
      <c r="C85" s="833" t="s">
        <v>676</v>
      </c>
      <c r="D85" s="658"/>
      <c r="E85" s="731"/>
      <c r="F85" s="758">
        <v>730.8542713567839</v>
      </c>
      <c r="G85" s="532">
        <f t="shared" si="110"/>
        <v>3.6542713567839193</v>
      </c>
      <c r="H85" s="619">
        <f>28-G85</f>
        <v>24.345728643216081</v>
      </c>
      <c r="I85" s="758">
        <v>908.8643216080402</v>
      </c>
      <c r="J85" s="532">
        <f t="shared" si="111"/>
        <v>4.5443216080402014</v>
      </c>
      <c r="K85" s="619">
        <f>28-J85</f>
        <v>23.4556783919598</v>
      </c>
      <c r="L85" s="758">
        <v>1392.2412060301508</v>
      </c>
      <c r="M85" s="532">
        <f t="shared" si="112"/>
        <v>6.9612060301507537</v>
      </c>
      <c r="N85" s="619">
        <f>20-M85</f>
        <v>13.038793969849246</v>
      </c>
      <c r="O85" s="758"/>
      <c r="P85" s="671">
        <f>IF(O85&lt;2700,O85*0.0101,IF(O85&lt;3200,O85*0.01135,IF(O85&lt;3700,O85*0.0126,IF(O85&gt;3699,O85*0.01385,""))))</f>
        <v>0</v>
      </c>
      <c r="Q85" s="771"/>
      <c r="R85" s="758">
        <v>1268.2613065326634</v>
      </c>
      <c r="S85" s="532">
        <f t="shared" si="113"/>
        <v>7.0458961474036856</v>
      </c>
      <c r="T85" s="577">
        <f>20-S85</f>
        <v>12.954103852596315</v>
      </c>
      <c r="U85" s="758">
        <v>1159.718592964824</v>
      </c>
      <c r="V85" s="532">
        <f t="shared" si="114"/>
        <v>6.4428810720268004</v>
      </c>
      <c r="W85" s="577">
        <f>20-V85</f>
        <v>13.5571189279732</v>
      </c>
      <c r="X85" s="758">
        <v>786.3316582914573</v>
      </c>
      <c r="Y85" s="532">
        <f t="shared" si="115"/>
        <v>4.3685092127303191</v>
      </c>
      <c r="Z85" s="577">
        <f>18-Y85</f>
        <v>13.63149078726968</v>
      </c>
      <c r="AA85" s="758">
        <v>0</v>
      </c>
      <c r="AB85" s="671">
        <f>IF(AA85&lt;2700,AA85*0.0101,IF(AA85&lt;3200,AA85*0.01135,IF(AA85&lt;3700,AA85*0.0126,IF(AA85&gt;3699,AA85*0.01385,""))))</f>
        <v>0</v>
      </c>
      <c r="AC85" s="771">
        <v>0</v>
      </c>
      <c r="AD85" s="758">
        <v>0</v>
      </c>
      <c r="AE85" s="532">
        <f t="shared" si="116"/>
        <v>0</v>
      </c>
      <c r="AF85" s="771">
        <v>0</v>
      </c>
      <c r="AG85" s="758">
        <v>464.08040201005031</v>
      </c>
      <c r="AH85" s="517">
        <f>+AG85*0.05/3</f>
        <v>7.7346733668341727</v>
      </c>
      <c r="AI85" s="577">
        <f>20-AH85</f>
        <v>12.265326633165827</v>
      </c>
      <c r="AJ85" s="758">
        <v>956.62311557788939</v>
      </c>
      <c r="AK85" s="532">
        <f t="shared" si="107"/>
        <v>4.783115577889447</v>
      </c>
      <c r="AL85" s="577">
        <f>18-AK85</f>
        <v>13.216884422110553</v>
      </c>
      <c r="AM85" s="758">
        <v>885.2261306532663</v>
      </c>
      <c r="AN85" s="532">
        <f t="shared" si="117"/>
        <v>4.9179229480737021</v>
      </c>
      <c r="AO85" s="577">
        <f>18-AN85</f>
        <v>13.082077051926298</v>
      </c>
      <c r="AP85" s="758">
        <v>0</v>
      </c>
      <c r="AQ85" s="671">
        <f>IF(AP85&lt;2700,AP85*0.0101,IF(AP85&lt;3200,AP85*0.01135,IF(AP85&lt;3700,AP85*0.0126,IF(AP85&gt;3699,AP85*0.01385,""))))</f>
        <v>0</v>
      </c>
      <c r="AR85" s="836">
        <v>0</v>
      </c>
      <c r="AS85" s="758">
        <v>898.25125628140711</v>
      </c>
      <c r="AT85" s="532">
        <f t="shared" si="118"/>
        <v>4.9902847571189284</v>
      </c>
      <c r="AU85" s="577">
        <f>18-AT85</f>
        <v>13.009715242881072</v>
      </c>
      <c r="AV85" s="758"/>
      <c r="AW85" s="671">
        <f>IF(AV85&lt;2700,AV85*0.0101,IF(AV85&lt;3200,AV85*0.01135,IF(AV85&lt;3700,AV85*0.0126,IF(AV85&gt;3699,AV85*0.01385,""))))</f>
        <v>0</v>
      </c>
      <c r="AX85" s="771"/>
      <c r="AY85" s="758"/>
      <c r="AZ85" s="671">
        <f>IF(AY85&lt;2700,AY85*0.0101,IF(AY85&lt;3200,AY85*0.01135,IF(AY85&lt;3700,AY85*0.0126,IF(AY85&gt;3699,AY85*0.01385,""))))</f>
        <v>0</v>
      </c>
      <c r="BA85" s="771"/>
      <c r="BB85" s="735">
        <f t="shared" si="108"/>
        <v>9450.4522613065328</v>
      </c>
      <c r="BC85" s="736">
        <f>+G85+J85+M85+P85+S85+V85+Y85+AB85+AE85+AH85+AK85+AN85+AQ85+AT85+AW85+AZ85</f>
        <v>55.443082077051926</v>
      </c>
      <c r="BD85" s="737">
        <f t="shared" si="109"/>
        <v>152.55691792294809</v>
      </c>
      <c r="BE85" s="583"/>
      <c r="BF85" s="584">
        <f>+BC85+BD85-BE85</f>
        <v>208</v>
      </c>
      <c r="BG85" s="758">
        <v>958.07035175879389</v>
      </c>
      <c r="BH85" s="532">
        <f t="shared" si="120"/>
        <v>5.987939698492462</v>
      </c>
      <c r="BI85" s="619">
        <f>18-BH85</f>
        <v>12.012060301507539</v>
      </c>
      <c r="BJ85" s="758">
        <v>0</v>
      </c>
      <c r="BK85" s="671">
        <f>IF(BJ85&lt;2700,BJ85*0.0101,IF(BJ85&lt;3200,BJ85*0.01135,IF(BJ85&lt;3700,BJ85*0.0126,IF(BJ85&gt;3699,BJ85*0.01385,""))))</f>
        <v>0</v>
      </c>
      <c r="BL85" s="577">
        <v>0</v>
      </c>
      <c r="BM85" s="758">
        <v>494.9547738693467</v>
      </c>
      <c r="BN85" s="532">
        <f t="shared" si="121"/>
        <v>2.7497487437185928</v>
      </c>
      <c r="BO85" s="577">
        <f>18-BN85</f>
        <v>15.250251256281407</v>
      </c>
      <c r="BP85" s="758">
        <v>795.0150753768844</v>
      </c>
      <c r="BQ85" s="532">
        <f t="shared" si="122"/>
        <v>4.4167504187604685</v>
      </c>
      <c r="BR85" s="577">
        <f>18-BQ85</f>
        <v>13.583249581239532</v>
      </c>
      <c r="BS85" s="758">
        <v>635.3366834170854</v>
      </c>
      <c r="BT85" s="532">
        <f t="shared" si="123"/>
        <v>3.5296482412060302</v>
      </c>
      <c r="BU85" s="577">
        <f>18-BT85</f>
        <v>14.470351758793971</v>
      </c>
      <c r="BV85" s="758">
        <v>622.3115577889447</v>
      </c>
      <c r="BW85" s="532">
        <f t="shared" si="124"/>
        <v>3.4572864321608043</v>
      </c>
      <c r="BX85" s="577">
        <f>18-BW85</f>
        <v>14.542713567839195</v>
      </c>
      <c r="BY85" s="758">
        <v>456.84422110552759</v>
      </c>
      <c r="BZ85" s="532">
        <f t="shared" si="125"/>
        <v>2.5380234505862642</v>
      </c>
      <c r="CA85" s="577">
        <f>18-BZ85</f>
        <v>15.461976549413736</v>
      </c>
      <c r="CB85" s="758">
        <v>0</v>
      </c>
      <c r="CC85" s="671">
        <f>IF(CB85&lt;2700,CB85*0.0101,IF(CB85&lt;3200,CB85*0.01135,IF(CB85&lt;3700,CB85*0.0126,IF(CB85&gt;3699,CB85*0.01385,""))))</f>
        <v>0</v>
      </c>
      <c r="CD85" s="771">
        <v>0</v>
      </c>
      <c r="CE85" s="758">
        <v>800.321608040201</v>
      </c>
      <c r="CF85" s="532">
        <f>+CE85*0.05/8</f>
        <v>5.0020100502512568</v>
      </c>
      <c r="CG85" s="660">
        <f>18-CF85</f>
        <v>12.997989949748742</v>
      </c>
      <c r="CH85" s="758">
        <v>0</v>
      </c>
      <c r="CI85" s="671">
        <f>IF(CH85&lt;2700,CH85*0.0101,IF(CH85&lt;3200,CH85*0.01135,IF(CH85&lt;3700,CH85*0.0126,IF(CH85&gt;3699,CH85*0.01385,""))))</f>
        <v>0</v>
      </c>
      <c r="CJ85" s="771"/>
      <c r="CK85" s="758">
        <v>0</v>
      </c>
      <c r="CL85" s="671">
        <f>IF(CK85&lt;2700,CK85*0.0101,IF(CK85&lt;3200,CK85*0.01135,IF(CK85&lt;3700,CK85*0.0126,IF(CK85&gt;3699,CK85*0.01385,""))))</f>
        <v>0</v>
      </c>
      <c r="CM85" s="771"/>
      <c r="CN85" s="758">
        <v>0</v>
      </c>
      <c r="CO85" s="671">
        <f>IF(CN85&lt;2700,CN85*0.0101,IF(CN85&lt;3200,CN85*0.01135,IF(CN85&lt;3700,CN85*0.0126,IF(CN85&gt;3699,CN85*0.01385,""))))</f>
        <v>0</v>
      </c>
      <c r="CP85" s="771"/>
      <c r="CQ85" s="758">
        <v>0</v>
      </c>
      <c r="CR85" s="671">
        <f>IF(CQ85&lt;2700,CQ85*0.0101,IF(CQ85&lt;3200,CQ85*0.01135,IF(CQ85&lt;3700,CQ85*0.0126,IF(CQ85&gt;3699,CQ85*0.01385,""))))</f>
        <v>0</v>
      </c>
      <c r="CS85" s="771"/>
      <c r="CT85" s="551">
        <f t="shared" si="126"/>
        <v>4762.854271356784</v>
      </c>
      <c r="CU85" s="552">
        <f t="shared" si="126"/>
        <v>27.68140703517588</v>
      </c>
      <c r="CV85" s="553">
        <f t="shared" si="127"/>
        <v>98.31859296482412</v>
      </c>
      <c r="CW85" s="587"/>
      <c r="CX85" s="554">
        <f t="shared" si="128"/>
        <v>126</v>
      </c>
      <c r="CY85" s="588">
        <f t="shared" si="129"/>
        <v>14213.306532663317</v>
      </c>
      <c r="CZ85" s="589">
        <f t="shared" si="129"/>
        <v>83.124489112227806</v>
      </c>
      <c r="DA85" s="590">
        <f t="shared" si="129"/>
        <v>250.87551088777221</v>
      </c>
      <c r="DB85" s="591">
        <f t="shared" si="130"/>
        <v>334</v>
      </c>
      <c r="DC85" s="192" t="s">
        <v>691</v>
      </c>
      <c r="DD85" s="1075">
        <f>+CZ86+DD86</f>
        <v>765.40817420435519</v>
      </c>
      <c r="DE85" s="1075">
        <f t="shared" ref="DE85:DF85" si="132">+DA86+DE86</f>
        <v>3118.5918257956446</v>
      </c>
      <c r="DF85" s="1075">
        <f t="shared" si="132"/>
        <v>3884</v>
      </c>
    </row>
    <row r="86" spans="1:170" s="571" customFormat="1" ht="23.25" customHeight="1" thickBot="1" x14ac:dyDescent="0.3">
      <c r="A86" s="1328" t="s">
        <v>247</v>
      </c>
      <c r="B86" s="1329"/>
      <c r="C86" s="1329"/>
      <c r="D86" s="1329"/>
      <c r="E86" s="1330"/>
      <c r="F86" s="1331"/>
      <c r="G86" s="1332"/>
      <c r="H86" s="1332"/>
      <c r="I86" s="1332"/>
      <c r="J86" s="1332"/>
      <c r="K86" s="1332"/>
      <c r="L86" s="1332"/>
      <c r="M86" s="1332"/>
      <c r="N86" s="1332"/>
      <c r="O86" s="1332"/>
      <c r="P86" s="1332"/>
      <c r="Q86" s="1332"/>
      <c r="R86" s="1332"/>
      <c r="S86" s="1332"/>
      <c r="T86" s="1332"/>
      <c r="U86" s="1332"/>
      <c r="V86" s="1332"/>
      <c r="W86" s="1332"/>
      <c r="X86" s="1332"/>
      <c r="Y86" s="1332"/>
      <c r="Z86" s="1332"/>
      <c r="AA86" s="1332"/>
      <c r="AB86" s="1332"/>
      <c r="AC86" s="1332"/>
      <c r="AD86" s="1332"/>
      <c r="AE86" s="1332"/>
      <c r="AF86" s="1332"/>
      <c r="AG86" s="1332"/>
      <c r="AH86" s="1332"/>
      <c r="AI86" s="1332"/>
      <c r="AJ86" s="1332"/>
      <c r="AK86" s="1332"/>
      <c r="AL86" s="1332"/>
      <c r="AM86" s="1332"/>
      <c r="AN86" s="1332"/>
      <c r="AO86" s="1332"/>
      <c r="AP86" s="1332"/>
      <c r="AQ86" s="1332"/>
      <c r="AR86" s="1332"/>
      <c r="AS86" s="1332"/>
      <c r="AT86" s="1332"/>
      <c r="AU86" s="1332"/>
      <c r="AV86" s="1332"/>
      <c r="AW86" s="1332"/>
      <c r="AX86" s="1332"/>
      <c r="AY86" s="1332"/>
      <c r="AZ86" s="1332"/>
      <c r="BA86" s="1333"/>
      <c r="BB86" s="559">
        <f>SUM(BB80:BB85)</f>
        <v>62861.668341708544</v>
      </c>
      <c r="BC86" s="560">
        <f>SUM(BC80:BC85)</f>
        <v>352.96938023450588</v>
      </c>
      <c r="BD86" s="560">
        <f>SUM(BD80:BD85)</f>
        <v>1117.0306197654941</v>
      </c>
      <c r="BE86" s="561">
        <f>SUM(BE80:BE85)</f>
        <v>0</v>
      </c>
      <c r="BF86" s="562">
        <f>SUM(BF80:BF85)</f>
        <v>1470</v>
      </c>
      <c r="BG86" s="1331"/>
      <c r="BH86" s="1332"/>
      <c r="BI86" s="1332"/>
      <c r="BJ86" s="1332"/>
      <c r="BK86" s="1332"/>
      <c r="BL86" s="1332"/>
      <c r="BM86" s="1332"/>
      <c r="BN86" s="1332"/>
      <c r="BO86" s="1332"/>
      <c r="BP86" s="1332"/>
      <c r="BQ86" s="1332"/>
      <c r="BR86" s="1332"/>
      <c r="BS86" s="1332"/>
      <c r="BT86" s="1332"/>
      <c r="BU86" s="1332"/>
      <c r="BV86" s="1332"/>
      <c r="BW86" s="1332"/>
      <c r="BX86" s="1332"/>
      <c r="BY86" s="1332"/>
      <c r="BZ86" s="1332"/>
      <c r="CA86" s="1332"/>
      <c r="CB86" s="1332"/>
      <c r="CC86" s="1332"/>
      <c r="CD86" s="1332"/>
      <c r="CE86" s="1332"/>
      <c r="CF86" s="1332"/>
      <c r="CG86" s="1332"/>
      <c r="CH86" s="1332"/>
      <c r="CI86" s="1332"/>
      <c r="CJ86" s="1332"/>
      <c r="CK86" s="1332"/>
      <c r="CL86" s="1332"/>
      <c r="CM86" s="1332"/>
      <c r="CN86" s="1332"/>
      <c r="CO86" s="1332"/>
      <c r="CP86" s="1332"/>
      <c r="CQ86" s="1332"/>
      <c r="CR86" s="1332"/>
      <c r="CS86" s="1333"/>
      <c r="CT86" s="563">
        <f>SUM(CT80:CT85)</f>
        <v>26818.733668341709</v>
      </c>
      <c r="CU86" s="564">
        <f>SUM(CU80:CU85)</f>
        <v>155.09849246231155</v>
      </c>
      <c r="CV86" s="564">
        <f>SUM(CV80:CV85)</f>
        <v>693.90150753768842</v>
      </c>
      <c r="CW86" s="821">
        <f>SUM(CW80:CW83)</f>
        <v>0</v>
      </c>
      <c r="CX86" s="565">
        <f>SUM(CX80:CX85)</f>
        <v>849</v>
      </c>
      <c r="CY86" s="566">
        <f>SUM(CY80:CY85)</f>
        <v>89680.402010050253</v>
      </c>
      <c r="CZ86" s="837">
        <f>SUM(CZ80:CZ85)</f>
        <v>508.06787269681746</v>
      </c>
      <c r="DA86" s="838">
        <f>SUM(DA80:DA85)</f>
        <v>1810.9321273031826</v>
      </c>
      <c r="DB86" s="741">
        <f>SUM(DB80:DB85)</f>
        <v>2319</v>
      </c>
      <c r="DC86" s="192"/>
      <c r="DD86" s="1074">
        <v>257.34030150753767</v>
      </c>
      <c r="DE86" s="528">
        <v>1307.6596984924622</v>
      </c>
      <c r="DF86" s="1026">
        <v>1565</v>
      </c>
      <c r="DG86" s="570"/>
      <c r="DH86" s="570"/>
      <c r="DI86" s="570"/>
      <c r="DJ86" s="570"/>
      <c r="DK86" s="570"/>
      <c r="DL86" s="570"/>
      <c r="DM86" s="570"/>
      <c r="DN86" s="570"/>
      <c r="DO86" s="570"/>
      <c r="DP86" s="570"/>
      <c r="DQ86" s="570"/>
      <c r="DR86" s="570"/>
      <c r="DS86" s="570"/>
      <c r="DT86" s="570"/>
      <c r="DU86" s="570"/>
      <c r="DV86" s="570"/>
      <c r="DW86" s="570"/>
      <c r="DX86" s="570"/>
      <c r="DY86" s="570"/>
      <c r="DZ86" s="570"/>
      <c r="EA86" s="570"/>
      <c r="EB86" s="570"/>
      <c r="EC86" s="570"/>
      <c r="ED86" s="570"/>
      <c r="EE86" s="570"/>
      <c r="EF86" s="570"/>
      <c r="EG86" s="570"/>
      <c r="EH86" s="570"/>
      <c r="EI86" s="570"/>
      <c r="EJ86" s="570"/>
      <c r="EK86" s="570"/>
      <c r="EL86" s="570"/>
      <c r="EM86" s="570"/>
      <c r="EN86" s="570"/>
      <c r="EO86" s="570"/>
      <c r="EP86" s="570"/>
      <c r="EQ86" s="570"/>
      <c r="ER86" s="570"/>
    </row>
    <row r="87" spans="1:170" s="706" customFormat="1" ht="24.75" customHeight="1" x14ac:dyDescent="0.25">
      <c r="A87" s="1372"/>
      <c r="B87" s="1373" t="s">
        <v>692</v>
      </c>
      <c r="C87" s="1366" t="s">
        <v>493</v>
      </c>
      <c r="D87" s="1368" t="s">
        <v>494</v>
      </c>
      <c r="E87" s="1370" t="s">
        <v>495</v>
      </c>
      <c r="F87" s="1353" t="s">
        <v>496</v>
      </c>
      <c r="G87" s="1354"/>
      <c r="H87" s="1355"/>
      <c r="I87" s="1353" t="s">
        <v>497</v>
      </c>
      <c r="J87" s="1354"/>
      <c r="K87" s="1355"/>
      <c r="L87" s="1353" t="s">
        <v>498</v>
      </c>
      <c r="M87" s="1354"/>
      <c r="N87" s="1355"/>
      <c r="O87" s="1353" t="s">
        <v>499</v>
      </c>
      <c r="P87" s="1354"/>
      <c r="Q87" s="1355"/>
      <c r="R87" s="1353" t="s">
        <v>500</v>
      </c>
      <c r="S87" s="1354"/>
      <c r="T87" s="1355"/>
      <c r="U87" s="1353" t="s">
        <v>501</v>
      </c>
      <c r="V87" s="1354"/>
      <c r="W87" s="1355"/>
      <c r="X87" s="1353" t="s">
        <v>502</v>
      </c>
      <c r="Y87" s="1354"/>
      <c r="Z87" s="1355"/>
      <c r="AA87" s="1353" t="s">
        <v>503</v>
      </c>
      <c r="AB87" s="1354"/>
      <c r="AC87" s="1355"/>
      <c r="AD87" s="1353" t="s">
        <v>504</v>
      </c>
      <c r="AE87" s="1354"/>
      <c r="AF87" s="1355"/>
      <c r="AG87" s="1353" t="s">
        <v>505</v>
      </c>
      <c r="AH87" s="1354"/>
      <c r="AI87" s="1355"/>
      <c r="AJ87" s="1353" t="s">
        <v>506</v>
      </c>
      <c r="AK87" s="1354"/>
      <c r="AL87" s="1355"/>
      <c r="AM87" s="1353" t="s">
        <v>507</v>
      </c>
      <c r="AN87" s="1354"/>
      <c r="AO87" s="1355"/>
      <c r="AP87" s="1353" t="s">
        <v>508</v>
      </c>
      <c r="AQ87" s="1354"/>
      <c r="AR87" s="1355"/>
      <c r="AS87" s="1353" t="s">
        <v>509</v>
      </c>
      <c r="AT87" s="1354"/>
      <c r="AU87" s="1355"/>
      <c r="AV87" s="1353"/>
      <c r="AW87" s="1354"/>
      <c r="AX87" s="1355"/>
      <c r="AY87" s="1353"/>
      <c r="AZ87" s="1354"/>
      <c r="BA87" s="1355"/>
      <c r="BB87" s="1356" t="s">
        <v>510</v>
      </c>
      <c r="BC87" s="1358" t="s">
        <v>511</v>
      </c>
      <c r="BD87" s="1358" t="s">
        <v>512</v>
      </c>
      <c r="BE87" s="1347" t="s">
        <v>22</v>
      </c>
      <c r="BF87" s="1360" t="s">
        <v>513</v>
      </c>
      <c r="BG87" s="1340" t="s">
        <v>514</v>
      </c>
      <c r="BH87" s="1341"/>
      <c r="BI87" s="1342"/>
      <c r="BJ87" s="1340" t="s">
        <v>515</v>
      </c>
      <c r="BK87" s="1341"/>
      <c r="BL87" s="1342"/>
      <c r="BM87" s="1340" t="s">
        <v>516</v>
      </c>
      <c r="BN87" s="1341"/>
      <c r="BO87" s="1342"/>
      <c r="BP87" s="1340" t="s">
        <v>517</v>
      </c>
      <c r="BQ87" s="1341"/>
      <c r="BR87" s="1342"/>
      <c r="BS87" s="1340" t="s">
        <v>518</v>
      </c>
      <c r="BT87" s="1341"/>
      <c r="BU87" s="1342"/>
      <c r="BV87" s="1340" t="s">
        <v>519</v>
      </c>
      <c r="BW87" s="1341"/>
      <c r="BX87" s="1342"/>
      <c r="BY87" s="1340" t="s">
        <v>520</v>
      </c>
      <c r="BZ87" s="1341"/>
      <c r="CA87" s="1342"/>
      <c r="CB87" s="1340" t="s">
        <v>521</v>
      </c>
      <c r="CC87" s="1341"/>
      <c r="CD87" s="1342"/>
      <c r="CE87" s="1340" t="s">
        <v>522</v>
      </c>
      <c r="CF87" s="1341"/>
      <c r="CG87" s="1342"/>
      <c r="CH87" s="1340" t="s">
        <v>523</v>
      </c>
      <c r="CI87" s="1341"/>
      <c r="CJ87" s="1342"/>
      <c r="CK87" s="1340" t="s">
        <v>524</v>
      </c>
      <c r="CL87" s="1341"/>
      <c r="CM87" s="1342"/>
      <c r="CN87" s="1340" t="s">
        <v>525</v>
      </c>
      <c r="CO87" s="1341"/>
      <c r="CP87" s="1342"/>
      <c r="CQ87" s="1340" t="s">
        <v>526</v>
      </c>
      <c r="CR87" s="1341"/>
      <c r="CS87" s="1342"/>
      <c r="CT87" s="1343" t="s">
        <v>510</v>
      </c>
      <c r="CU87" s="1345" t="s">
        <v>511</v>
      </c>
      <c r="CV87" s="1345" t="s">
        <v>512</v>
      </c>
      <c r="CW87" s="1347" t="s">
        <v>22</v>
      </c>
      <c r="CX87" s="1349" t="s">
        <v>513</v>
      </c>
      <c r="CY87" s="1351" t="s">
        <v>256</v>
      </c>
      <c r="CZ87" s="1322" t="s">
        <v>511</v>
      </c>
      <c r="DA87" s="1324" t="s">
        <v>512</v>
      </c>
      <c r="DB87" s="1326" t="s">
        <v>257</v>
      </c>
      <c r="DC87" s="192"/>
      <c r="DD87" s="398"/>
      <c r="DF87" s="1076">
        <f>+DB86+DF86</f>
        <v>3884</v>
      </c>
    </row>
    <row r="88" spans="1:170" s="453" customFormat="1" ht="24.75" customHeight="1" thickBot="1" x14ac:dyDescent="0.3">
      <c r="A88" s="1363"/>
      <c r="B88" s="1365"/>
      <c r="C88" s="1367"/>
      <c r="D88" s="1369"/>
      <c r="E88" s="1371"/>
      <c r="F88" s="425" t="s">
        <v>527</v>
      </c>
      <c r="G88" s="426" t="s">
        <v>258</v>
      </c>
      <c r="H88" s="427" t="s">
        <v>528</v>
      </c>
      <c r="I88" s="426" t="s">
        <v>527</v>
      </c>
      <c r="J88" s="426" t="s">
        <v>258</v>
      </c>
      <c r="K88" s="427" t="s">
        <v>528</v>
      </c>
      <c r="L88" s="426" t="s">
        <v>527</v>
      </c>
      <c r="M88" s="426" t="s">
        <v>258</v>
      </c>
      <c r="N88" s="427" t="s">
        <v>528</v>
      </c>
      <c r="O88" s="426" t="s">
        <v>527</v>
      </c>
      <c r="P88" s="426" t="s">
        <v>258</v>
      </c>
      <c r="Q88" s="427" t="s">
        <v>528</v>
      </c>
      <c r="R88" s="426" t="s">
        <v>527</v>
      </c>
      <c r="S88" s="426" t="s">
        <v>258</v>
      </c>
      <c r="T88" s="427" t="s">
        <v>528</v>
      </c>
      <c r="U88" s="426" t="s">
        <v>527</v>
      </c>
      <c r="V88" s="426" t="s">
        <v>258</v>
      </c>
      <c r="W88" s="427" t="s">
        <v>528</v>
      </c>
      <c r="X88" s="426" t="s">
        <v>527</v>
      </c>
      <c r="Y88" s="426" t="s">
        <v>258</v>
      </c>
      <c r="Z88" s="427" t="s">
        <v>528</v>
      </c>
      <c r="AA88" s="426" t="s">
        <v>527</v>
      </c>
      <c r="AB88" s="426" t="s">
        <v>258</v>
      </c>
      <c r="AC88" s="427" t="s">
        <v>528</v>
      </c>
      <c r="AD88" s="426" t="s">
        <v>527</v>
      </c>
      <c r="AE88" s="426" t="s">
        <v>258</v>
      </c>
      <c r="AF88" s="427" t="s">
        <v>528</v>
      </c>
      <c r="AG88" s="426" t="s">
        <v>527</v>
      </c>
      <c r="AH88" s="426" t="s">
        <v>258</v>
      </c>
      <c r="AI88" s="427" t="s">
        <v>528</v>
      </c>
      <c r="AJ88" s="426" t="s">
        <v>527</v>
      </c>
      <c r="AK88" s="426" t="s">
        <v>258</v>
      </c>
      <c r="AL88" s="427" t="s">
        <v>528</v>
      </c>
      <c r="AM88" s="426" t="s">
        <v>527</v>
      </c>
      <c r="AN88" s="426" t="s">
        <v>258</v>
      </c>
      <c r="AO88" s="427" t="s">
        <v>528</v>
      </c>
      <c r="AP88" s="426" t="s">
        <v>527</v>
      </c>
      <c r="AQ88" s="426" t="s">
        <v>258</v>
      </c>
      <c r="AR88" s="427" t="s">
        <v>528</v>
      </c>
      <c r="AS88" s="426" t="s">
        <v>527</v>
      </c>
      <c r="AT88" s="426" t="s">
        <v>258</v>
      </c>
      <c r="AU88" s="427" t="s">
        <v>528</v>
      </c>
      <c r="AV88" s="426" t="s">
        <v>527</v>
      </c>
      <c r="AW88" s="426" t="s">
        <v>258</v>
      </c>
      <c r="AX88" s="427" t="s">
        <v>528</v>
      </c>
      <c r="AY88" s="426" t="s">
        <v>527</v>
      </c>
      <c r="AZ88" s="426" t="s">
        <v>258</v>
      </c>
      <c r="BA88" s="427" t="s">
        <v>528</v>
      </c>
      <c r="BB88" s="1357"/>
      <c r="BC88" s="1359"/>
      <c r="BD88" s="1359"/>
      <c r="BE88" s="1348"/>
      <c r="BF88" s="1361"/>
      <c r="BG88" s="428" t="s">
        <v>527</v>
      </c>
      <c r="BH88" s="428" t="s">
        <v>258</v>
      </c>
      <c r="BI88" s="429" t="s">
        <v>528</v>
      </c>
      <c r="BJ88" s="428" t="s">
        <v>527</v>
      </c>
      <c r="BK88" s="428" t="s">
        <v>258</v>
      </c>
      <c r="BL88" s="429" t="s">
        <v>528</v>
      </c>
      <c r="BM88" s="428" t="s">
        <v>527</v>
      </c>
      <c r="BN88" s="428" t="s">
        <v>258</v>
      </c>
      <c r="BO88" s="429" t="s">
        <v>528</v>
      </c>
      <c r="BP88" s="428" t="s">
        <v>527</v>
      </c>
      <c r="BQ88" s="428" t="s">
        <v>258</v>
      </c>
      <c r="BR88" s="429" t="s">
        <v>528</v>
      </c>
      <c r="BS88" s="428" t="s">
        <v>527</v>
      </c>
      <c r="BT88" s="428" t="s">
        <v>258</v>
      </c>
      <c r="BU88" s="429" t="s">
        <v>528</v>
      </c>
      <c r="BV88" s="428" t="s">
        <v>527</v>
      </c>
      <c r="BW88" s="428" t="s">
        <v>258</v>
      </c>
      <c r="BX88" s="429" t="s">
        <v>528</v>
      </c>
      <c r="BY88" s="428" t="s">
        <v>527</v>
      </c>
      <c r="BZ88" s="428" t="s">
        <v>258</v>
      </c>
      <c r="CA88" s="429" t="s">
        <v>528</v>
      </c>
      <c r="CB88" s="428" t="s">
        <v>527</v>
      </c>
      <c r="CC88" s="428" t="s">
        <v>258</v>
      </c>
      <c r="CD88" s="429" t="s">
        <v>528</v>
      </c>
      <c r="CE88" s="428" t="s">
        <v>527</v>
      </c>
      <c r="CF88" s="428" t="s">
        <v>258</v>
      </c>
      <c r="CG88" s="429" t="s">
        <v>528</v>
      </c>
      <c r="CH88" s="428" t="s">
        <v>527</v>
      </c>
      <c r="CI88" s="428" t="s">
        <v>258</v>
      </c>
      <c r="CJ88" s="429" t="s">
        <v>528</v>
      </c>
      <c r="CK88" s="428" t="s">
        <v>527</v>
      </c>
      <c r="CL88" s="428" t="s">
        <v>258</v>
      </c>
      <c r="CM88" s="429" t="s">
        <v>528</v>
      </c>
      <c r="CN88" s="428" t="s">
        <v>527</v>
      </c>
      <c r="CO88" s="428" t="s">
        <v>258</v>
      </c>
      <c r="CP88" s="429" t="s">
        <v>528</v>
      </c>
      <c r="CQ88" s="428" t="s">
        <v>527</v>
      </c>
      <c r="CR88" s="428" t="s">
        <v>258</v>
      </c>
      <c r="CS88" s="429" t="s">
        <v>528</v>
      </c>
      <c r="CT88" s="1344"/>
      <c r="CU88" s="1346"/>
      <c r="CV88" s="1346"/>
      <c r="CW88" s="1348"/>
      <c r="CX88" s="1350"/>
      <c r="CY88" s="1352"/>
      <c r="CZ88" s="1323"/>
      <c r="DA88" s="1325"/>
      <c r="DB88" s="1327"/>
      <c r="DC88" s="192"/>
      <c r="DD88" s="398"/>
    </row>
    <row r="89" spans="1:170" s="452" customFormat="1" ht="15.75" x14ac:dyDescent="0.25">
      <c r="A89" s="839">
        <f>+A85+1</f>
        <v>68</v>
      </c>
      <c r="B89" s="840" t="s">
        <v>163</v>
      </c>
      <c r="C89" s="432" t="s">
        <v>693</v>
      </c>
      <c r="D89" s="841"/>
      <c r="E89" s="842"/>
      <c r="F89" s="843">
        <v>0</v>
      </c>
      <c r="G89" s="525">
        <f>+F89*0.02/40</f>
        <v>0</v>
      </c>
      <c r="H89" s="525"/>
      <c r="I89" s="541">
        <v>39749.550000000003</v>
      </c>
      <c r="J89" s="525">
        <f t="shared" ref="J89:J93" si="133">+I89*0.02/29</f>
        <v>27.413482758620692</v>
      </c>
      <c r="K89" s="525">
        <v>31</v>
      </c>
      <c r="L89" s="541">
        <v>16898</v>
      </c>
      <c r="M89" s="525">
        <f>+L89*0.02/6</f>
        <v>56.326666666666661</v>
      </c>
      <c r="N89" s="525"/>
      <c r="O89" s="541">
        <v>0</v>
      </c>
      <c r="P89" s="525">
        <f t="shared" ref="P89:P93" si="134">+O89*0.02/40</f>
        <v>0</v>
      </c>
      <c r="Q89" s="525"/>
      <c r="R89" s="843">
        <v>0</v>
      </c>
      <c r="S89" s="525">
        <f>+R89*0.02/40</f>
        <v>0</v>
      </c>
      <c r="T89" s="525"/>
      <c r="U89" s="541">
        <v>34380.17</v>
      </c>
      <c r="V89" s="525">
        <f t="shared" ref="V89:V94" si="135">+U89*0.02/32</f>
        <v>21.487606249999999</v>
      </c>
      <c r="W89" s="525">
        <v>31</v>
      </c>
      <c r="X89" s="541">
        <v>29736.53</v>
      </c>
      <c r="Y89" s="525">
        <f t="shared" ref="Y89:Y94" si="136">+X89*0.02/25</f>
        <v>23.789224000000001</v>
      </c>
      <c r="Z89" s="525"/>
      <c r="AA89" s="541">
        <v>30759.91</v>
      </c>
      <c r="AB89" s="525">
        <f t="shared" ref="AB89:AB102" si="137">+AA89*0.02/30</f>
        <v>20.506606666666666</v>
      </c>
      <c r="AC89" s="525"/>
      <c r="AD89" s="541">
        <v>87477.440000000002</v>
      </c>
      <c r="AE89" s="525">
        <f t="shared" ref="AE89:AE103" si="138">+AD89*0.02/34</f>
        <v>51.457317647058822</v>
      </c>
      <c r="AF89" s="525"/>
      <c r="AG89" s="843">
        <v>0</v>
      </c>
      <c r="AH89" s="525">
        <f t="shared" ref="AH89:AH93" si="139">+AG89*0.02/40</f>
        <v>0</v>
      </c>
      <c r="AI89" s="525"/>
      <c r="AJ89" s="843">
        <v>63104.04</v>
      </c>
      <c r="AK89" s="525">
        <f t="shared" ref="AK89:AK103" si="140">+AJ89*0.02/34</f>
        <v>37.12002352941176</v>
      </c>
      <c r="AL89" s="525"/>
      <c r="AM89" s="843">
        <v>37050.14</v>
      </c>
      <c r="AN89" s="525">
        <f t="shared" ref="AN89:AN93" si="141">+AM89*0.02/27</f>
        <v>27.444548148148147</v>
      </c>
      <c r="AO89" s="525"/>
      <c r="AP89" s="541">
        <v>0</v>
      </c>
      <c r="AQ89" s="525">
        <f t="shared" ref="AQ89:AQ93" si="142">+AP89*0.02/40</f>
        <v>0</v>
      </c>
      <c r="AR89" s="525"/>
      <c r="AS89" s="541">
        <v>87069.49</v>
      </c>
      <c r="AT89" s="525">
        <f>+AS89*0.02/31</f>
        <v>56.173864516129036</v>
      </c>
      <c r="AU89" s="525"/>
      <c r="AV89" s="843"/>
      <c r="AW89" s="525">
        <f t="shared" ref="AW89:AW93" si="143">+AV89*0.02/40</f>
        <v>0</v>
      </c>
      <c r="AX89" s="525"/>
      <c r="AY89" s="843"/>
      <c r="AZ89" s="525">
        <f t="shared" ref="AZ89:AZ93" si="144">+AY89*0.02/40</f>
        <v>0</v>
      </c>
      <c r="BA89" s="525"/>
      <c r="BB89" s="603">
        <f t="shared" ref="BB89:BD105" si="145">+F89+I89+L89+O89+R89+U89+X89+AA89+AD89+AG89+AJ89+AM89+AP89+AS89+AV89+AY89</f>
        <v>426225.27</v>
      </c>
      <c r="BC89" s="604">
        <f t="shared" si="145"/>
        <v>321.71934018270179</v>
      </c>
      <c r="BD89" s="605">
        <f t="shared" si="145"/>
        <v>62</v>
      </c>
      <c r="BE89" s="446"/>
      <c r="BF89" s="827">
        <f t="shared" ref="BF89:BF105" si="146">+BC89+BD89-BE89</f>
        <v>383.71934018270179</v>
      </c>
      <c r="BG89" s="843">
        <v>28163.83</v>
      </c>
      <c r="BH89" s="525">
        <f>+BG89*0.02/31</f>
        <v>18.170212903225806</v>
      </c>
      <c r="BI89" s="525"/>
      <c r="BJ89" s="843">
        <v>0</v>
      </c>
      <c r="BK89" s="525">
        <f t="shared" ref="BK89:BK93" si="147">+BJ89*0.02/40</f>
        <v>0</v>
      </c>
      <c r="BL89" s="525"/>
      <c r="BM89" s="541">
        <v>13678</v>
      </c>
      <c r="BN89" s="525">
        <f>+BM89*0.02/6</f>
        <v>45.593333333333334</v>
      </c>
      <c r="BO89" s="525"/>
      <c r="BP89" s="843">
        <v>42210.15</v>
      </c>
      <c r="BQ89" s="525">
        <f>+BP89*0.02/34</f>
        <v>24.829500000000003</v>
      </c>
      <c r="BR89" s="525"/>
      <c r="BS89" s="541">
        <v>16489.21</v>
      </c>
      <c r="BT89" s="525">
        <f>+BS89*0.02/32</f>
        <v>10.30575625</v>
      </c>
      <c r="BU89" s="843">
        <f>15-BT89</f>
        <v>4.69424375</v>
      </c>
      <c r="BV89" s="541">
        <v>37405.74</v>
      </c>
      <c r="BW89" s="525">
        <f>+BV89*0.02/31</f>
        <v>24.132735483870967</v>
      </c>
      <c r="BX89" s="843"/>
      <c r="BY89" s="843">
        <v>8646.86</v>
      </c>
      <c r="BZ89" s="525">
        <f>+BY89*0.02/30</f>
        <v>5.7645733333333338</v>
      </c>
      <c r="CA89" s="525">
        <f>20-BZ89</f>
        <v>14.235426666666665</v>
      </c>
      <c r="CB89" s="843">
        <v>0</v>
      </c>
      <c r="CC89" s="525">
        <f t="shared" ref="CC89:CC93" si="148">+CB89*0.02/40</f>
        <v>0</v>
      </c>
      <c r="CD89" s="525"/>
      <c r="CE89" s="843">
        <v>44429.56</v>
      </c>
      <c r="CF89" s="525">
        <f>+CE89*0.02/31</f>
        <v>28.664232258064516</v>
      </c>
      <c r="CG89" s="525"/>
      <c r="CH89" s="843">
        <v>0</v>
      </c>
      <c r="CI89" s="525">
        <f t="shared" ref="CI89:CI93" si="149">+CH89*0.02/40</f>
        <v>0</v>
      </c>
      <c r="CJ89" s="525"/>
      <c r="CK89" s="843">
        <v>0</v>
      </c>
      <c r="CL89" s="525">
        <f t="shared" ref="CL89:CL93" si="150">+CK89*0.02/40</f>
        <v>0</v>
      </c>
      <c r="CM89" s="525"/>
      <c r="CN89" s="843">
        <v>0</v>
      </c>
      <c r="CO89" s="525">
        <f t="shared" ref="CO89:CO93" si="151">+CN89*0.02/40</f>
        <v>0</v>
      </c>
      <c r="CP89" s="525"/>
      <c r="CQ89" s="843">
        <v>0</v>
      </c>
      <c r="CR89" s="525">
        <f t="shared" ref="CR89:CR93" si="152">+CQ89*0.02/40</f>
        <v>0</v>
      </c>
      <c r="CS89" s="525"/>
      <c r="CT89" s="443">
        <f t="shared" ref="CT89:CU105" si="153">BG89+BJ89+BM89+BP89+BS89+BV89+BY89+CB89+CH89+CK89+CN89+CQ89+CE89</f>
        <v>191023.34999999998</v>
      </c>
      <c r="CU89" s="444">
        <f t="shared" si="153"/>
        <v>157.46034356182795</v>
      </c>
      <c r="CV89" s="445">
        <f t="shared" ref="CV89:CV105" si="154">+BI89+BL89+BO89+BR89+BU89+BX89+CA89+CD89+CG89+CJ89+CM89+CP89+CS89</f>
        <v>18.929670416666667</v>
      </c>
      <c r="CW89" s="446"/>
      <c r="CX89" s="447">
        <f t="shared" ref="CX89:CX105" si="155">+CU89+CV89-CW89</f>
        <v>176.39001397849461</v>
      </c>
      <c r="CY89" s="448">
        <f t="shared" ref="CY89:DA105" si="156">+BB89+CT89</f>
        <v>617248.62</v>
      </c>
      <c r="CZ89" s="449">
        <f t="shared" si="156"/>
        <v>479.17968374452971</v>
      </c>
      <c r="DA89" s="450">
        <f t="shared" si="156"/>
        <v>80.929670416666667</v>
      </c>
      <c r="DB89" s="451">
        <f t="shared" ref="DB89:DB105" si="157">+CZ89+DA89</f>
        <v>560.10935416119639</v>
      </c>
      <c r="DD89" s="453"/>
      <c r="DE89" s="453"/>
      <c r="DF89" s="453"/>
      <c r="DG89" s="453"/>
      <c r="DH89" s="453"/>
      <c r="DI89" s="453"/>
      <c r="DJ89" s="453"/>
      <c r="DK89" s="453"/>
      <c r="DL89" s="453"/>
      <c r="DM89" s="453"/>
      <c r="DN89" s="453"/>
      <c r="DO89" s="453"/>
      <c r="DP89" s="453"/>
      <c r="DQ89" s="453"/>
      <c r="DR89" s="453"/>
      <c r="DS89" s="453"/>
      <c r="DT89" s="453"/>
      <c r="DU89" s="453"/>
      <c r="DV89" s="453"/>
      <c r="DW89" s="453"/>
      <c r="DX89" s="453"/>
      <c r="DY89" s="453"/>
      <c r="DZ89" s="453"/>
      <c r="EA89" s="453"/>
      <c r="EB89" s="453"/>
      <c r="EC89" s="453"/>
      <c r="ED89" s="453"/>
      <c r="EE89" s="453"/>
      <c r="EF89" s="453"/>
      <c r="EG89" s="453"/>
      <c r="EH89" s="453"/>
      <c r="EI89" s="453"/>
      <c r="EJ89" s="453"/>
      <c r="EK89" s="453"/>
      <c r="EL89" s="453"/>
      <c r="EM89" s="453"/>
      <c r="EN89" s="453"/>
      <c r="EO89" s="453"/>
      <c r="EP89" s="453"/>
      <c r="EQ89" s="453"/>
      <c r="ER89" s="453"/>
    </row>
    <row r="90" spans="1:170" s="452" customFormat="1" ht="15.75" x14ac:dyDescent="0.25">
      <c r="A90" s="839">
        <f>+A89+1</f>
        <v>69</v>
      </c>
      <c r="B90" s="840" t="s">
        <v>179</v>
      </c>
      <c r="C90" s="432" t="s">
        <v>693</v>
      </c>
      <c r="D90" s="841"/>
      <c r="E90" s="844"/>
      <c r="F90" s="541">
        <v>44451.46</v>
      </c>
      <c r="G90" s="525">
        <f>+F90*0.02/27</f>
        <v>32.927007407407409</v>
      </c>
      <c r="H90" s="525"/>
      <c r="I90" s="541">
        <v>39749.550000000003</v>
      </c>
      <c r="J90" s="525">
        <f t="shared" si="133"/>
        <v>27.413482758620692</v>
      </c>
      <c r="K90" s="525"/>
      <c r="L90" s="541">
        <v>16898</v>
      </c>
      <c r="M90" s="525">
        <f>+L90*0.02/6</f>
        <v>56.326666666666661</v>
      </c>
      <c r="N90" s="525"/>
      <c r="O90" s="541">
        <v>0</v>
      </c>
      <c r="P90" s="525">
        <f t="shared" si="134"/>
        <v>0</v>
      </c>
      <c r="Q90" s="525"/>
      <c r="R90" s="541">
        <v>57726.71</v>
      </c>
      <c r="S90" s="525">
        <f t="shared" ref="S90:S96" si="158">+R90*0.02/28</f>
        <v>41.233364285714288</v>
      </c>
      <c r="T90" s="525"/>
      <c r="U90" s="541">
        <v>34380.17</v>
      </c>
      <c r="V90" s="525">
        <f t="shared" si="135"/>
        <v>21.487606249999999</v>
      </c>
      <c r="W90" s="525"/>
      <c r="X90" s="541">
        <v>29736.53</v>
      </c>
      <c r="Y90" s="525">
        <f t="shared" si="136"/>
        <v>23.789224000000001</v>
      </c>
      <c r="Z90" s="525"/>
      <c r="AA90" s="541">
        <v>30759.91</v>
      </c>
      <c r="AB90" s="525">
        <f t="shared" si="137"/>
        <v>20.506606666666666</v>
      </c>
      <c r="AC90" s="525"/>
      <c r="AD90" s="541">
        <v>87477.440000000002</v>
      </c>
      <c r="AE90" s="525">
        <f t="shared" si="138"/>
        <v>51.457317647058822</v>
      </c>
      <c r="AF90" s="525"/>
      <c r="AG90" s="541">
        <v>0</v>
      </c>
      <c r="AH90" s="525">
        <f t="shared" si="139"/>
        <v>0</v>
      </c>
      <c r="AI90" s="525"/>
      <c r="AJ90" s="843">
        <v>63104.04</v>
      </c>
      <c r="AK90" s="525">
        <f t="shared" si="140"/>
        <v>37.12002352941176</v>
      </c>
      <c r="AL90" s="525"/>
      <c r="AM90" s="843">
        <v>37050.14</v>
      </c>
      <c r="AN90" s="525">
        <f t="shared" si="141"/>
        <v>27.444548148148147</v>
      </c>
      <c r="AO90" s="525"/>
      <c r="AP90" s="541">
        <v>0</v>
      </c>
      <c r="AQ90" s="525">
        <f t="shared" si="142"/>
        <v>0</v>
      </c>
      <c r="AR90" s="525"/>
      <c r="AS90" s="541">
        <v>87069.49</v>
      </c>
      <c r="AT90" s="525">
        <f>+AS90*0.02/31</f>
        <v>56.173864516129036</v>
      </c>
      <c r="AU90" s="525"/>
      <c r="AV90" s="541"/>
      <c r="AW90" s="525">
        <f t="shared" si="143"/>
        <v>0</v>
      </c>
      <c r="AX90" s="525"/>
      <c r="AY90" s="541"/>
      <c r="AZ90" s="525">
        <f t="shared" si="144"/>
        <v>0</v>
      </c>
      <c r="BA90" s="525"/>
      <c r="BB90" s="603">
        <f t="shared" si="145"/>
        <v>528403.44000000006</v>
      </c>
      <c r="BC90" s="604">
        <f t="shared" si="145"/>
        <v>395.87971187582343</v>
      </c>
      <c r="BD90" s="605">
        <f t="shared" si="145"/>
        <v>0</v>
      </c>
      <c r="BE90" s="446"/>
      <c r="BF90" s="827">
        <f t="shared" si="146"/>
        <v>395.87971187582343</v>
      </c>
      <c r="BG90" s="843">
        <v>28163.83</v>
      </c>
      <c r="BH90" s="525">
        <f t="shared" ref="BH90:BH103" si="159">+BG90*0.02/31</f>
        <v>18.170212903225806</v>
      </c>
      <c r="BI90" s="525"/>
      <c r="BJ90" s="541">
        <v>0</v>
      </c>
      <c r="BK90" s="525">
        <f t="shared" si="147"/>
        <v>0</v>
      </c>
      <c r="BL90" s="525"/>
      <c r="BM90" s="541">
        <v>13678</v>
      </c>
      <c r="BN90" s="525">
        <f>+BM90*0.02/6</f>
        <v>45.593333333333334</v>
      </c>
      <c r="BO90" s="525"/>
      <c r="BP90" s="843">
        <v>42210.15</v>
      </c>
      <c r="BQ90" s="525">
        <f t="shared" ref="BQ90:BQ103" si="160">+BP90*0.02/34</f>
        <v>24.829500000000003</v>
      </c>
      <c r="BR90" s="525"/>
      <c r="BS90" s="541">
        <v>16489.21</v>
      </c>
      <c r="BT90" s="525">
        <f>+BS90*0.02/32</f>
        <v>10.30575625</v>
      </c>
      <c r="BU90" s="843">
        <f t="shared" ref="BU90:BU99" si="161">15-BT90</f>
        <v>4.69424375</v>
      </c>
      <c r="BV90" s="541">
        <v>37405.74</v>
      </c>
      <c r="BW90" s="525">
        <f t="shared" ref="BW90:BW99" si="162">+BV90*0.02/31</f>
        <v>24.132735483870967</v>
      </c>
      <c r="BX90" s="541"/>
      <c r="BY90" s="843">
        <v>8646.86</v>
      </c>
      <c r="BZ90" s="525">
        <f t="shared" ref="BZ90:BZ103" si="163">+BY90*0.02/30</f>
        <v>5.7645733333333338</v>
      </c>
      <c r="CA90" s="525">
        <f t="shared" ref="CA90:CA103" si="164">20-BZ90</f>
        <v>14.235426666666665</v>
      </c>
      <c r="CB90" s="541">
        <v>0</v>
      </c>
      <c r="CC90" s="525">
        <f t="shared" si="148"/>
        <v>0</v>
      </c>
      <c r="CD90" s="525"/>
      <c r="CE90" s="843">
        <v>44429.56</v>
      </c>
      <c r="CF90" s="525">
        <f t="shared" ref="CF90:CF94" si="165">+CE90*0.02/31</f>
        <v>28.664232258064516</v>
      </c>
      <c r="CG90" s="525"/>
      <c r="CH90" s="541">
        <v>0</v>
      </c>
      <c r="CI90" s="525">
        <f t="shared" si="149"/>
        <v>0</v>
      </c>
      <c r="CJ90" s="525"/>
      <c r="CK90" s="541">
        <v>0</v>
      </c>
      <c r="CL90" s="525">
        <f t="shared" si="150"/>
        <v>0</v>
      </c>
      <c r="CM90" s="525"/>
      <c r="CN90" s="843">
        <v>0</v>
      </c>
      <c r="CO90" s="525">
        <f t="shared" si="151"/>
        <v>0</v>
      </c>
      <c r="CP90" s="525"/>
      <c r="CQ90" s="843">
        <v>0</v>
      </c>
      <c r="CR90" s="525">
        <f t="shared" si="152"/>
        <v>0</v>
      </c>
      <c r="CS90" s="525"/>
      <c r="CT90" s="677">
        <f t="shared" si="153"/>
        <v>191023.34999999998</v>
      </c>
      <c r="CU90" s="678">
        <f t="shared" si="153"/>
        <v>157.46034356182795</v>
      </c>
      <c r="CV90" s="679">
        <f t="shared" si="154"/>
        <v>18.929670416666667</v>
      </c>
      <c r="CW90" s="446"/>
      <c r="CX90" s="680">
        <f t="shared" si="155"/>
        <v>176.39001397849461</v>
      </c>
      <c r="CY90" s="448">
        <f t="shared" si="156"/>
        <v>719426.79</v>
      </c>
      <c r="CZ90" s="449">
        <f t="shared" si="156"/>
        <v>553.34005543765136</v>
      </c>
      <c r="DA90" s="450">
        <f t="shared" si="156"/>
        <v>18.929670416666667</v>
      </c>
      <c r="DB90" s="451">
        <f t="shared" si="157"/>
        <v>572.26972585431804</v>
      </c>
      <c r="DD90" s="453"/>
      <c r="DE90" s="453"/>
      <c r="DF90" s="453"/>
      <c r="DG90" s="453"/>
      <c r="DH90" s="453"/>
      <c r="DI90" s="453"/>
      <c r="DJ90" s="453"/>
      <c r="DK90" s="453"/>
      <c r="DL90" s="453"/>
      <c r="DM90" s="453"/>
      <c r="DN90" s="453"/>
      <c r="DO90" s="453"/>
      <c r="DP90" s="453"/>
      <c r="DQ90" s="453"/>
      <c r="DR90" s="453"/>
      <c r="DS90" s="453"/>
      <c r="DT90" s="453"/>
      <c r="DU90" s="453"/>
      <c r="DV90" s="453"/>
      <c r="DW90" s="453"/>
      <c r="DX90" s="453"/>
      <c r="DY90" s="453"/>
      <c r="DZ90" s="453"/>
      <c r="EA90" s="453"/>
      <c r="EB90" s="453"/>
      <c r="EC90" s="453"/>
      <c r="ED90" s="453"/>
      <c r="EE90" s="453"/>
      <c r="EF90" s="453"/>
      <c r="EG90" s="453"/>
      <c r="EH90" s="453"/>
      <c r="EI90" s="453"/>
      <c r="EJ90" s="453"/>
      <c r="EK90" s="453"/>
      <c r="EL90" s="453"/>
      <c r="EM90" s="453"/>
      <c r="EN90" s="453"/>
      <c r="EO90" s="453"/>
      <c r="EP90" s="453"/>
      <c r="EQ90" s="453"/>
      <c r="ER90" s="453"/>
    </row>
    <row r="91" spans="1:170" s="452" customFormat="1" ht="15.75" x14ac:dyDescent="0.25">
      <c r="A91" s="839">
        <f t="shared" ref="A91:A105" si="166">+A90+1</f>
        <v>70</v>
      </c>
      <c r="B91" s="840" t="s">
        <v>169</v>
      </c>
      <c r="C91" s="432" t="s">
        <v>693</v>
      </c>
      <c r="D91" s="841" t="s">
        <v>694</v>
      </c>
      <c r="E91" s="845" t="s">
        <v>695</v>
      </c>
      <c r="F91" s="541">
        <v>44451.46</v>
      </c>
      <c r="G91" s="525">
        <f>+F91*0.02/27</f>
        <v>32.927007407407409</v>
      </c>
      <c r="H91" s="525"/>
      <c r="I91" s="541">
        <v>39749.550000000003</v>
      </c>
      <c r="J91" s="525">
        <f t="shared" si="133"/>
        <v>27.413482758620692</v>
      </c>
      <c r="K91" s="525"/>
      <c r="L91" s="541">
        <v>16898</v>
      </c>
      <c r="M91" s="525">
        <f>+L91*0.02/6</f>
        <v>56.326666666666661</v>
      </c>
      <c r="N91" s="525"/>
      <c r="O91" s="541">
        <v>0</v>
      </c>
      <c r="P91" s="525">
        <f t="shared" si="134"/>
        <v>0</v>
      </c>
      <c r="Q91" s="525"/>
      <c r="R91" s="541">
        <v>57726.71</v>
      </c>
      <c r="S91" s="525">
        <f t="shared" si="158"/>
        <v>41.233364285714288</v>
      </c>
      <c r="T91" s="525"/>
      <c r="U91" s="541">
        <v>34380.17</v>
      </c>
      <c r="V91" s="525">
        <f t="shared" si="135"/>
        <v>21.487606249999999</v>
      </c>
      <c r="W91" s="525"/>
      <c r="X91" s="541">
        <v>29736.53</v>
      </c>
      <c r="Y91" s="525">
        <f t="shared" si="136"/>
        <v>23.789224000000001</v>
      </c>
      <c r="Z91" s="525"/>
      <c r="AA91" s="541">
        <v>30759.91</v>
      </c>
      <c r="AB91" s="525">
        <f t="shared" si="137"/>
        <v>20.506606666666666</v>
      </c>
      <c r="AC91" s="525"/>
      <c r="AD91" s="541">
        <v>87477.440000000002</v>
      </c>
      <c r="AE91" s="525">
        <f t="shared" si="138"/>
        <v>51.457317647058822</v>
      </c>
      <c r="AF91" s="525"/>
      <c r="AG91" s="541">
        <v>0</v>
      </c>
      <c r="AH91" s="525">
        <f t="shared" si="139"/>
        <v>0</v>
      </c>
      <c r="AI91" s="525"/>
      <c r="AJ91" s="843">
        <v>63104.04</v>
      </c>
      <c r="AK91" s="525">
        <f t="shared" si="140"/>
        <v>37.12002352941176</v>
      </c>
      <c r="AL91" s="525"/>
      <c r="AM91" s="843">
        <v>37050.14</v>
      </c>
      <c r="AN91" s="525">
        <f t="shared" si="141"/>
        <v>27.444548148148147</v>
      </c>
      <c r="AO91" s="525"/>
      <c r="AP91" s="541">
        <v>0</v>
      </c>
      <c r="AQ91" s="525">
        <f t="shared" si="142"/>
        <v>0</v>
      </c>
      <c r="AR91" s="525"/>
      <c r="AS91" s="541">
        <v>1308</v>
      </c>
      <c r="AT91" s="525">
        <f>+AS91*0.02/1</f>
        <v>26.16</v>
      </c>
      <c r="AU91" s="525"/>
      <c r="AV91" s="541"/>
      <c r="AW91" s="525">
        <f t="shared" si="143"/>
        <v>0</v>
      </c>
      <c r="AX91" s="525"/>
      <c r="AY91" s="541"/>
      <c r="AZ91" s="525">
        <f t="shared" si="144"/>
        <v>0</v>
      </c>
      <c r="BA91" s="525"/>
      <c r="BB91" s="603">
        <f t="shared" si="145"/>
        <v>442641.95</v>
      </c>
      <c r="BC91" s="604">
        <f t="shared" si="145"/>
        <v>365.86584735969444</v>
      </c>
      <c r="BD91" s="605">
        <f t="shared" si="145"/>
        <v>0</v>
      </c>
      <c r="BE91" s="446"/>
      <c r="BF91" s="827">
        <f t="shared" si="146"/>
        <v>365.86584735969444</v>
      </c>
      <c r="BG91" s="843">
        <v>28163.83</v>
      </c>
      <c r="BH91" s="525">
        <f t="shared" si="159"/>
        <v>18.170212903225806</v>
      </c>
      <c r="BI91" s="525"/>
      <c r="BJ91" s="541">
        <v>0</v>
      </c>
      <c r="BK91" s="525">
        <f t="shared" si="147"/>
        <v>0</v>
      </c>
      <c r="BL91" s="525"/>
      <c r="BM91" s="541">
        <v>13678</v>
      </c>
      <c r="BN91" s="525">
        <f>+BM91*0.02/6</f>
        <v>45.593333333333334</v>
      </c>
      <c r="BO91" s="525"/>
      <c r="BP91" s="843">
        <v>42210.15</v>
      </c>
      <c r="BQ91" s="525">
        <f t="shared" si="160"/>
        <v>24.829500000000003</v>
      </c>
      <c r="BR91" s="525"/>
      <c r="BS91" s="541">
        <v>16489.21</v>
      </c>
      <c r="BT91" s="525">
        <f t="shared" ref="BT91:BT99" si="167">+BS91*0.02/32</f>
        <v>10.30575625</v>
      </c>
      <c r="BU91" s="843">
        <f t="shared" si="161"/>
        <v>4.69424375</v>
      </c>
      <c r="BV91" s="541">
        <v>37405.74</v>
      </c>
      <c r="BW91" s="525">
        <f t="shared" si="162"/>
        <v>24.132735483870967</v>
      </c>
      <c r="BX91" s="541"/>
      <c r="BY91" s="843">
        <v>8646.86</v>
      </c>
      <c r="BZ91" s="525">
        <f t="shared" si="163"/>
        <v>5.7645733333333338</v>
      </c>
      <c r="CA91" s="525">
        <f t="shared" si="164"/>
        <v>14.235426666666665</v>
      </c>
      <c r="CB91" s="541">
        <v>0</v>
      </c>
      <c r="CC91" s="525">
        <f t="shared" si="148"/>
        <v>0</v>
      </c>
      <c r="CD91" s="525"/>
      <c r="CE91" s="843">
        <v>44429.56</v>
      </c>
      <c r="CF91" s="525">
        <f t="shared" si="165"/>
        <v>28.664232258064516</v>
      </c>
      <c r="CG91" s="525"/>
      <c r="CH91" s="541">
        <v>0</v>
      </c>
      <c r="CI91" s="525">
        <f t="shared" si="149"/>
        <v>0</v>
      </c>
      <c r="CJ91" s="525"/>
      <c r="CK91" s="541">
        <v>0</v>
      </c>
      <c r="CL91" s="525">
        <f t="shared" si="150"/>
        <v>0</v>
      </c>
      <c r="CM91" s="525"/>
      <c r="CN91" s="541">
        <v>0</v>
      </c>
      <c r="CO91" s="525">
        <f t="shared" si="151"/>
        <v>0</v>
      </c>
      <c r="CP91" s="525"/>
      <c r="CQ91" s="541">
        <v>0</v>
      </c>
      <c r="CR91" s="525">
        <f t="shared" si="152"/>
        <v>0</v>
      </c>
      <c r="CS91" s="525"/>
      <c r="CT91" s="677">
        <f t="shared" si="153"/>
        <v>191023.34999999998</v>
      </c>
      <c r="CU91" s="678">
        <f t="shared" si="153"/>
        <v>157.46034356182795</v>
      </c>
      <c r="CV91" s="679">
        <f t="shared" si="154"/>
        <v>18.929670416666667</v>
      </c>
      <c r="CW91" s="446"/>
      <c r="CX91" s="680">
        <f t="shared" si="155"/>
        <v>176.39001397849461</v>
      </c>
      <c r="CY91" s="448">
        <f t="shared" si="156"/>
        <v>633665.30000000005</v>
      </c>
      <c r="CZ91" s="449">
        <f t="shared" si="156"/>
        <v>523.32619092152243</v>
      </c>
      <c r="DA91" s="450">
        <f t="shared" si="156"/>
        <v>18.929670416666667</v>
      </c>
      <c r="DB91" s="451">
        <f t="shared" si="157"/>
        <v>542.25586133818911</v>
      </c>
      <c r="DD91" s="453"/>
      <c r="DE91" s="453"/>
      <c r="DF91" s="453"/>
      <c r="DG91" s="453"/>
      <c r="DH91" s="453"/>
      <c r="DI91" s="453"/>
      <c r="DJ91" s="453"/>
      <c r="DK91" s="453"/>
      <c r="DL91" s="453"/>
      <c r="DM91" s="453"/>
      <c r="DN91" s="453"/>
      <c r="DO91" s="453"/>
      <c r="DP91" s="453"/>
      <c r="DQ91" s="453"/>
      <c r="DR91" s="453"/>
      <c r="DS91" s="453"/>
      <c r="DT91" s="453"/>
      <c r="DU91" s="453"/>
      <c r="DV91" s="453"/>
      <c r="DW91" s="453"/>
      <c r="DX91" s="453"/>
      <c r="DY91" s="453"/>
      <c r="DZ91" s="453"/>
      <c r="EA91" s="453"/>
      <c r="EB91" s="453"/>
      <c r="EC91" s="453"/>
      <c r="ED91" s="453"/>
      <c r="EE91" s="453"/>
      <c r="EF91" s="453"/>
      <c r="EG91" s="453"/>
      <c r="EH91" s="453"/>
      <c r="EI91" s="453"/>
      <c r="EJ91" s="453"/>
      <c r="EK91" s="453"/>
      <c r="EL91" s="453"/>
      <c r="EM91" s="453"/>
      <c r="EN91" s="453"/>
      <c r="EO91" s="453"/>
      <c r="EP91" s="453"/>
      <c r="EQ91" s="453"/>
      <c r="ER91" s="453"/>
    </row>
    <row r="92" spans="1:170" ht="15.75" x14ac:dyDescent="0.25">
      <c r="A92" s="839">
        <f t="shared" si="166"/>
        <v>71</v>
      </c>
      <c r="B92" s="840" t="s">
        <v>165</v>
      </c>
      <c r="C92" s="432" t="s">
        <v>693</v>
      </c>
      <c r="D92" s="841"/>
      <c r="E92" s="842"/>
      <c r="F92" s="541">
        <v>44451.46</v>
      </c>
      <c r="G92" s="525">
        <f>+F92*0.02/27</f>
        <v>32.927007407407409</v>
      </c>
      <c r="H92" s="525"/>
      <c r="I92" s="541">
        <v>39749.550000000003</v>
      </c>
      <c r="J92" s="525">
        <f t="shared" si="133"/>
        <v>27.413482758620692</v>
      </c>
      <c r="K92" s="525"/>
      <c r="L92" s="541">
        <v>16898</v>
      </c>
      <c r="M92" s="525">
        <f>+L92*0.02/6</f>
        <v>56.326666666666661</v>
      </c>
      <c r="N92" s="525"/>
      <c r="O92" s="541">
        <v>0</v>
      </c>
      <c r="P92" s="525">
        <f t="shared" si="134"/>
        <v>0</v>
      </c>
      <c r="Q92" s="525"/>
      <c r="R92" s="541">
        <v>57726.71</v>
      </c>
      <c r="S92" s="525">
        <f t="shared" si="158"/>
        <v>41.233364285714288</v>
      </c>
      <c r="T92" s="525"/>
      <c r="U92" s="541">
        <v>34380.17</v>
      </c>
      <c r="V92" s="525">
        <f t="shared" si="135"/>
        <v>21.487606249999999</v>
      </c>
      <c r="W92" s="525"/>
      <c r="X92" s="541">
        <v>29736.53</v>
      </c>
      <c r="Y92" s="525">
        <f t="shared" si="136"/>
        <v>23.789224000000001</v>
      </c>
      <c r="Z92" s="525"/>
      <c r="AA92" s="541">
        <v>30759.91</v>
      </c>
      <c r="AB92" s="525">
        <f t="shared" si="137"/>
        <v>20.506606666666666</v>
      </c>
      <c r="AC92" s="525"/>
      <c r="AD92" s="541">
        <v>87477.440000000002</v>
      </c>
      <c r="AE92" s="525">
        <f t="shared" si="138"/>
        <v>51.457317647058822</v>
      </c>
      <c r="AF92" s="525"/>
      <c r="AG92" s="541">
        <v>0</v>
      </c>
      <c r="AH92" s="525">
        <f t="shared" si="139"/>
        <v>0</v>
      </c>
      <c r="AI92" s="525"/>
      <c r="AJ92" s="843">
        <v>63104.04</v>
      </c>
      <c r="AK92" s="525">
        <f t="shared" si="140"/>
        <v>37.12002352941176</v>
      </c>
      <c r="AL92" s="525"/>
      <c r="AM92" s="843">
        <v>37050.14</v>
      </c>
      <c r="AN92" s="525">
        <f t="shared" si="141"/>
        <v>27.444548148148147</v>
      </c>
      <c r="AO92" s="525"/>
      <c r="AP92" s="541">
        <v>0</v>
      </c>
      <c r="AQ92" s="525">
        <f t="shared" si="142"/>
        <v>0</v>
      </c>
      <c r="AR92" s="525"/>
      <c r="AS92" s="541">
        <v>87069.49</v>
      </c>
      <c r="AT92" s="525">
        <f>+AS92*0.02/31</f>
        <v>56.173864516129036</v>
      </c>
      <c r="AU92" s="525"/>
      <c r="AV92" s="541"/>
      <c r="AW92" s="525">
        <f t="shared" si="143"/>
        <v>0</v>
      </c>
      <c r="AX92" s="525"/>
      <c r="AY92" s="541"/>
      <c r="AZ92" s="525">
        <f t="shared" si="144"/>
        <v>0</v>
      </c>
      <c r="BA92" s="525"/>
      <c r="BB92" s="603">
        <f t="shared" si="145"/>
        <v>528403.44000000006</v>
      </c>
      <c r="BC92" s="604">
        <f t="shared" si="145"/>
        <v>395.87971187582343</v>
      </c>
      <c r="BD92" s="605">
        <f t="shared" si="145"/>
        <v>0</v>
      </c>
      <c r="BE92" s="446"/>
      <c r="BF92" s="827">
        <f t="shared" si="146"/>
        <v>395.87971187582343</v>
      </c>
      <c r="BG92" s="843">
        <v>28163.83</v>
      </c>
      <c r="BH92" s="525">
        <f t="shared" si="159"/>
        <v>18.170212903225806</v>
      </c>
      <c r="BI92" s="525"/>
      <c r="BJ92" s="541">
        <v>0</v>
      </c>
      <c r="BK92" s="525">
        <f t="shared" si="147"/>
        <v>0</v>
      </c>
      <c r="BL92" s="525"/>
      <c r="BM92" s="541">
        <v>13678</v>
      </c>
      <c r="BN92" s="525">
        <f>+BM92*0.02/6</f>
        <v>45.593333333333334</v>
      </c>
      <c r="BO92" s="525"/>
      <c r="BP92" s="843">
        <v>42210.15</v>
      </c>
      <c r="BQ92" s="525">
        <f t="shared" si="160"/>
        <v>24.829500000000003</v>
      </c>
      <c r="BR92" s="525"/>
      <c r="BS92" s="541">
        <v>16489.21</v>
      </c>
      <c r="BT92" s="525">
        <f t="shared" si="167"/>
        <v>10.30575625</v>
      </c>
      <c r="BU92" s="843">
        <f t="shared" si="161"/>
        <v>4.69424375</v>
      </c>
      <c r="BV92" s="541">
        <v>37405.74</v>
      </c>
      <c r="BW92" s="525">
        <f t="shared" si="162"/>
        <v>24.132735483870967</v>
      </c>
      <c r="BX92" s="541"/>
      <c r="BY92" s="843">
        <v>8646.86</v>
      </c>
      <c r="BZ92" s="525">
        <f t="shared" si="163"/>
        <v>5.7645733333333338</v>
      </c>
      <c r="CA92" s="525">
        <f t="shared" si="164"/>
        <v>14.235426666666665</v>
      </c>
      <c r="CB92" s="541">
        <v>0</v>
      </c>
      <c r="CC92" s="525">
        <f t="shared" si="148"/>
        <v>0</v>
      </c>
      <c r="CD92" s="525"/>
      <c r="CE92" s="843">
        <v>44429.56</v>
      </c>
      <c r="CF92" s="525">
        <f t="shared" si="165"/>
        <v>28.664232258064516</v>
      </c>
      <c r="CG92" s="525"/>
      <c r="CH92" s="541">
        <v>0</v>
      </c>
      <c r="CI92" s="525">
        <f t="shared" si="149"/>
        <v>0</v>
      </c>
      <c r="CJ92" s="525"/>
      <c r="CK92" s="541">
        <v>0</v>
      </c>
      <c r="CL92" s="525">
        <f t="shared" si="150"/>
        <v>0</v>
      </c>
      <c r="CM92" s="525"/>
      <c r="CN92" s="541">
        <v>0</v>
      </c>
      <c r="CO92" s="525">
        <f t="shared" si="151"/>
        <v>0</v>
      </c>
      <c r="CP92" s="525"/>
      <c r="CQ92" s="541">
        <v>0</v>
      </c>
      <c r="CR92" s="525">
        <f t="shared" si="152"/>
        <v>0</v>
      </c>
      <c r="CS92" s="525"/>
      <c r="CT92" s="677">
        <f t="shared" si="153"/>
        <v>191023.34999999998</v>
      </c>
      <c r="CU92" s="678">
        <f t="shared" si="153"/>
        <v>157.46034356182795</v>
      </c>
      <c r="CV92" s="679">
        <f t="shared" si="154"/>
        <v>18.929670416666667</v>
      </c>
      <c r="CW92" s="446"/>
      <c r="CX92" s="680">
        <f t="shared" si="155"/>
        <v>176.39001397849461</v>
      </c>
      <c r="CY92" s="448">
        <f t="shared" si="156"/>
        <v>719426.79</v>
      </c>
      <c r="CZ92" s="449">
        <f t="shared" si="156"/>
        <v>553.34005543765136</v>
      </c>
      <c r="DA92" s="450">
        <f t="shared" si="156"/>
        <v>18.929670416666667</v>
      </c>
      <c r="DB92" s="451">
        <f t="shared" si="157"/>
        <v>572.26972585431804</v>
      </c>
      <c r="DC92" s="452"/>
      <c r="DD92" s="453"/>
      <c r="DE92" s="453"/>
      <c r="DF92" s="453"/>
      <c r="DG92" s="453"/>
      <c r="DH92" s="453"/>
      <c r="DI92" s="453"/>
      <c r="DJ92" s="453"/>
      <c r="DK92" s="453"/>
      <c r="DL92" s="453"/>
      <c r="DM92" s="453"/>
      <c r="DN92" s="453"/>
      <c r="DO92" s="453"/>
      <c r="DP92" s="453"/>
      <c r="DQ92" s="453"/>
      <c r="DR92" s="453"/>
      <c r="DS92" s="453"/>
      <c r="DT92" s="453"/>
      <c r="DU92" s="453"/>
      <c r="DV92" s="453"/>
      <c r="DW92" s="453"/>
      <c r="DX92" s="453"/>
      <c r="DY92" s="453"/>
      <c r="DZ92" s="453"/>
      <c r="EA92" s="453"/>
      <c r="EB92" s="453"/>
      <c r="EC92" s="453"/>
      <c r="ED92" s="453"/>
      <c r="EE92" s="453"/>
      <c r="EF92" s="453"/>
      <c r="EG92" s="453"/>
      <c r="EH92" s="453"/>
      <c r="EI92" s="453"/>
      <c r="EJ92" s="453"/>
      <c r="EK92" s="453"/>
      <c r="EL92" s="453"/>
      <c r="EM92" s="453"/>
      <c r="EN92" s="453"/>
      <c r="EO92" s="453"/>
      <c r="EP92" s="453"/>
      <c r="EQ92" s="453"/>
      <c r="ER92" s="453"/>
      <c r="ES92" s="452"/>
      <c r="ET92" s="452"/>
      <c r="EU92" s="452"/>
      <c r="EV92" s="452"/>
      <c r="EW92" s="452"/>
      <c r="EX92" s="452"/>
      <c r="EY92" s="452"/>
      <c r="EZ92" s="452"/>
      <c r="FA92" s="452"/>
      <c r="FB92" s="452"/>
      <c r="FC92" s="452"/>
      <c r="FD92" s="452"/>
      <c r="FE92" s="452"/>
      <c r="FF92" s="452"/>
      <c r="FG92" s="452"/>
      <c r="FH92" s="452"/>
      <c r="FI92" s="452"/>
      <c r="FJ92" s="452"/>
      <c r="FK92" s="452"/>
      <c r="FL92" s="452"/>
      <c r="FM92" s="452"/>
      <c r="FN92" s="452"/>
    </row>
    <row r="93" spans="1:170" ht="15.75" x14ac:dyDescent="0.25">
      <c r="A93" s="721">
        <f t="shared" si="166"/>
        <v>72</v>
      </c>
      <c r="B93" s="846" t="s">
        <v>167</v>
      </c>
      <c r="C93" s="847" t="s">
        <v>693</v>
      </c>
      <c r="D93" s="848"/>
      <c r="E93" s="849"/>
      <c r="F93" s="534">
        <v>44451.46</v>
      </c>
      <c r="G93" s="517">
        <f>+F93*0.02/27</f>
        <v>32.927007407407409</v>
      </c>
      <c r="H93" s="517"/>
      <c r="I93" s="534">
        <v>39749.550000000003</v>
      </c>
      <c r="J93" s="517">
        <f t="shared" si="133"/>
        <v>27.413482758620692</v>
      </c>
      <c r="K93" s="517"/>
      <c r="L93" s="534">
        <v>39966.589999999997</v>
      </c>
      <c r="M93" s="517">
        <f>+L93*0.02/22</f>
        <v>36.333263636363633</v>
      </c>
      <c r="N93" s="517"/>
      <c r="O93" s="534">
        <v>0</v>
      </c>
      <c r="P93" s="517">
        <f t="shared" si="134"/>
        <v>0</v>
      </c>
      <c r="Q93" s="517"/>
      <c r="R93" s="534">
        <v>57726.71</v>
      </c>
      <c r="S93" s="517">
        <f t="shared" si="158"/>
        <v>41.233364285714288</v>
      </c>
      <c r="T93" s="517"/>
      <c r="U93" s="534">
        <v>34380.17</v>
      </c>
      <c r="V93" s="517">
        <f t="shared" si="135"/>
        <v>21.487606249999999</v>
      </c>
      <c r="W93" s="517"/>
      <c r="X93" s="534">
        <v>29736.53</v>
      </c>
      <c r="Y93" s="517">
        <f t="shared" si="136"/>
        <v>23.789224000000001</v>
      </c>
      <c r="Z93" s="517"/>
      <c r="AA93" s="534">
        <v>30759.91</v>
      </c>
      <c r="AB93" s="517">
        <f t="shared" si="137"/>
        <v>20.506606666666666</v>
      </c>
      <c r="AC93" s="517"/>
      <c r="AD93" s="534">
        <v>87477.440000000002</v>
      </c>
      <c r="AE93" s="517">
        <f t="shared" si="138"/>
        <v>51.457317647058822</v>
      </c>
      <c r="AF93" s="517"/>
      <c r="AG93" s="534">
        <v>0</v>
      </c>
      <c r="AH93" s="517">
        <f t="shared" si="139"/>
        <v>0</v>
      </c>
      <c r="AI93" s="517"/>
      <c r="AJ93" s="520">
        <v>63104.04</v>
      </c>
      <c r="AK93" s="517">
        <f t="shared" si="140"/>
        <v>37.12002352941176</v>
      </c>
      <c r="AL93" s="517"/>
      <c r="AM93" s="520">
        <v>37050.14</v>
      </c>
      <c r="AN93" s="517">
        <f t="shared" si="141"/>
        <v>27.444548148148147</v>
      </c>
      <c r="AO93" s="517"/>
      <c r="AP93" s="534">
        <v>0</v>
      </c>
      <c r="AQ93" s="517">
        <f t="shared" si="142"/>
        <v>0</v>
      </c>
      <c r="AR93" s="517"/>
      <c r="AS93" s="534">
        <v>87069.49</v>
      </c>
      <c r="AT93" s="517">
        <f>+AS93*0.02/31</f>
        <v>56.173864516129036</v>
      </c>
      <c r="AU93" s="517"/>
      <c r="AV93" s="534"/>
      <c r="AW93" s="517">
        <f t="shared" si="143"/>
        <v>0</v>
      </c>
      <c r="AX93" s="517"/>
      <c r="AY93" s="534"/>
      <c r="AZ93" s="517">
        <f t="shared" si="144"/>
        <v>0</v>
      </c>
      <c r="BA93" s="517"/>
      <c r="BB93" s="463">
        <f t="shared" si="145"/>
        <v>551472.03</v>
      </c>
      <c r="BC93" s="464">
        <f t="shared" si="145"/>
        <v>375.88630884552043</v>
      </c>
      <c r="BD93" s="465">
        <f t="shared" si="145"/>
        <v>0</v>
      </c>
      <c r="BE93" s="466"/>
      <c r="BF93" s="467">
        <f t="shared" si="146"/>
        <v>375.88630884552043</v>
      </c>
      <c r="BG93" s="520">
        <v>28163.83</v>
      </c>
      <c r="BH93" s="517">
        <f t="shared" si="159"/>
        <v>18.170212903225806</v>
      </c>
      <c r="BI93" s="517"/>
      <c r="BJ93" s="534">
        <v>0</v>
      </c>
      <c r="BK93" s="517">
        <f t="shared" si="147"/>
        <v>0</v>
      </c>
      <c r="BL93" s="517"/>
      <c r="BM93" s="534">
        <v>37108.31</v>
      </c>
      <c r="BN93" s="517">
        <f>+BM93*0.02/29</f>
        <v>25.591937931034483</v>
      </c>
      <c r="BO93" s="517"/>
      <c r="BP93" s="520">
        <v>42210.15</v>
      </c>
      <c r="BQ93" s="517">
        <f t="shared" si="160"/>
        <v>24.829500000000003</v>
      </c>
      <c r="BR93" s="517"/>
      <c r="BS93" s="534">
        <v>16489.21</v>
      </c>
      <c r="BT93" s="517">
        <f t="shared" si="167"/>
        <v>10.30575625</v>
      </c>
      <c r="BU93" s="520">
        <f t="shared" si="161"/>
        <v>4.69424375</v>
      </c>
      <c r="BV93" s="534">
        <v>37405.74</v>
      </c>
      <c r="BW93" s="517">
        <f t="shared" si="162"/>
        <v>24.132735483870967</v>
      </c>
      <c r="BX93" s="534"/>
      <c r="BY93" s="520">
        <v>8646.86</v>
      </c>
      <c r="BZ93" s="517">
        <f t="shared" si="163"/>
        <v>5.7645733333333338</v>
      </c>
      <c r="CA93" s="517">
        <f t="shared" si="164"/>
        <v>14.235426666666665</v>
      </c>
      <c r="CB93" s="534">
        <v>0</v>
      </c>
      <c r="CC93" s="517">
        <f t="shared" si="148"/>
        <v>0</v>
      </c>
      <c r="CD93" s="517"/>
      <c r="CE93" s="520">
        <v>44429.56</v>
      </c>
      <c r="CF93" s="517">
        <f t="shared" si="165"/>
        <v>28.664232258064516</v>
      </c>
      <c r="CG93" s="517"/>
      <c r="CH93" s="534">
        <v>0</v>
      </c>
      <c r="CI93" s="517">
        <f t="shared" si="149"/>
        <v>0</v>
      </c>
      <c r="CJ93" s="517"/>
      <c r="CK93" s="534">
        <v>0</v>
      </c>
      <c r="CL93" s="517">
        <f t="shared" si="150"/>
        <v>0</v>
      </c>
      <c r="CM93" s="517"/>
      <c r="CN93" s="534">
        <v>0</v>
      </c>
      <c r="CO93" s="517">
        <f t="shared" si="151"/>
        <v>0</v>
      </c>
      <c r="CP93" s="517"/>
      <c r="CQ93" s="534">
        <v>0</v>
      </c>
      <c r="CR93" s="517">
        <f t="shared" si="152"/>
        <v>0</v>
      </c>
      <c r="CS93" s="517"/>
      <c r="CT93" s="551">
        <f t="shared" si="153"/>
        <v>214453.65999999997</v>
      </c>
      <c r="CU93" s="552">
        <f t="shared" si="153"/>
        <v>137.45894815952909</v>
      </c>
      <c r="CV93" s="553">
        <f t="shared" si="154"/>
        <v>18.929670416666667</v>
      </c>
      <c r="CW93" s="466"/>
      <c r="CX93" s="554">
        <f t="shared" si="155"/>
        <v>156.38861857619577</v>
      </c>
      <c r="CY93" s="555">
        <f t="shared" si="156"/>
        <v>765925.69</v>
      </c>
      <c r="CZ93" s="556">
        <f t="shared" si="156"/>
        <v>513.34525700504946</v>
      </c>
      <c r="DA93" s="557">
        <f t="shared" si="156"/>
        <v>18.929670416666667</v>
      </c>
      <c r="DB93" s="558">
        <f t="shared" si="157"/>
        <v>532.27492742171614</v>
      </c>
    </row>
    <row r="94" spans="1:170" ht="15.75" customHeight="1" x14ac:dyDescent="0.25">
      <c r="A94" s="721">
        <f t="shared" si="166"/>
        <v>73</v>
      </c>
      <c r="B94" s="857" t="s">
        <v>184</v>
      </c>
      <c r="C94" s="847" t="s">
        <v>693</v>
      </c>
      <c r="D94" s="848" t="s">
        <v>698</v>
      </c>
      <c r="E94" s="858" t="s">
        <v>699</v>
      </c>
      <c r="F94" s="534">
        <v>44451.46</v>
      </c>
      <c r="G94" s="517">
        <f>+F94*0.02/27</f>
        <v>32.927007407407409</v>
      </c>
      <c r="H94" s="517"/>
      <c r="I94" s="534">
        <v>39749.550000000003</v>
      </c>
      <c r="J94" s="517">
        <f>+I94*0.02/29</f>
        <v>27.413482758620692</v>
      </c>
      <c r="K94" s="517"/>
      <c r="L94" s="534">
        <v>39966.589999999997</v>
      </c>
      <c r="M94" s="517">
        <f>+L94*0.02/22</f>
        <v>36.333263636363633</v>
      </c>
      <c r="N94" s="517"/>
      <c r="O94" s="534">
        <v>0</v>
      </c>
      <c r="P94" s="517">
        <f>+O94*0.02/40</f>
        <v>0</v>
      </c>
      <c r="Q94" s="517"/>
      <c r="R94" s="534">
        <v>57726.71</v>
      </c>
      <c r="S94" s="517">
        <f t="shared" si="158"/>
        <v>41.233364285714288</v>
      </c>
      <c r="T94" s="517"/>
      <c r="U94" s="534">
        <v>34380.17</v>
      </c>
      <c r="V94" s="517">
        <f t="shared" si="135"/>
        <v>21.487606249999999</v>
      </c>
      <c r="W94" s="517"/>
      <c r="X94" s="534">
        <v>29736.53</v>
      </c>
      <c r="Y94" s="517">
        <f t="shared" si="136"/>
        <v>23.789224000000001</v>
      </c>
      <c r="Z94" s="517"/>
      <c r="AA94" s="534">
        <v>30759.91</v>
      </c>
      <c r="AB94" s="517">
        <f t="shared" si="137"/>
        <v>20.506606666666666</v>
      </c>
      <c r="AC94" s="517"/>
      <c r="AD94" s="534">
        <v>87477.440000000002</v>
      </c>
      <c r="AE94" s="517">
        <f t="shared" si="138"/>
        <v>51.457317647058822</v>
      </c>
      <c r="AF94" s="517"/>
      <c r="AG94" s="534">
        <v>0</v>
      </c>
      <c r="AH94" s="517">
        <f>+AG94*0.02/40</f>
        <v>0</v>
      </c>
      <c r="AI94" s="517"/>
      <c r="AJ94" s="520">
        <v>63104.04</v>
      </c>
      <c r="AK94" s="517">
        <f t="shared" si="140"/>
        <v>37.12002352941176</v>
      </c>
      <c r="AL94" s="517"/>
      <c r="AM94" s="520">
        <v>37050.14</v>
      </c>
      <c r="AN94" s="517">
        <f>+AM94*0.02/27</f>
        <v>27.444548148148147</v>
      </c>
      <c r="AO94" s="517"/>
      <c r="AP94" s="534">
        <v>0</v>
      </c>
      <c r="AQ94" s="517">
        <f>+AP94*0.02/40</f>
        <v>0</v>
      </c>
      <c r="AR94" s="517"/>
      <c r="AS94" s="534">
        <v>87069.49</v>
      </c>
      <c r="AT94" s="517">
        <f>+AS94*0.02/31</f>
        <v>56.173864516129036</v>
      </c>
      <c r="AU94" s="517"/>
      <c r="AV94" s="534"/>
      <c r="AW94" s="517">
        <f>+AV94*0.02/40</f>
        <v>0</v>
      </c>
      <c r="AX94" s="517"/>
      <c r="AY94" s="534"/>
      <c r="AZ94" s="517">
        <f>+AY94*0.02/40</f>
        <v>0</v>
      </c>
      <c r="BA94" s="517"/>
      <c r="BB94" s="463">
        <f t="shared" si="145"/>
        <v>551472.03</v>
      </c>
      <c r="BC94" s="464">
        <f t="shared" si="145"/>
        <v>375.88630884552043</v>
      </c>
      <c r="BD94" s="465">
        <f t="shared" si="145"/>
        <v>0</v>
      </c>
      <c r="BE94" s="466"/>
      <c r="BF94" s="467">
        <f t="shared" si="146"/>
        <v>375.88630884552043</v>
      </c>
      <c r="BG94" s="520">
        <v>28163.83</v>
      </c>
      <c r="BH94" s="517">
        <f t="shared" si="159"/>
        <v>18.170212903225806</v>
      </c>
      <c r="BI94" s="517"/>
      <c r="BJ94" s="534">
        <v>0</v>
      </c>
      <c r="BK94" s="517">
        <f>+BJ94*0.02/40</f>
        <v>0</v>
      </c>
      <c r="BL94" s="517"/>
      <c r="BM94" s="534">
        <v>37108.31</v>
      </c>
      <c r="BN94" s="517">
        <f>+BM94*0.02/29</f>
        <v>25.591937931034483</v>
      </c>
      <c r="BO94" s="517"/>
      <c r="BP94" s="520">
        <v>42210.15</v>
      </c>
      <c r="BQ94" s="517">
        <f t="shared" si="160"/>
        <v>24.829500000000003</v>
      </c>
      <c r="BR94" s="517"/>
      <c r="BS94" s="534">
        <v>16489.21</v>
      </c>
      <c r="BT94" s="517">
        <f t="shared" si="167"/>
        <v>10.30575625</v>
      </c>
      <c r="BU94" s="520">
        <f t="shared" si="161"/>
        <v>4.69424375</v>
      </c>
      <c r="BV94" s="534">
        <v>37405.74</v>
      </c>
      <c r="BW94" s="517">
        <f t="shared" si="162"/>
        <v>24.132735483870967</v>
      </c>
      <c r="BX94" s="534"/>
      <c r="BY94" s="520">
        <v>8646.86</v>
      </c>
      <c r="BZ94" s="517">
        <f t="shared" si="163"/>
        <v>5.7645733333333338</v>
      </c>
      <c r="CA94" s="517">
        <f t="shared" si="164"/>
        <v>14.235426666666665</v>
      </c>
      <c r="CB94" s="534">
        <v>0</v>
      </c>
      <c r="CC94" s="517">
        <f>+CB94*0.02/40</f>
        <v>0</v>
      </c>
      <c r="CD94" s="517"/>
      <c r="CE94" s="520">
        <v>44429.56</v>
      </c>
      <c r="CF94" s="517">
        <f t="shared" si="165"/>
        <v>28.664232258064516</v>
      </c>
      <c r="CG94" s="517"/>
      <c r="CH94" s="534">
        <v>0</v>
      </c>
      <c r="CI94" s="517">
        <f>+CH94*0.02/40</f>
        <v>0</v>
      </c>
      <c r="CJ94" s="517"/>
      <c r="CK94" s="534">
        <v>0</v>
      </c>
      <c r="CL94" s="517">
        <f>+CK94*0.02/40</f>
        <v>0</v>
      </c>
      <c r="CM94" s="517"/>
      <c r="CN94" s="534">
        <v>0</v>
      </c>
      <c r="CO94" s="517">
        <f>+CN94*0.02/40</f>
        <v>0</v>
      </c>
      <c r="CP94" s="517"/>
      <c r="CQ94" s="534">
        <v>0</v>
      </c>
      <c r="CR94" s="517">
        <f>+CQ94*0.02/40</f>
        <v>0</v>
      </c>
      <c r="CS94" s="517"/>
      <c r="CT94" s="551">
        <f t="shared" si="153"/>
        <v>214453.65999999997</v>
      </c>
      <c r="CU94" s="552">
        <f t="shared" si="153"/>
        <v>137.45894815952909</v>
      </c>
      <c r="CV94" s="553">
        <f t="shared" si="154"/>
        <v>18.929670416666667</v>
      </c>
      <c r="CW94" s="466"/>
      <c r="CX94" s="554">
        <f t="shared" si="155"/>
        <v>156.38861857619577</v>
      </c>
      <c r="CY94" s="588">
        <f t="shared" si="156"/>
        <v>765925.69</v>
      </c>
      <c r="CZ94" s="589">
        <f t="shared" si="156"/>
        <v>513.34525700504946</v>
      </c>
      <c r="DA94" s="590">
        <f t="shared" si="156"/>
        <v>18.929670416666667</v>
      </c>
      <c r="DB94" s="591">
        <f t="shared" si="157"/>
        <v>532.27492742171614</v>
      </c>
    </row>
    <row r="95" spans="1:170" ht="15.75" x14ac:dyDescent="0.25">
      <c r="A95" s="721">
        <f t="shared" si="166"/>
        <v>74</v>
      </c>
      <c r="B95" s="859" t="s">
        <v>189</v>
      </c>
      <c r="C95" s="847" t="s">
        <v>693</v>
      </c>
      <c r="D95" s="848"/>
      <c r="E95" s="860"/>
      <c r="F95" s="534">
        <v>0</v>
      </c>
      <c r="G95" s="517">
        <f>+F95*0.02/40</f>
        <v>0</v>
      </c>
      <c r="H95" s="517">
        <v>20</v>
      </c>
      <c r="I95" s="534">
        <v>0</v>
      </c>
      <c r="J95" s="517">
        <f>+I95*0.02/40</f>
        <v>0</v>
      </c>
      <c r="K95" s="517">
        <v>20</v>
      </c>
      <c r="L95" s="534">
        <v>0</v>
      </c>
      <c r="M95" s="517">
        <f>+L95*0.02/40</f>
        <v>0</v>
      </c>
      <c r="N95" s="517">
        <v>20</v>
      </c>
      <c r="O95" s="534">
        <v>0</v>
      </c>
      <c r="P95" s="517">
        <f>+O95*0.02/40</f>
        <v>0</v>
      </c>
      <c r="Q95" s="517">
        <v>20</v>
      </c>
      <c r="R95" s="534">
        <v>57726.71</v>
      </c>
      <c r="S95" s="517">
        <f t="shared" si="158"/>
        <v>41.233364285714288</v>
      </c>
      <c r="T95" s="517"/>
      <c r="U95" s="534">
        <v>34380.17</v>
      </c>
      <c r="V95" s="517">
        <f>+U95*0.02/32</f>
        <v>21.487606249999999</v>
      </c>
      <c r="W95" s="517"/>
      <c r="X95" s="534">
        <v>29736.53</v>
      </c>
      <c r="Y95" s="517">
        <f>+X95*0.02/25</f>
        <v>23.789224000000001</v>
      </c>
      <c r="Z95" s="517"/>
      <c r="AA95" s="534">
        <v>30759.91</v>
      </c>
      <c r="AB95" s="517">
        <f t="shared" si="137"/>
        <v>20.506606666666666</v>
      </c>
      <c r="AC95" s="517"/>
      <c r="AD95" s="534">
        <v>87477.440000000002</v>
      </c>
      <c r="AE95" s="517">
        <f t="shared" si="138"/>
        <v>51.457317647058822</v>
      </c>
      <c r="AF95" s="517"/>
      <c r="AG95" s="534">
        <v>0</v>
      </c>
      <c r="AH95" s="517">
        <f>+AG95*0.02/40</f>
        <v>0</v>
      </c>
      <c r="AI95" s="517"/>
      <c r="AJ95" s="520">
        <v>63104.04</v>
      </c>
      <c r="AK95" s="517">
        <f t="shared" si="140"/>
        <v>37.12002352941176</v>
      </c>
      <c r="AL95" s="517"/>
      <c r="AM95" s="520">
        <v>37050.14</v>
      </c>
      <c r="AN95" s="517">
        <f t="shared" ref="AN95:AN102" si="168">+AM95*0.02/27</f>
        <v>27.444548148148147</v>
      </c>
      <c r="AO95" s="517"/>
      <c r="AP95" s="534">
        <v>0</v>
      </c>
      <c r="AQ95" s="517">
        <f>+AP95*0.02/40</f>
        <v>0</v>
      </c>
      <c r="AR95" s="517"/>
      <c r="AS95" s="534">
        <v>87069.49</v>
      </c>
      <c r="AT95" s="517">
        <f t="shared" ref="AT95:AT103" si="169">+AS95*0.02/31</f>
        <v>56.173864516129036</v>
      </c>
      <c r="AU95" s="517"/>
      <c r="AV95" s="534"/>
      <c r="AW95" s="517">
        <f>+AV95*0.02/40</f>
        <v>0</v>
      </c>
      <c r="AX95" s="517"/>
      <c r="AY95" s="534"/>
      <c r="AZ95" s="517">
        <f>+AY95*0.02/40</f>
        <v>0</v>
      </c>
      <c r="BA95" s="517"/>
      <c r="BB95" s="463">
        <f t="shared" si="145"/>
        <v>427304.43</v>
      </c>
      <c r="BC95" s="464">
        <f t="shared" si="145"/>
        <v>279.2125550431287</v>
      </c>
      <c r="BD95" s="465">
        <f t="shared" si="145"/>
        <v>80</v>
      </c>
      <c r="BE95" s="466"/>
      <c r="BF95" s="467">
        <f t="shared" si="146"/>
        <v>359.2125550431287</v>
      </c>
      <c r="BG95" s="520">
        <v>28163.83</v>
      </c>
      <c r="BH95" s="517">
        <f t="shared" si="159"/>
        <v>18.170212903225806</v>
      </c>
      <c r="BI95" s="517"/>
      <c r="BJ95" s="534">
        <v>0</v>
      </c>
      <c r="BK95" s="517">
        <f>+BJ95*0.02/40</f>
        <v>0</v>
      </c>
      <c r="BL95" s="517"/>
      <c r="BM95" s="534">
        <v>37108.31</v>
      </c>
      <c r="BN95" s="517">
        <f t="shared" ref="BN95:BN103" si="170">+BM95*0.02/29</f>
        <v>25.591937931034483</v>
      </c>
      <c r="BO95" s="517"/>
      <c r="BP95" s="520">
        <v>42210.15</v>
      </c>
      <c r="BQ95" s="517">
        <f t="shared" si="160"/>
        <v>24.829500000000003</v>
      </c>
      <c r="BR95" s="517"/>
      <c r="BS95" s="534">
        <v>16489.21</v>
      </c>
      <c r="BT95" s="517">
        <f t="shared" si="167"/>
        <v>10.30575625</v>
      </c>
      <c r="BU95" s="520">
        <f t="shared" si="161"/>
        <v>4.69424375</v>
      </c>
      <c r="BV95" s="534">
        <v>37405.74</v>
      </c>
      <c r="BW95" s="517">
        <f t="shared" si="162"/>
        <v>24.132735483870967</v>
      </c>
      <c r="BX95" s="534"/>
      <c r="BY95" s="520">
        <v>8646.86</v>
      </c>
      <c r="BZ95" s="517">
        <f t="shared" si="163"/>
        <v>5.7645733333333338</v>
      </c>
      <c r="CA95" s="517">
        <f t="shared" si="164"/>
        <v>14.235426666666665</v>
      </c>
      <c r="CB95" s="534">
        <v>0</v>
      </c>
      <c r="CC95" s="517">
        <f>+CB95*0.02/40</f>
        <v>0</v>
      </c>
      <c r="CD95" s="517"/>
      <c r="CE95" s="520">
        <v>44429.56</v>
      </c>
      <c r="CF95" s="517">
        <f>+CE95*0.02/31</f>
        <v>28.664232258064516</v>
      </c>
      <c r="CG95" s="517"/>
      <c r="CH95" s="534">
        <v>0</v>
      </c>
      <c r="CI95" s="517">
        <f>+CH95*0.02/40</f>
        <v>0</v>
      </c>
      <c r="CJ95" s="517">
        <v>20</v>
      </c>
      <c r="CK95" s="520">
        <v>0</v>
      </c>
      <c r="CL95" s="671">
        <f>+CK95*0.02/40</f>
        <v>0</v>
      </c>
      <c r="CM95" s="517">
        <v>20</v>
      </c>
      <c r="CN95" s="534">
        <v>0</v>
      </c>
      <c r="CO95" s="517">
        <f>+CN95*0.02/40</f>
        <v>0</v>
      </c>
      <c r="CP95" s="517">
        <v>20</v>
      </c>
      <c r="CQ95" s="534">
        <v>0</v>
      </c>
      <c r="CR95" s="517">
        <f>+CQ95*0.02/40</f>
        <v>0</v>
      </c>
      <c r="CS95" s="517"/>
      <c r="CT95" s="551">
        <f t="shared" si="153"/>
        <v>214453.65999999997</v>
      </c>
      <c r="CU95" s="552">
        <f t="shared" si="153"/>
        <v>137.45894815952909</v>
      </c>
      <c r="CV95" s="553">
        <f t="shared" si="154"/>
        <v>78.929670416666667</v>
      </c>
      <c r="CW95" s="466"/>
      <c r="CX95" s="554">
        <f t="shared" si="155"/>
        <v>216.38861857619577</v>
      </c>
      <c r="CY95" s="588">
        <f t="shared" si="156"/>
        <v>641758.09</v>
      </c>
      <c r="CZ95" s="589">
        <f t="shared" si="156"/>
        <v>416.67150320265779</v>
      </c>
      <c r="DA95" s="590">
        <f t="shared" si="156"/>
        <v>158.92967041666668</v>
      </c>
      <c r="DB95" s="591">
        <f t="shared" si="157"/>
        <v>575.60117361932453</v>
      </c>
    </row>
    <row r="96" spans="1:170" ht="15.75" x14ac:dyDescent="0.25">
      <c r="A96" s="721">
        <f t="shared" si="166"/>
        <v>75</v>
      </c>
      <c r="B96" s="857" t="s">
        <v>166</v>
      </c>
      <c r="C96" s="847" t="s">
        <v>693</v>
      </c>
      <c r="D96" s="848"/>
      <c r="E96" s="849"/>
      <c r="F96" s="534">
        <v>44451.46</v>
      </c>
      <c r="G96" s="517">
        <f t="shared" ref="G96:G100" si="171">+F96*0.02/27</f>
        <v>32.927007407407409</v>
      </c>
      <c r="H96" s="517"/>
      <c r="I96" s="534">
        <v>39749.550000000003</v>
      </c>
      <c r="J96" s="517">
        <f t="shared" ref="J96:J100" si="172">+I96*0.02/29</f>
        <v>27.413482758620692</v>
      </c>
      <c r="K96" s="517"/>
      <c r="L96" s="534">
        <v>39966.589999999997</v>
      </c>
      <c r="M96" s="517">
        <f>+L96*0.02/22</f>
        <v>36.333263636363633</v>
      </c>
      <c r="N96" s="517"/>
      <c r="O96" s="534">
        <v>0</v>
      </c>
      <c r="P96" s="517">
        <f>+O96*0.02/40</f>
        <v>0</v>
      </c>
      <c r="Q96" s="517"/>
      <c r="R96" s="534">
        <v>57726.71</v>
      </c>
      <c r="S96" s="517">
        <f t="shared" si="158"/>
        <v>41.233364285714288</v>
      </c>
      <c r="T96" s="517"/>
      <c r="U96" s="534">
        <v>34380.17</v>
      </c>
      <c r="V96" s="517">
        <f>+U96*0.02/32</f>
        <v>21.487606249999999</v>
      </c>
      <c r="W96" s="517"/>
      <c r="X96" s="534">
        <v>29736.53</v>
      </c>
      <c r="Y96" s="517">
        <f>+X96*0.02/25</f>
        <v>23.789224000000001</v>
      </c>
      <c r="Z96" s="517"/>
      <c r="AA96" s="534">
        <v>30759.91</v>
      </c>
      <c r="AB96" s="517">
        <f t="shared" si="137"/>
        <v>20.506606666666666</v>
      </c>
      <c r="AC96" s="517"/>
      <c r="AD96" s="534">
        <v>87477.440000000002</v>
      </c>
      <c r="AE96" s="517">
        <f t="shared" si="138"/>
        <v>51.457317647058822</v>
      </c>
      <c r="AF96" s="517"/>
      <c r="AG96" s="534">
        <v>0</v>
      </c>
      <c r="AH96" s="517">
        <f>+AG96*0.02/40</f>
        <v>0</v>
      </c>
      <c r="AI96" s="517"/>
      <c r="AJ96" s="520">
        <v>63104.04</v>
      </c>
      <c r="AK96" s="517">
        <f t="shared" si="140"/>
        <v>37.12002352941176</v>
      </c>
      <c r="AL96" s="517"/>
      <c r="AM96" s="520">
        <v>37050.14</v>
      </c>
      <c r="AN96" s="517">
        <f t="shared" si="168"/>
        <v>27.444548148148147</v>
      </c>
      <c r="AO96" s="517"/>
      <c r="AP96" s="534">
        <v>0</v>
      </c>
      <c r="AQ96" s="517">
        <f>+AP96*0.02/40</f>
        <v>0</v>
      </c>
      <c r="AR96" s="517"/>
      <c r="AS96" s="534">
        <v>87069.49</v>
      </c>
      <c r="AT96" s="517">
        <f t="shared" si="169"/>
        <v>56.173864516129036</v>
      </c>
      <c r="AU96" s="517"/>
      <c r="AV96" s="534"/>
      <c r="AW96" s="517">
        <f>+AV96*0.02/40</f>
        <v>0</v>
      </c>
      <c r="AX96" s="517"/>
      <c r="AY96" s="534"/>
      <c r="AZ96" s="517">
        <f>+AY96*0.02/40</f>
        <v>0</v>
      </c>
      <c r="BA96" s="517"/>
      <c r="BB96" s="463">
        <f t="shared" si="145"/>
        <v>551472.03</v>
      </c>
      <c r="BC96" s="464">
        <f t="shared" si="145"/>
        <v>375.88630884552043</v>
      </c>
      <c r="BD96" s="465">
        <f t="shared" si="145"/>
        <v>0</v>
      </c>
      <c r="BE96" s="466"/>
      <c r="BF96" s="467">
        <f t="shared" si="146"/>
        <v>375.88630884552043</v>
      </c>
      <c r="BG96" s="520">
        <v>28163.83</v>
      </c>
      <c r="BH96" s="517">
        <f t="shared" si="159"/>
        <v>18.170212903225806</v>
      </c>
      <c r="BI96" s="517"/>
      <c r="BJ96" s="534">
        <v>0</v>
      </c>
      <c r="BK96" s="517">
        <f>+BJ96*0.02/40</f>
        <v>0</v>
      </c>
      <c r="BL96" s="517"/>
      <c r="BM96" s="534">
        <v>37108.31</v>
      </c>
      <c r="BN96" s="517">
        <f t="shared" si="170"/>
        <v>25.591937931034483</v>
      </c>
      <c r="BO96" s="517"/>
      <c r="BP96" s="520">
        <v>42210.15</v>
      </c>
      <c r="BQ96" s="517">
        <f t="shared" si="160"/>
        <v>24.829500000000003</v>
      </c>
      <c r="BR96" s="517"/>
      <c r="BS96" s="534">
        <v>16489.21</v>
      </c>
      <c r="BT96" s="517">
        <f t="shared" si="167"/>
        <v>10.30575625</v>
      </c>
      <c r="BU96" s="520">
        <f t="shared" si="161"/>
        <v>4.69424375</v>
      </c>
      <c r="BV96" s="534">
        <v>37405.74</v>
      </c>
      <c r="BW96" s="517">
        <f t="shared" si="162"/>
        <v>24.132735483870967</v>
      </c>
      <c r="BX96" s="534"/>
      <c r="BY96" s="520">
        <v>8646.86</v>
      </c>
      <c r="BZ96" s="517">
        <f t="shared" si="163"/>
        <v>5.7645733333333338</v>
      </c>
      <c r="CA96" s="517">
        <f t="shared" si="164"/>
        <v>14.235426666666665</v>
      </c>
      <c r="CB96" s="534">
        <v>0</v>
      </c>
      <c r="CC96" s="517">
        <f>+CB96*0.02/40</f>
        <v>0</v>
      </c>
      <c r="CD96" s="517"/>
      <c r="CE96" s="520">
        <v>44429.56</v>
      </c>
      <c r="CF96" s="517">
        <f>+CE96*0.02/31</f>
        <v>28.664232258064516</v>
      </c>
      <c r="CG96" s="517"/>
      <c r="CH96" s="534">
        <v>0</v>
      </c>
      <c r="CI96" s="517">
        <f>+CH96*0.02/40</f>
        <v>0</v>
      </c>
      <c r="CJ96" s="517"/>
      <c r="CK96" s="534">
        <v>0</v>
      </c>
      <c r="CL96" s="517">
        <f>+CK96*0.02/40</f>
        <v>0</v>
      </c>
      <c r="CM96" s="517"/>
      <c r="CN96" s="534">
        <v>0</v>
      </c>
      <c r="CO96" s="517">
        <f>+CN96*0.02/40</f>
        <v>0</v>
      </c>
      <c r="CP96" s="517"/>
      <c r="CQ96" s="534">
        <v>0</v>
      </c>
      <c r="CR96" s="517">
        <f>+CQ96*0.02/40</f>
        <v>0</v>
      </c>
      <c r="CS96" s="517"/>
      <c r="CT96" s="551">
        <f t="shared" si="153"/>
        <v>214453.65999999997</v>
      </c>
      <c r="CU96" s="552">
        <f t="shared" si="153"/>
        <v>137.45894815952909</v>
      </c>
      <c r="CV96" s="553">
        <f t="shared" si="154"/>
        <v>18.929670416666667</v>
      </c>
      <c r="CW96" s="466"/>
      <c r="CX96" s="554">
        <f t="shared" si="155"/>
        <v>156.38861857619577</v>
      </c>
      <c r="CY96" s="588">
        <f t="shared" si="156"/>
        <v>765925.69</v>
      </c>
      <c r="CZ96" s="589">
        <f t="shared" si="156"/>
        <v>513.34525700504946</v>
      </c>
      <c r="DA96" s="590">
        <f t="shared" si="156"/>
        <v>18.929670416666667</v>
      </c>
      <c r="DB96" s="591">
        <f t="shared" si="157"/>
        <v>532.27492742171614</v>
      </c>
    </row>
    <row r="97" spans="1:170" ht="15.75" x14ac:dyDescent="0.25">
      <c r="A97" s="721">
        <f t="shared" si="166"/>
        <v>76</v>
      </c>
      <c r="B97" s="857" t="s">
        <v>185</v>
      </c>
      <c r="C97" s="847" t="s">
        <v>693</v>
      </c>
      <c r="D97" s="848"/>
      <c r="E97" s="860"/>
      <c r="F97" s="534">
        <v>44451.46</v>
      </c>
      <c r="G97" s="517">
        <f t="shared" si="171"/>
        <v>32.927007407407409</v>
      </c>
      <c r="H97" s="517"/>
      <c r="I97" s="534">
        <v>39749.550000000003</v>
      </c>
      <c r="J97" s="517">
        <f t="shared" si="172"/>
        <v>27.413482758620692</v>
      </c>
      <c r="K97" s="517"/>
      <c r="L97" s="534">
        <v>39966.589999999997</v>
      </c>
      <c r="M97" s="517">
        <f>+L97*0.02/22</f>
        <v>36.333263636363633</v>
      </c>
      <c r="N97" s="517"/>
      <c r="O97" s="534">
        <v>0</v>
      </c>
      <c r="P97" s="517">
        <f>+O97*0.02/40</f>
        <v>0</v>
      </c>
      <c r="Q97" s="517"/>
      <c r="R97" s="534">
        <v>3623</v>
      </c>
      <c r="S97" s="517">
        <f>+R97*0.02/2</f>
        <v>36.230000000000004</v>
      </c>
      <c r="T97" s="517"/>
      <c r="U97" s="534">
        <v>1849</v>
      </c>
      <c r="V97" s="517">
        <f>+U97*0.02/2</f>
        <v>18.490000000000002</v>
      </c>
      <c r="W97" s="517"/>
      <c r="X97" s="534">
        <v>2079</v>
      </c>
      <c r="Y97" s="517">
        <f>+X97*0.02/2</f>
        <v>20.79</v>
      </c>
      <c r="Z97" s="517"/>
      <c r="AA97" s="534">
        <v>30759.91</v>
      </c>
      <c r="AB97" s="517">
        <f t="shared" si="137"/>
        <v>20.506606666666666</v>
      </c>
      <c r="AC97" s="517"/>
      <c r="AD97" s="534">
        <v>87477.440000000002</v>
      </c>
      <c r="AE97" s="517">
        <f t="shared" si="138"/>
        <v>51.457317647058822</v>
      </c>
      <c r="AF97" s="517"/>
      <c r="AG97" s="534">
        <v>0</v>
      </c>
      <c r="AH97" s="517">
        <f>+AG97*0.02/40</f>
        <v>0</v>
      </c>
      <c r="AI97" s="517"/>
      <c r="AJ97" s="520">
        <v>63104.04</v>
      </c>
      <c r="AK97" s="517">
        <f t="shared" si="140"/>
        <v>37.12002352941176</v>
      </c>
      <c r="AL97" s="517"/>
      <c r="AM97" s="520">
        <v>37050.14</v>
      </c>
      <c r="AN97" s="517">
        <f t="shared" si="168"/>
        <v>27.444548148148147</v>
      </c>
      <c r="AO97" s="517"/>
      <c r="AP97" s="534">
        <v>0</v>
      </c>
      <c r="AQ97" s="517">
        <f>+AP97*0.02/40</f>
        <v>0</v>
      </c>
      <c r="AR97" s="517"/>
      <c r="AS97" s="534">
        <v>87069.49</v>
      </c>
      <c r="AT97" s="517">
        <f t="shared" si="169"/>
        <v>56.173864516129036</v>
      </c>
      <c r="AU97" s="517"/>
      <c r="AV97" s="534"/>
      <c r="AW97" s="517">
        <f>+AV97*0.02/40</f>
        <v>0</v>
      </c>
      <c r="AX97" s="517"/>
      <c r="AY97" s="534"/>
      <c r="AZ97" s="517">
        <f>+AY97*0.02/40</f>
        <v>0</v>
      </c>
      <c r="BA97" s="517"/>
      <c r="BB97" s="463">
        <f t="shared" si="145"/>
        <v>437179.62</v>
      </c>
      <c r="BC97" s="464">
        <f t="shared" si="145"/>
        <v>364.8861143098062</v>
      </c>
      <c r="BD97" s="465">
        <f t="shared" si="145"/>
        <v>0</v>
      </c>
      <c r="BE97" s="466"/>
      <c r="BF97" s="467">
        <f t="shared" si="146"/>
        <v>364.8861143098062</v>
      </c>
      <c r="BG97" s="520">
        <v>28163.83</v>
      </c>
      <c r="BH97" s="517">
        <f t="shared" si="159"/>
        <v>18.170212903225806</v>
      </c>
      <c r="BI97" s="517"/>
      <c r="BJ97" s="534">
        <v>0</v>
      </c>
      <c r="BK97" s="517">
        <f>+BJ97*0.02/40</f>
        <v>0</v>
      </c>
      <c r="BL97" s="517"/>
      <c r="BM97" s="534">
        <v>37108.31</v>
      </c>
      <c r="BN97" s="517">
        <f t="shared" si="170"/>
        <v>25.591937931034483</v>
      </c>
      <c r="BO97" s="517"/>
      <c r="BP97" s="520">
        <v>42210.15</v>
      </c>
      <c r="BQ97" s="517">
        <f t="shared" si="160"/>
        <v>24.829500000000003</v>
      </c>
      <c r="BR97" s="517"/>
      <c r="BS97" s="534">
        <v>16489.21</v>
      </c>
      <c r="BT97" s="517">
        <f t="shared" si="167"/>
        <v>10.30575625</v>
      </c>
      <c r="BU97" s="520">
        <f t="shared" si="161"/>
        <v>4.69424375</v>
      </c>
      <c r="BV97" s="534">
        <v>37405.74</v>
      </c>
      <c r="BW97" s="517">
        <f t="shared" si="162"/>
        <v>24.132735483870967</v>
      </c>
      <c r="BX97" s="534"/>
      <c r="BY97" s="520">
        <v>8646.86</v>
      </c>
      <c r="BZ97" s="517">
        <f t="shared" si="163"/>
        <v>5.7645733333333338</v>
      </c>
      <c r="CA97" s="517">
        <f t="shared" si="164"/>
        <v>14.235426666666665</v>
      </c>
      <c r="CB97" s="534">
        <v>0</v>
      </c>
      <c r="CC97" s="517">
        <f>+CB97*0.02/40</f>
        <v>0</v>
      </c>
      <c r="CD97" s="517"/>
      <c r="CE97" s="534">
        <v>0</v>
      </c>
      <c r="CF97" s="585">
        <f>+CE97*0.02/40</f>
        <v>0</v>
      </c>
      <c r="CG97" s="517"/>
      <c r="CH97" s="534">
        <v>0</v>
      </c>
      <c r="CI97" s="517">
        <f>+CH97*0.02/40</f>
        <v>0</v>
      </c>
      <c r="CJ97" s="517"/>
      <c r="CK97" s="534">
        <v>0</v>
      </c>
      <c r="CL97" s="517">
        <f>+CK97*0.02/40</f>
        <v>0</v>
      </c>
      <c r="CM97" s="517"/>
      <c r="CN97" s="534">
        <v>0</v>
      </c>
      <c r="CO97" s="517">
        <f>+CN97*0.02/40</f>
        <v>0</v>
      </c>
      <c r="CP97" s="517"/>
      <c r="CQ97" s="534">
        <v>0</v>
      </c>
      <c r="CR97" s="517">
        <f>+CQ97*0.02/40</f>
        <v>0</v>
      </c>
      <c r="CS97" s="517"/>
      <c r="CT97" s="551">
        <f t="shared" si="153"/>
        <v>170024.09999999998</v>
      </c>
      <c r="CU97" s="552">
        <f t="shared" si="153"/>
        <v>108.79471590146458</v>
      </c>
      <c r="CV97" s="553">
        <f t="shared" si="154"/>
        <v>18.929670416666667</v>
      </c>
      <c r="CW97" s="466"/>
      <c r="CX97" s="554">
        <f t="shared" si="155"/>
        <v>127.72438631813125</v>
      </c>
      <c r="CY97" s="588">
        <f t="shared" si="156"/>
        <v>607203.72</v>
      </c>
      <c r="CZ97" s="589">
        <f t="shared" si="156"/>
        <v>473.6808302112708</v>
      </c>
      <c r="DA97" s="590">
        <f t="shared" si="156"/>
        <v>18.929670416666667</v>
      </c>
      <c r="DB97" s="591">
        <f t="shared" si="157"/>
        <v>492.61050062793748</v>
      </c>
    </row>
    <row r="98" spans="1:170" ht="15.75" x14ac:dyDescent="0.25">
      <c r="A98" s="721">
        <f t="shared" si="166"/>
        <v>77</v>
      </c>
      <c r="B98" s="857" t="s">
        <v>180</v>
      </c>
      <c r="C98" s="847" t="s">
        <v>693</v>
      </c>
      <c r="D98" s="848"/>
      <c r="E98" s="860"/>
      <c r="F98" s="534">
        <v>44451.46</v>
      </c>
      <c r="G98" s="517">
        <f t="shared" si="171"/>
        <v>32.927007407407409</v>
      </c>
      <c r="H98" s="517"/>
      <c r="I98" s="534">
        <v>39749.550000000003</v>
      </c>
      <c r="J98" s="517">
        <f t="shared" si="172"/>
        <v>27.413482758620692</v>
      </c>
      <c r="K98" s="517"/>
      <c r="L98" s="534">
        <v>39966.589999999997</v>
      </c>
      <c r="M98" s="517">
        <f>+L98*0.02/22</f>
        <v>36.333263636363633</v>
      </c>
      <c r="N98" s="517"/>
      <c r="O98" s="534">
        <v>0</v>
      </c>
      <c r="P98" s="517">
        <f t="shared" ref="P98:P105" si="173">+O98*0.02/40</f>
        <v>0</v>
      </c>
      <c r="Q98" s="517"/>
      <c r="R98" s="534">
        <v>57726.71</v>
      </c>
      <c r="S98" s="517">
        <f>+R98*0.02/28</f>
        <v>41.233364285714288</v>
      </c>
      <c r="T98" s="517"/>
      <c r="U98" s="534">
        <v>34380.17</v>
      </c>
      <c r="V98" s="517">
        <f t="shared" ref="V98:V103" si="174">+U98*0.02/32</f>
        <v>21.487606249999999</v>
      </c>
      <c r="W98" s="517"/>
      <c r="X98" s="534">
        <v>29736.53</v>
      </c>
      <c r="Y98" s="517">
        <f>+X98*0.02/25</f>
        <v>23.789224000000001</v>
      </c>
      <c r="Z98" s="517"/>
      <c r="AA98" s="534">
        <v>30759.91</v>
      </c>
      <c r="AB98" s="517">
        <f t="shared" si="137"/>
        <v>20.506606666666666</v>
      </c>
      <c r="AC98" s="517"/>
      <c r="AD98" s="534">
        <v>87477.440000000002</v>
      </c>
      <c r="AE98" s="517">
        <f t="shared" si="138"/>
        <v>51.457317647058822</v>
      </c>
      <c r="AF98" s="517"/>
      <c r="AG98" s="534">
        <v>0</v>
      </c>
      <c r="AH98" s="517">
        <f t="shared" ref="AH98:AH105" si="175">+AG98*0.02/40</f>
        <v>0</v>
      </c>
      <c r="AI98" s="517"/>
      <c r="AJ98" s="520">
        <v>63104.04</v>
      </c>
      <c r="AK98" s="517">
        <f t="shared" si="140"/>
        <v>37.12002352941176</v>
      </c>
      <c r="AL98" s="517"/>
      <c r="AM98" s="520">
        <v>37050.14</v>
      </c>
      <c r="AN98" s="517">
        <f t="shared" si="168"/>
        <v>27.444548148148147</v>
      </c>
      <c r="AO98" s="517"/>
      <c r="AP98" s="534">
        <v>0</v>
      </c>
      <c r="AQ98" s="517">
        <f t="shared" ref="AQ98:AQ105" si="176">+AP98*0.02/40</f>
        <v>0</v>
      </c>
      <c r="AR98" s="517"/>
      <c r="AS98" s="534">
        <v>87069.49</v>
      </c>
      <c r="AT98" s="517">
        <f t="shared" si="169"/>
        <v>56.173864516129036</v>
      </c>
      <c r="AU98" s="517"/>
      <c r="AV98" s="534"/>
      <c r="AW98" s="517">
        <f t="shared" ref="AW98:AW105" si="177">+AV98*0.02/40</f>
        <v>0</v>
      </c>
      <c r="AX98" s="517"/>
      <c r="AY98" s="534"/>
      <c r="AZ98" s="517">
        <f t="shared" ref="AZ98:AZ105" si="178">+AY98*0.02/40</f>
        <v>0</v>
      </c>
      <c r="BA98" s="517"/>
      <c r="BB98" s="463">
        <f t="shared" si="145"/>
        <v>551472.03</v>
      </c>
      <c r="BC98" s="464">
        <f t="shared" si="145"/>
        <v>375.88630884552043</v>
      </c>
      <c r="BD98" s="465">
        <f t="shared" si="145"/>
        <v>0</v>
      </c>
      <c r="BE98" s="466"/>
      <c r="BF98" s="467">
        <f t="shared" si="146"/>
        <v>375.88630884552043</v>
      </c>
      <c r="BG98" s="520">
        <v>28163.83</v>
      </c>
      <c r="BH98" s="517">
        <f t="shared" si="159"/>
        <v>18.170212903225806</v>
      </c>
      <c r="BI98" s="517"/>
      <c r="BJ98" s="534">
        <v>0</v>
      </c>
      <c r="BK98" s="517">
        <f t="shared" ref="BK98:BK105" si="179">+BJ98*0.02/40</f>
        <v>0</v>
      </c>
      <c r="BL98" s="517"/>
      <c r="BM98" s="534">
        <v>37108.31</v>
      </c>
      <c r="BN98" s="517">
        <f t="shared" si="170"/>
        <v>25.591937931034483</v>
      </c>
      <c r="BO98" s="517"/>
      <c r="BP98" s="520">
        <v>42210.15</v>
      </c>
      <c r="BQ98" s="517">
        <f t="shared" si="160"/>
        <v>24.829500000000003</v>
      </c>
      <c r="BR98" s="517"/>
      <c r="BS98" s="534">
        <v>16489.21</v>
      </c>
      <c r="BT98" s="517">
        <f t="shared" si="167"/>
        <v>10.30575625</v>
      </c>
      <c r="BU98" s="520">
        <f t="shared" si="161"/>
        <v>4.69424375</v>
      </c>
      <c r="BV98" s="534">
        <v>37405.74</v>
      </c>
      <c r="BW98" s="517">
        <f t="shared" si="162"/>
        <v>24.132735483870967</v>
      </c>
      <c r="BX98" s="534"/>
      <c r="BY98" s="520">
        <v>8646.86</v>
      </c>
      <c r="BZ98" s="517">
        <f t="shared" si="163"/>
        <v>5.7645733333333338</v>
      </c>
      <c r="CA98" s="517">
        <f t="shared" si="164"/>
        <v>14.235426666666665</v>
      </c>
      <c r="CB98" s="534">
        <v>0</v>
      </c>
      <c r="CC98" s="517">
        <f t="shared" ref="CC98:CC105" si="180">+CB98*0.02/40</f>
        <v>0</v>
      </c>
      <c r="CD98" s="517"/>
      <c r="CE98" s="520">
        <v>44429.56</v>
      </c>
      <c r="CF98" s="517">
        <f>+CE98*0.02/31</f>
        <v>28.664232258064516</v>
      </c>
      <c r="CG98" s="517"/>
      <c r="CH98" s="534">
        <v>0</v>
      </c>
      <c r="CI98" s="517">
        <f t="shared" ref="CI98:CI105" si="181">+CH98*0.02/40</f>
        <v>0</v>
      </c>
      <c r="CJ98" s="517"/>
      <c r="CK98" s="534">
        <v>0</v>
      </c>
      <c r="CL98" s="517">
        <f t="shared" ref="CL98:CL105" si="182">+CK98*0.02/40</f>
        <v>0</v>
      </c>
      <c r="CM98" s="517"/>
      <c r="CN98" s="534">
        <v>0</v>
      </c>
      <c r="CO98" s="517">
        <f t="shared" ref="CO98:CO105" si="183">+CN98*0.02/40</f>
        <v>0</v>
      </c>
      <c r="CP98" s="517"/>
      <c r="CQ98" s="534">
        <v>0</v>
      </c>
      <c r="CR98" s="517">
        <f t="shared" ref="CR98:CR105" si="184">+CQ98*0.02/40</f>
        <v>0</v>
      </c>
      <c r="CS98" s="517"/>
      <c r="CT98" s="551">
        <f t="shared" si="153"/>
        <v>214453.65999999997</v>
      </c>
      <c r="CU98" s="552">
        <f t="shared" si="153"/>
        <v>137.45894815952909</v>
      </c>
      <c r="CV98" s="553">
        <f t="shared" si="154"/>
        <v>18.929670416666667</v>
      </c>
      <c r="CW98" s="466"/>
      <c r="CX98" s="554">
        <f t="shared" si="155"/>
        <v>156.38861857619577</v>
      </c>
      <c r="CY98" s="588">
        <f t="shared" si="156"/>
        <v>765925.69</v>
      </c>
      <c r="CZ98" s="589">
        <f t="shared" si="156"/>
        <v>513.34525700504946</v>
      </c>
      <c r="DA98" s="590">
        <f t="shared" si="156"/>
        <v>18.929670416666667</v>
      </c>
      <c r="DB98" s="591">
        <f t="shared" si="157"/>
        <v>532.27492742171614</v>
      </c>
    </row>
    <row r="99" spans="1:170" ht="15.75" x14ac:dyDescent="0.25">
      <c r="A99" s="721">
        <f t="shared" si="166"/>
        <v>78</v>
      </c>
      <c r="B99" s="857" t="s">
        <v>173</v>
      </c>
      <c r="C99" s="847" t="s">
        <v>693</v>
      </c>
      <c r="D99" s="861"/>
      <c r="E99" s="862"/>
      <c r="F99" s="534">
        <v>44451.46</v>
      </c>
      <c r="G99" s="517">
        <f t="shared" si="171"/>
        <v>32.927007407407409</v>
      </c>
      <c r="H99" s="517"/>
      <c r="I99" s="534">
        <v>39749.550000000003</v>
      </c>
      <c r="J99" s="517">
        <f t="shared" si="172"/>
        <v>27.413482758620692</v>
      </c>
      <c r="K99" s="517"/>
      <c r="L99" s="534">
        <v>39966.589999999997</v>
      </c>
      <c r="M99" s="517">
        <f>+L99*0.02/22</f>
        <v>36.333263636363633</v>
      </c>
      <c r="N99" s="517"/>
      <c r="O99" s="534">
        <v>0</v>
      </c>
      <c r="P99" s="517">
        <f t="shared" si="173"/>
        <v>0</v>
      </c>
      <c r="Q99" s="517"/>
      <c r="R99" s="534">
        <v>1061.5</v>
      </c>
      <c r="S99" s="517">
        <f>+R99*0.02/1</f>
        <v>21.23</v>
      </c>
      <c r="T99" s="517"/>
      <c r="U99" s="534">
        <v>34380.17</v>
      </c>
      <c r="V99" s="517">
        <f t="shared" si="174"/>
        <v>21.487606249999999</v>
      </c>
      <c r="W99" s="517"/>
      <c r="X99" s="534">
        <v>0</v>
      </c>
      <c r="Y99" s="517">
        <f>+X99*0.02/40</f>
        <v>0</v>
      </c>
      <c r="Z99" s="517">
        <v>20</v>
      </c>
      <c r="AA99" s="534">
        <v>30759.91</v>
      </c>
      <c r="AB99" s="517">
        <f t="shared" si="137"/>
        <v>20.506606666666666</v>
      </c>
      <c r="AC99" s="517"/>
      <c r="AD99" s="534">
        <v>87477.440000000002</v>
      </c>
      <c r="AE99" s="517">
        <f t="shared" si="138"/>
        <v>51.457317647058822</v>
      </c>
      <c r="AF99" s="517"/>
      <c r="AG99" s="534">
        <v>0</v>
      </c>
      <c r="AH99" s="517">
        <f t="shared" si="175"/>
        <v>0</v>
      </c>
      <c r="AI99" s="517"/>
      <c r="AJ99" s="520">
        <v>63104.04</v>
      </c>
      <c r="AK99" s="517">
        <f t="shared" si="140"/>
        <v>37.12002352941176</v>
      </c>
      <c r="AL99" s="517"/>
      <c r="AM99" s="520">
        <v>37050.14</v>
      </c>
      <c r="AN99" s="517">
        <f t="shared" si="168"/>
        <v>27.444548148148147</v>
      </c>
      <c r="AO99" s="517"/>
      <c r="AP99" s="534">
        <v>0</v>
      </c>
      <c r="AQ99" s="517">
        <f t="shared" si="176"/>
        <v>0</v>
      </c>
      <c r="AR99" s="517"/>
      <c r="AS99" s="534">
        <v>87069.49</v>
      </c>
      <c r="AT99" s="517">
        <f t="shared" si="169"/>
        <v>56.173864516129036</v>
      </c>
      <c r="AU99" s="517"/>
      <c r="AV99" s="534"/>
      <c r="AW99" s="517">
        <f t="shared" si="177"/>
        <v>0</v>
      </c>
      <c r="AX99" s="517"/>
      <c r="AY99" s="534"/>
      <c r="AZ99" s="517">
        <f t="shared" si="178"/>
        <v>0</v>
      </c>
      <c r="BA99" s="517"/>
      <c r="BB99" s="463">
        <f t="shared" si="145"/>
        <v>465070.29</v>
      </c>
      <c r="BC99" s="464">
        <f t="shared" si="145"/>
        <v>332.09372055980617</v>
      </c>
      <c r="BD99" s="465">
        <f t="shared" si="145"/>
        <v>20</v>
      </c>
      <c r="BE99" s="466"/>
      <c r="BF99" s="467">
        <f t="shared" si="146"/>
        <v>352.09372055980617</v>
      </c>
      <c r="BG99" s="520">
        <v>28163.83</v>
      </c>
      <c r="BH99" s="517">
        <f t="shared" si="159"/>
        <v>18.170212903225806</v>
      </c>
      <c r="BI99" s="517"/>
      <c r="BJ99" s="534">
        <v>0</v>
      </c>
      <c r="BK99" s="517">
        <f t="shared" si="179"/>
        <v>0</v>
      </c>
      <c r="BL99" s="517"/>
      <c r="BM99" s="534">
        <v>37108.31</v>
      </c>
      <c r="BN99" s="517">
        <f t="shared" si="170"/>
        <v>25.591937931034483</v>
      </c>
      <c r="BO99" s="517"/>
      <c r="BP99" s="520">
        <v>42210.15</v>
      </c>
      <c r="BQ99" s="517">
        <f t="shared" si="160"/>
        <v>24.829500000000003</v>
      </c>
      <c r="BR99" s="517"/>
      <c r="BS99" s="534">
        <v>16489.21</v>
      </c>
      <c r="BT99" s="517">
        <f t="shared" si="167"/>
        <v>10.30575625</v>
      </c>
      <c r="BU99" s="520">
        <f t="shared" si="161"/>
        <v>4.69424375</v>
      </c>
      <c r="BV99" s="534">
        <v>37405.74</v>
      </c>
      <c r="BW99" s="517">
        <f t="shared" si="162"/>
        <v>24.132735483870967</v>
      </c>
      <c r="BX99" s="534"/>
      <c r="BY99" s="520">
        <v>8646.86</v>
      </c>
      <c r="BZ99" s="517">
        <f t="shared" si="163"/>
        <v>5.7645733333333338</v>
      </c>
      <c r="CA99" s="517">
        <f t="shared" si="164"/>
        <v>14.235426666666665</v>
      </c>
      <c r="CB99" s="534">
        <v>0</v>
      </c>
      <c r="CC99" s="517">
        <f t="shared" si="180"/>
        <v>0</v>
      </c>
      <c r="CD99" s="517"/>
      <c r="CE99" s="534">
        <v>0</v>
      </c>
      <c r="CF99" s="517">
        <f>+CE99*0.02/40</f>
        <v>0</v>
      </c>
      <c r="CG99" s="517"/>
      <c r="CH99" s="534">
        <v>0</v>
      </c>
      <c r="CI99" s="517">
        <f t="shared" si="181"/>
        <v>0</v>
      </c>
      <c r="CJ99" s="517"/>
      <c r="CK99" s="534">
        <v>0</v>
      </c>
      <c r="CL99" s="517">
        <f t="shared" si="182"/>
        <v>0</v>
      </c>
      <c r="CM99" s="517"/>
      <c r="CN99" s="534">
        <v>0</v>
      </c>
      <c r="CO99" s="517">
        <f t="shared" si="183"/>
        <v>0</v>
      </c>
      <c r="CP99" s="517"/>
      <c r="CQ99" s="534">
        <v>0</v>
      </c>
      <c r="CR99" s="517">
        <f t="shared" si="184"/>
        <v>0</v>
      </c>
      <c r="CS99" s="517"/>
      <c r="CT99" s="551">
        <f t="shared" si="153"/>
        <v>170024.09999999998</v>
      </c>
      <c r="CU99" s="552">
        <f t="shared" si="153"/>
        <v>108.79471590146458</v>
      </c>
      <c r="CV99" s="553">
        <f t="shared" si="154"/>
        <v>18.929670416666667</v>
      </c>
      <c r="CW99" s="466"/>
      <c r="CX99" s="554">
        <f t="shared" si="155"/>
        <v>127.72438631813125</v>
      </c>
      <c r="CY99" s="588">
        <f t="shared" si="156"/>
        <v>635094.3899999999</v>
      </c>
      <c r="CZ99" s="589">
        <f t="shared" si="156"/>
        <v>440.88843646127077</v>
      </c>
      <c r="DA99" s="590">
        <f t="shared" si="156"/>
        <v>38.929670416666667</v>
      </c>
      <c r="DB99" s="591">
        <f t="shared" si="157"/>
        <v>479.81810687793745</v>
      </c>
      <c r="DC99" s="192" t="s">
        <v>700</v>
      </c>
    </row>
    <row r="100" spans="1:170" ht="15.75" x14ac:dyDescent="0.25">
      <c r="A100" s="721">
        <f t="shared" si="166"/>
        <v>79</v>
      </c>
      <c r="B100" s="857" t="s">
        <v>191</v>
      </c>
      <c r="C100" s="847" t="s">
        <v>693</v>
      </c>
      <c r="D100" s="848"/>
      <c r="E100" s="860"/>
      <c r="F100" s="534">
        <v>44451.46</v>
      </c>
      <c r="G100" s="517">
        <f t="shared" si="171"/>
        <v>32.927007407407409</v>
      </c>
      <c r="H100" s="517"/>
      <c r="I100" s="534">
        <v>39749.550000000003</v>
      </c>
      <c r="J100" s="517">
        <f t="shared" si="172"/>
        <v>27.413482758620692</v>
      </c>
      <c r="K100" s="517"/>
      <c r="L100" s="534">
        <v>39966.589999999997</v>
      </c>
      <c r="M100" s="517">
        <f>+L100*0.02/22</f>
        <v>36.333263636363633</v>
      </c>
      <c r="N100" s="517"/>
      <c r="O100" s="534">
        <v>0</v>
      </c>
      <c r="P100" s="517">
        <f t="shared" si="173"/>
        <v>0</v>
      </c>
      <c r="Q100" s="517"/>
      <c r="R100" s="534">
        <v>57726.71</v>
      </c>
      <c r="S100" s="517">
        <f>+R100*0.02/28</f>
        <v>41.233364285714288</v>
      </c>
      <c r="T100" s="517"/>
      <c r="U100" s="534">
        <v>34380.17</v>
      </c>
      <c r="V100" s="517">
        <f t="shared" si="174"/>
        <v>21.487606249999999</v>
      </c>
      <c r="W100" s="517"/>
      <c r="X100" s="534">
        <v>29736.53</v>
      </c>
      <c r="Y100" s="517">
        <f>+X100*0.02/25</f>
        <v>23.789224000000001</v>
      </c>
      <c r="Z100" s="517"/>
      <c r="AA100" s="534">
        <v>30759.91</v>
      </c>
      <c r="AB100" s="517">
        <f t="shared" si="137"/>
        <v>20.506606666666666</v>
      </c>
      <c r="AC100" s="517"/>
      <c r="AD100" s="534">
        <v>87477.440000000002</v>
      </c>
      <c r="AE100" s="517">
        <f t="shared" si="138"/>
        <v>51.457317647058822</v>
      </c>
      <c r="AF100" s="517"/>
      <c r="AG100" s="534">
        <v>0</v>
      </c>
      <c r="AH100" s="517">
        <f t="shared" si="175"/>
        <v>0</v>
      </c>
      <c r="AI100" s="517"/>
      <c r="AJ100" s="520">
        <v>63104.04</v>
      </c>
      <c r="AK100" s="517">
        <f t="shared" si="140"/>
        <v>37.12002352941176</v>
      </c>
      <c r="AL100" s="517"/>
      <c r="AM100" s="520">
        <v>37050.14</v>
      </c>
      <c r="AN100" s="517">
        <f t="shared" si="168"/>
        <v>27.444548148148147</v>
      </c>
      <c r="AO100" s="517"/>
      <c r="AP100" s="534">
        <v>0</v>
      </c>
      <c r="AQ100" s="517">
        <f t="shared" si="176"/>
        <v>0</v>
      </c>
      <c r="AR100" s="517"/>
      <c r="AS100" s="534">
        <v>87069.49</v>
      </c>
      <c r="AT100" s="517">
        <f t="shared" si="169"/>
        <v>56.173864516129036</v>
      </c>
      <c r="AU100" s="517"/>
      <c r="AV100" s="534"/>
      <c r="AW100" s="517">
        <f t="shared" si="177"/>
        <v>0</v>
      </c>
      <c r="AX100" s="517"/>
      <c r="AY100" s="534"/>
      <c r="AZ100" s="517">
        <f t="shared" si="178"/>
        <v>0</v>
      </c>
      <c r="BA100" s="517"/>
      <c r="BB100" s="463">
        <f t="shared" si="145"/>
        <v>551472.03</v>
      </c>
      <c r="BC100" s="464">
        <f t="shared" si="145"/>
        <v>375.88630884552043</v>
      </c>
      <c r="BD100" s="465">
        <f t="shared" si="145"/>
        <v>0</v>
      </c>
      <c r="BE100" s="466"/>
      <c r="BF100" s="467">
        <f t="shared" si="146"/>
        <v>375.88630884552043</v>
      </c>
      <c r="BG100" s="520">
        <v>28163.83</v>
      </c>
      <c r="BH100" s="517">
        <f t="shared" si="159"/>
        <v>18.170212903225806</v>
      </c>
      <c r="BI100" s="517"/>
      <c r="BJ100" s="534">
        <v>0</v>
      </c>
      <c r="BK100" s="517">
        <f t="shared" si="179"/>
        <v>0</v>
      </c>
      <c r="BL100" s="517"/>
      <c r="BM100" s="534">
        <v>0</v>
      </c>
      <c r="BN100" s="585">
        <f t="shared" si="170"/>
        <v>0</v>
      </c>
      <c r="BO100" s="517"/>
      <c r="BP100" s="520">
        <v>0</v>
      </c>
      <c r="BQ100" s="517">
        <f t="shared" si="160"/>
        <v>0</v>
      </c>
      <c r="BR100" s="517"/>
      <c r="BS100" s="534">
        <v>0</v>
      </c>
      <c r="BT100" s="517">
        <f>+BS100*0.02/40</f>
        <v>0</v>
      </c>
      <c r="BU100" s="534"/>
      <c r="BV100" s="534">
        <v>0</v>
      </c>
      <c r="BW100" s="517">
        <f>+BV100*0.02/40</f>
        <v>0</v>
      </c>
      <c r="BX100" s="534"/>
      <c r="BY100" s="520">
        <v>8646.86</v>
      </c>
      <c r="BZ100" s="517">
        <f t="shared" si="163"/>
        <v>5.7645733333333338</v>
      </c>
      <c r="CA100" s="517">
        <f t="shared" si="164"/>
        <v>14.235426666666665</v>
      </c>
      <c r="CB100" s="534">
        <v>0</v>
      </c>
      <c r="CC100" s="517">
        <f t="shared" si="180"/>
        <v>0</v>
      </c>
      <c r="CD100" s="517"/>
      <c r="CE100" s="520">
        <v>44429.56</v>
      </c>
      <c r="CF100" s="517">
        <f>+CE100*0.02/31</f>
        <v>28.664232258064516</v>
      </c>
      <c r="CG100" s="517"/>
      <c r="CH100" s="534">
        <v>0</v>
      </c>
      <c r="CI100" s="517">
        <f t="shared" si="181"/>
        <v>0</v>
      </c>
      <c r="CJ100" s="517"/>
      <c r="CK100" s="534">
        <v>0</v>
      </c>
      <c r="CL100" s="517">
        <f t="shared" si="182"/>
        <v>0</v>
      </c>
      <c r="CM100" s="517"/>
      <c r="CN100" s="534">
        <v>0</v>
      </c>
      <c r="CO100" s="517">
        <f t="shared" si="183"/>
        <v>0</v>
      </c>
      <c r="CP100" s="517"/>
      <c r="CQ100" s="534">
        <v>0</v>
      </c>
      <c r="CR100" s="517">
        <f t="shared" si="184"/>
        <v>0</v>
      </c>
      <c r="CS100" s="517"/>
      <c r="CT100" s="551">
        <f t="shared" si="153"/>
        <v>81240.25</v>
      </c>
      <c r="CU100" s="552">
        <f t="shared" si="153"/>
        <v>52.599018494623657</v>
      </c>
      <c r="CV100" s="553">
        <f t="shared" si="154"/>
        <v>14.235426666666665</v>
      </c>
      <c r="CW100" s="466"/>
      <c r="CX100" s="554">
        <f t="shared" si="155"/>
        <v>66.834445161290319</v>
      </c>
      <c r="CY100" s="588">
        <f t="shared" si="156"/>
        <v>632712.28</v>
      </c>
      <c r="CZ100" s="589">
        <f t="shared" si="156"/>
        <v>428.48532734014407</v>
      </c>
      <c r="DA100" s="590">
        <f t="shared" si="156"/>
        <v>14.235426666666665</v>
      </c>
      <c r="DB100" s="591">
        <f t="shared" si="157"/>
        <v>442.72075400681075</v>
      </c>
      <c r="DC100" s="192" t="s">
        <v>701</v>
      </c>
    </row>
    <row r="101" spans="1:170" ht="15.75" x14ac:dyDescent="0.25">
      <c r="A101" s="721">
        <f t="shared" si="166"/>
        <v>80</v>
      </c>
      <c r="B101" s="846" t="s">
        <v>182</v>
      </c>
      <c r="C101" s="847" t="s">
        <v>693</v>
      </c>
      <c r="D101" s="848"/>
      <c r="E101" s="860"/>
      <c r="F101" s="534">
        <v>0</v>
      </c>
      <c r="G101" s="517">
        <f>+F101*0.02/40</f>
        <v>0</v>
      </c>
      <c r="H101" s="517">
        <v>20</v>
      </c>
      <c r="I101" s="534">
        <v>0</v>
      </c>
      <c r="J101" s="517">
        <f>+I101*0.02/40</f>
        <v>0</v>
      </c>
      <c r="K101" s="517">
        <v>20</v>
      </c>
      <c r="L101" s="534">
        <v>0</v>
      </c>
      <c r="M101" s="517">
        <f>+L101*0.02/40</f>
        <v>0</v>
      </c>
      <c r="N101" s="517">
        <v>20</v>
      </c>
      <c r="O101" s="534">
        <v>0</v>
      </c>
      <c r="P101" s="517">
        <f t="shared" si="173"/>
        <v>0</v>
      </c>
      <c r="Q101" s="517">
        <v>20</v>
      </c>
      <c r="R101" s="534">
        <v>57726.71</v>
      </c>
      <c r="S101" s="517">
        <f>+R101*0.02/28</f>
        <v>41.233364285714288</v>
      </c>
      <c r="T101" s="517"/>
      <c r="U101" s="534">
        <v>34380.17</v>
      </c>
      <c r="V101" s="517">
        <f t="shared" si="174"/>
        <v>21.487606249999999</v>
      </c>
      <c r="W101" s="517"/>
      <c r="X101" s="534">
        <v>29736.53</v>
      </c>
      <c r="Y101" s="517">
        <f>+X101*0.02/25</f>
        <v>23.789224000000001</v>
      </c>
      <c r="Z101" s="517"/>
      <c r="AA101" s="534">
        <v>30759.91</v>
      </c>
      <c r="AB101" s="517">
        <f t="shared" si="137"/>
        <v>20.506606666666666</v>
      </c>
      <c r="AC101" s="517"/>
      <c r="AD101" s="534">
        <v>87477.440000000002</v>
      </c>
      <c r="AE101" s="517">
        <f t="shared" si="138"/>
        <v>51.457317647058822</v>
      </c>
      <c r="AF101" s="517"/>
      <c r="AG101" s="534">
        <v>0</v>
      </c>
      <c r="AH101" s="517">
        <f t="shared" si="175"/>
        <v>0</v>
      </c>
      <c r="AI101" s="517"/>
      <c r="AJ101" s="520">
        <v>63104.04</v>
      </c>
      <c r="AK101" s="517">
        <f t="shared" si="140"/>
        <v>37.12002352941176</v>
      </c>
      <c r="AL101" s="517"/>
      <c r="AM101" s="520">
        <v>37050.14</v>
      </c>
      <c r="AN101" s="517">
        <f t="shared" si="168"/>
        <v>27.444548148148147</v>
      </c>
      <c r="AO101" s="517"/>
      <c r="AP101" s="534">
        <v>0</v>
      </c>
      <c r="AQ101" s="517">
        <f t="shared" si="176"/>
        <v>0</v>
      </c>
      <c r="AR101" s="517">
        <v>20</v>
      </c>
      <c r="AS101" s="534">
        <v>87069.49</v>
      </c>
      <c r="AT101" s="517">
        <f t="shared" si="169"/>
        <v>56.173864516129036</v>
      </c>
      <c r="AU101" s="517"/>
      <c r="AV101" s="534"/>
      <c r="AW101" s="517">
        <f t="shared" si="177"/>
        <v>0</v>
      </c>
      <c r="AX101" s="517"/>
      <c r="AY101" s="534"/>
      <c r="AZ101" s="517">
        <f t="shared" si="178"/>
        <v>0</v>
      </c>
      <c r="BA101" s="517"/>
      <c r="BB101" s="463">
        <f t="shared" si="145"/>
        <v>427304.43</v>
      </c>
      <c r="BC101" s="464">
        <f t="shared" si="145"/>
        <v>279.2125550431287</v>
      </c>
      <c r="BD101" s="465">
        <f t="shared" si="145"/>
        <v>100</v>
      </c>
      <c r="BE101" s="466"/>
      <c r="BF101" s="467">
        <f t="shared" si="146"/>
        <v>379.2125550431287</v>
      </c>
      <c r="BG101" s="520">
        <v>28163.83</v>
      </c>
      <c r="BH101" s="517">
        <f t="shared" si="159"/>
        <v>18.170212903225806</v>
      </c>
      <c r="BI101" s="517"/>
      <c r="BJ101" s="534">
        <v>0</v>
      </c>
      <c r="BK101" s="517">
        <f t="shared" si="179"/>
        <v>0</v>
      </c>
      <c r="BL101" s="517"/>
      <c r="BM101" s="534">
        <v>37108.31</v>
      </c>
      <c r="BN101" s="517">
        <f t="shared" si="170"/>
        <v>25.591937931034483</v>
      </c>
      <c r="BO101" s="517"/>
      <c r="BP101" s="520">
        <v>42210.15</v>
      </c>
      <c r="BQ101" s="517">
        <f t="shared" si="160"/>
        <v>24.829500000000003</v>
      </c>
      <c r="BR101" s="517"/>
      <c r="BS101" s="534">
        <v>16489.21</v>
      </c>
      <c r="BT101" s="517">
        <f>+BS101*0.02/32</f>
        <v>10.30575625</v>
      </c>
      <c r="BU101" s="520">
        <f>15-BT101</f>
        <v>4.69424375</v>
      </c>
      <c r="BV101" s="534">
        <v>37405.74</v>
      </c>
      <c r="BW101" s="517">
        <f>+BV101*0.02/31</f>
        <v>24.132735483870967</v>
      </c>
      <c r="BX101" s="534"/>
      <c r="BY101" s="520">
        <v>8646.86</v>
      </c>
      <c r="BZ101" s="517">
        <f t="shared" si="163"/>
        <v>5.7645733333333338</v>
      </c>
      <c r="CA101" s="517">
        <f t="shared" si="164"/>
        <v>14.235426666666665</v>
      </c>
      <c r="CB101" s="534">
        <v>0</v>
      </c>
      <c r="CC101" s="517">
        <f t="shared" si="180"/>
        <v>0</v>
      </c>
      <c r="CD101" s="517"/>
      <c r="CE101" s="520">
        <v>44429.56</v>
      </c>
      <c r="CF101" s="517">
        <f>+CE101*0.02/31</f>
        <v>28.664232258064516</v>
      </c>
      <c r="CG101" s="517"/>
      <c r="CH101" s="520">
        <v>0</v>
      </c>
      <c r="CI101" s="671">
        <f t="shared" si="181"/>
        <v>0</v>
      </c>
      <c r="CJ101" s="517">
        <v>20</v>
      </c>
      <c r="CK101" s="534">
        <v>0</v>
      </c>
      <c r="CL101" s="517">
        <f t="shared" si="182"/>
        <v>0</v>
      </c>
      <c r="CM101" s="517"/>
      <c r="CN101" s="534">
        <v>0</v>
      </c>
      <c r="CO101" s="517">
        <f t="shared" si="183"/>
        <v>0</v>
      </c>
      <c r="CP101" s="517"/>
      <c r="CQ101" s="534">
        <v>0</v>
      </c>
      <c r="CR101" s="517">
        <f t="shared" si="184"/>
        <v>0</v>
      </c>
      <c r="CS101" s="517"/>
      <c r="CT101" s="551">
        <f t="shared" si="153"/>
        <v>214453.65999999997</v>
      </c>
      <c r="CU101" s="552">
        <f t="shared" si="153"/>
        <v>137.45894815952909</v>
      </c>
      <c r="CV101" s="553">
        <f t="shared" si="154"/>
        <v>38.929670416666667</v>
      </c>
      <c r="CW101" s="466"/>
      <c r="CX101" s="554">
        <f t="shared" si="155"/>
        <v>176.38861857619577</v>
      </c>
      <c r="CY101" s="588">
        <f t="shared" si="156"/>
        <v>641758.09</v>
      </c>
      <c r="CZ101" s="589">
        <f t="shared" si="156"/>
        <v>416.67150320265779</v>
      </c>
      <c r="DA101" s="590">
        <f t="shared" si="156"/>
        <v>138.92967041666668</v>
      </c>
      <c r="DB101" s="591">
        <f t="shared" si="157"/>
        <v>555.60117361932453</v>
      </c>
    </row>
    <row r="102" spans="1:170" ht="15.75" x14ac:dyDescent="0.25">
      <c r="A102" s="721">
        <f t="shared" si="166"/>
        <v>81</v>
      </c>
      <c r="B102" s="850" t="s">
        <v>181</v>
      </c>
      <c r="C102" s="847" t="s">
        <v>693</v>
      </c>
      <c r="D102" s="848"/>
      <c r="E102" s="860"/>
      <c r="F102" s="534">
        <v>44451.46</v>
      </c>
      <c r="G102" s="517">
        <f>+F102*0.02/27</f>
        <v>32.927007407407409</v>
      </c>
      <c r="H102" s="517"/>
      <c r="I102" s="534">
        <v>39749.550000000003</v>
      </c>
      <c r="J102" s="517">
        <f>+I102*0.02/29</f>
        <v>27.413482758620692</v>
      </c>
      <c r="K102" s="517"/>
      <c r="L102" s="534">
        <v>39966.589999999997</v>
      </c>
      <c r="M102" s="517">
        <f>+L102*0.02/22</f>
        <v>36.333263636363633</v>
      </c>
      <c r="N102" s="517"/>
      <c r="O102" s="534">
        <v>0</v>
      </c>
      <c r="P102" s="517">
        <f t="shared" si="173"/>
        <v>0</v>
      </c>
      <c r="Q102" s="517"/>
      <c r="R102" s="534">
        <v>57726.71</v>
      </c>
      <c r="S102" s="517">
        <f>+R102*0.02/28</f>
        <v>41.233364285714288</v>
      </c>
      <c r="T102" s="517"/>
      <c r="U102" s="534">
        <v>34380.17</v>
      </c>
      <c r="V102" s="517">
        <f t="shared" si="174"/>
        <v>21.487606249999999</v>
      </c>
      <c r="W102" s="517"/>
      <c r="X102" s="534">
        <v>29736.53</v>
      </c>
      <c r="Y102" s="517">
        <f>+X102*0.02/25</f>
        <v>23.789224000000001</v>
      </c>
      <c r="Z102" s="517"/>
      <c r="AA102" s="534">
        <v>30759.91</v>
      </c>
      <c r="AB102" s="517">
        <f t="shared" si="137"/>
        <v>20.506606666666666</v>
      </c>
      <c r="AC102" s="517"/>
      <c r="AD102" s="534">
        <v>87477.440000000002</v>
      </c>
      <c r="AE102" s="517">
        <f t="shared" si="138"/>
        <v>51.457317647058822</v>
      </c>
      <c r="AF102" s="517"/>
      <c r="AG102" s="534">
        <v>0</v>
      </c>
      <c r="AH102" s="517">
        <f t="shared" si="175"/>
        <v>0</v>
      </c>
      <c r="AI102" s="517"/>
      <c r="AJ102" s="520">
        <v>63104.04</v>
      </c>
      <c r="AK102" s="517">
        <f t="shared" si="140"/>
        <v>37.12002352941176</v>
      </c>
      <c r="AL102" s="517"/>
      <c r="AM102" s="520">
        <v>37050.14</v>
      </c>
      <c r="AN102" s="517">
        <f t="shared" si="168"/>
        <v>27.444548148148147</v>
      </c>
      <c r="AO102" s="517"/>
      <c r="AP102" s="534">
        <v>0</v>
      </c>
      <c r="AQ102" s="517">
        <f t="shared" si="176"/>
        <v>0</v>
      </c>
      <c r="AR102" s="517"/>
      <c r="AS102" s="534">
        <v>87069.49</v>
      </c>
      <c r="AT102" s="517">
        <f t="shared" si="169"/>
        <v>56.173864516129036</v>
      </c>
      <c r="AU102" s="517"/>
      <c r="AV102" s="534"/>
      <c r="AW102" s="517">
        <f t="shared" si="177"/>
        <v>0</v>
      </c>
      <c r="AX102" s="517"/>
      <c r="AY102" s="534"/>
      <c r="AZ102" s="517">
        <f t="shared" si="178"/>
        <v>0</v>
      </c>
      <c r="BA102" s="517"/>
      <c r="BB102" s="463">
        <f t="shared" si="145"/>
        <v>551472.03</v>
      </c>
      <c r="BC102" s="464">
        <f t="shared" si="145"/>
        <v>375.88630884552043</v>
      </c>
      <c r="BD102" s="465">
        <f t="shared" si="145"/>
        <v>0</v>
      </c>
      <c r="BE102" s="466"/>
      <c r="BF102" s="467">
        <f t="shared" si="146"/>
        <v>375.88630884552043</v>
      </c>
      <c r="BG102" s="520">
        <v>28163.83</v>
      </c>
      <c r="BH102" s="517">
        <f t="shared" si="159"/>
        <v>18.170212903225806</v>
      </c>
      <c r="BI102" s="517"/>
      <c r="BJ102" s="534">
        <v>0</v>
      </c>
      <c r="BK102" s="517">
        <f t="shared" si="179"/>
        <v>0</v>
      </c>
      <c r="BL102" s="517"/>
      <c r="BM102" s="534">
        <v>37108.31</v>
      </c>
      <c r="BN102" s="517">
        <f t="shared" si="170"/>
        <v>25.591937931034483</v>
      </c>
      <c r="BO102" s="517"/>
      <c r="BP102" s="520">
        <v>42210.15</v>
      </c>
      <c r="BQ102" s="517">
        <f t="shared" si="160"/>
        <v>24.829500000000003</v>
      </c>
      <c r="BR102" s="517"/>
      <c r="BS102" s="534">
        <v>16489.21</v>
      </c>
      <c r="BT102" s="517">
        <f>+BS102*0.02/32</f>
        <v>10.30575625</v>
      </c>
      <c r="BU102" s="520">
        <f>15-BT102</f>
        <v>4.69424375</v>
      </c>
      <c r="BV102" s="534">
        <v>37405.74</v>
      </c>
      <c r="BW102" s="517">
        <f>+BV102*0.02/31</f>
        <v>24.132735483870967</v>
      </c>
      <c r="BX102" s="534"/>
      <c r="BY102" s="520">
        <v>8646.86</v>
      </c>
      <c r="BZ102" s="517">
        <f t="shared" si="163"/>
        <v>5.7645733333333338</v>
      </c>
      <c r="CA102" s="517">
        <f t="shared" si="164"/>
        <v>14.235426666666665</v>
      </c>
      <c r="CB102" s="534">
        <v>0</v>
      </c>
      <c r="CC102" s="517">
        <f t="shared" si="180"/>
        <v>0</v>
      </c>
      <c r="CD102" s="517"/>
      <c r="CE102" s="520">
        <v>44429.56</v>
      </c>
      <c r="CF102" s="517">
        <f>+CE102*0.02/31</f>
        <v>28.664232258064516</v>
      </c>
      <c r="CG102" s="517"/>
      <c r="CH102" s="534">
        <v>0</v>
      </c>
      <c r="CI102" s="517">
        <f t="shared" si="181"/>
        <v>0</v>
      </c>
      <c r="CJ102" s="517"/>
      <c r="CK102" s="534">
        <v>0</v>
      </c>
      <c r="CL102" s="517">
        <f t="shared" si="182"/>
        <v>0</v>
      </c>
      <c r="CM102" s="517"/>
      <c r="CN102" s="534">
        <v>0</v>
      </c>
      <c r="CO102" s="517">
        <f t="shared" si="183"/>
        <v>0</v>
      </c>
      <c r="CP102" s="517"/>
      <c r="CQ102" s="534">
        <v>0</v>
      </c>
      <c r="CR102" s="517">
        <f t="shared" si="184"/>
        <v>0</v>
      </c>
      <c r="CS102" s="517"/>
      <c r="CT102" s="551">
        <f t="shared" si="153"/>
        <v>214453.65999999997</v>
      </c>
      <c r="CU102" s="552">
        <f t="shared" si="153"/>
        <v>137.45894815952909</v>
      </c>
      <c r="CV102" s="553">
        <f t="shared" si="154"/>
        <v>18.929670416666667</v>
      </c>
      <c r="CW102" s="466"/>
      <c r="CX102" s="554">
        <f t="shared" si="155"/>
        <v>156.38861857619577</v>
      </c>
      <c r="CY102" s="588">
        <f t="shared" si="156"/>
        <v>765925.69</v>
      </c>
      <c r="CZ102" s="589">
        <f t="shared" si="156"/>
        <v>513.34525700504946</v>
      </c>
      <c r="DA102" s="590">
        <f t="shared" si="156"/>
        <v>18.929670416666667</v>
      </c>
      <c r="DB102" s="591">
        <f t="shared" si="157"/>
        <v>532.27492742171614</v>
      </c>
    </row>
    <row r="103" spans="1:170" ht="15.75" x14ac:dyDescent="0.25">
      <c r="A103" s="721">
        <f t="shared" si="166"/>
        <v>82</v>
      </c>
      <c r="B103" s="857" t="s">
        <v>178</v>
      </c>
      <c r="C103" s="847" t="s">
        <v>693</v>
      </c>
      <c r="D103" s="848" t="s">
        <v>702</v>
      </c>
      <c r="E103" s="858" t="s">
        <v>703</v>
      </c>
      <c r="F103" s="534">
        <v>0</v>
      </c>
      <c r="G103" s="517">
        <f>+F103*0.02/40</f>
        <v>0</v>
      </c>
      <c r="H103" s="517">
        <v>20</v>
      </c>
      <c r="I103" s="534">
        <v>0</v>
      </c>
      <c r="J103" s="517">
        <f>+I103*0.02/40</f>
        <v>0</v>
      </c>
      <c r="K103" s="517">
        <v>20</v>
      </c>
      <c r="L103" s="534">
        <v>0</v>
      </c>
      <c r="M103" s="517">
        <f>+L103*0.02/40</f>
        <v>0</v>
      </c>
      <c r="N103" s="517">
        <v>20</v>
      </c>
      <c r="O103" s="534">
        <v>0</v>
      </c>
      <c r="P103" s="517">
        <f t="shared" si="173"/>
        <v>0</v>
      </c>
      <c r="Q103" s="517">
        <v>20</v>
      </c>
      <c r="R103" s="534">
        <v>0</v>
      </c>
      <c r="S103" s="517">
        <f>+R103*0.02/40</f>
        <v>0</v>
      </c>
      <c r="T103" s="517">
        <v>20</v>
      </c>
      <c r="U103" s="534">
        <v>34380.17</v>
      </c>
      <c r="V103" s="517">
        <f t="shared" si="174"/>
        <v>21.487606249999999</v>
      </c>
      <c r="W103" s="517"/>
      <c r="X103" s="534">
        <v>29736.53</v>
      </c>
      <c r="Y103" s="517">
        <f>+X103*0.02/25</f>
        <v>23.789224000000001</v>
      </c>
      <c r="Z103" s="517"/>
      <c r="AA103" s="534">
        <v>0</v>
      </c>
      <c r="AB103" s="517">
        <f>+AA103*0.02/40</f>
        <v>0</v>
      </c>
      <c r="AC103" s="517">
        <v>20</v>
      </c>
      <c r="AD103" s="534">
        <v>87477.440000000002</v>
      </c>
      <c r="AE103" s="517">
        <f t="shared" si="138"/>
        <v>51.457317647058822</v>
      </c>
      <c r="AF103" s="517"/>
      <c r="AG103" s="534">
        <v>0</v>
      </c>
      <c r="AH103" s="517">
        <f t="shared" si="175"/>
        <v>0</v>
      </c>
      <c r="AI103" s="517"/>
      <c r="AJ103" s="520">
        <v>63104.04</v>
      </c>
      <c r="AK103" s="517">
        <f t="shared" si="140"/>
        <v>37.12002352941176</v>
      </c>
      <c r="AL103" s="517"/>
      <c r="AM103" s="534">
        <v>0</v>
      </c>
      <c r="AN103" s="517">
        <f t="shared" ref="AN103:AN105" si="185">+AM103*0.02/40</f>
        <v>0</v>
      </c>
      <c r="AO103" s="517">
        <v>20</v>
      </c>
      <c r="AP103" s="534">
        <v>0</v>
      </c>
      <c r="AQ103" s="517">
        <f t="shared" si="176"/>
        <v>0</v>
      </c>
      <c r="AR103" s="517">
        <v>20</v>
      </c>
      <c r="AS103" s="534">
        <v>87069.49</v>
      </c>
      <c r="AT103" s="517">
        <f t="shared" si="169"/>
        <v>56.173864516129036</v>
      </c>
      <c r="AU103" s="517"/>
      <c r="AV103" s="534"/>
      <c r="AW103" s="517">
        <f t="shared" si="177"/>
        <v>0</v>
      </c>
      <c r="AX103" s="517"/>
      <c r="AY103" s="534"/>
      <c r="AZ103" s="517">
        <f t="shared" si="178"/>
        <v>0</v>
      </c>
      <c r="BA103" s="517"/>
      <c r="BB103" s="463">
        <f t="shared" si="145"/>
        <v>301767.67000000004</v>
      </c>
      <c r="BC103" s="464">
        <f t="shared" si="145"/>
        <v>190.02803594259962</v>
      </c>
      <c r="BD103" s="465">
        <f t="shared" si="145"/>
        <v>160</v>
      </c>
      <c r="BE103" s="466"/>
      <c r="BF103" s="467">
        <f t="shared" si="146"/>
        <v>350.02803594259962</v>
      </c>
      <c r="BG103" s="520">
        <v>28163.83</v>
      </c>
      <c r="BH103" s="517">
        <f t="shared" si="159"/>
        <v>18.170212903225806</v>
      </c>
      <c r="BI103" s="517"/>
      <c r="BJ103" s="534">
        <v>0</v>
      </c>
      <c r="BK103" s="517">
        <f t="shared" si="179"/>
        <v>0</v>
      </c>
      <c r="BL103" s="517"/>
      <c r="BM103" s="534">
        <v>37108.31</v>
      </c>
      <c r="BN103" s="517">
        <f t="shared" si="170"/>
        <v>25.591937931034483</v>
      </c>
      <c r="BO103" s="517"/>
      <c r="BP103" s="520">
        <v>42210.15</v>
      </c>
      <c r="BQ103" s="517">
        <f t="shared" si="160"/>
        <v>24.829500000000003</v>
      </c>
      <c r="BR103" s="517"/>
      <c r="BS103" s="534">
        <v>16489.21</v>
      </c>
      <c r="BT103" s="517">
        <f>+BS103*0.02/32</f>
        <v>10.30575625</v>
      </c>
      <c r="BU103" s="520">
        <f>15-BT103</f>
        <v>4.69424375</v>
      </c>
      <c r="BV103" s="534">
        <v>37405.74</v>
      </c>
      <c r="BW103" s="517">
        <f>+BV103*0.02/31</f>
        <v>24.132735483870967</v>
      </c>
      <c r="BX103" s="534"/>
      <c r="BY103" s="520">
        <v>8646.86</v>
      </c>
      <c r="BZ103" s="517">
        <f t="shared" si="163"/>
        <v>5.7645733333333338</v>
      </c>
      <c r="CA103" s="517">
        <f t="shared" si="164"/>
        <v>14.235426666666665</v>
      </c>
      <c r="CB103" s="534">
        <v>0</v>
      </c>
      <c r="CC103" s="517">
        <f t="shared" si="180"/>
        <v>0</v>
      </c>
      <c r="CD103" s="517"/>
      <c r="CE103" s="520">
        <v>44429.56</v>
      </c>
      <c r="CF103" s="517">
        <f>+CE103*0.02/31</f>
        <v>28.664232258064516</v>
      </c>
      <c r="CG103" s="517"/>
      <c r="CH103" s="520">
        <v>0</v>
      </c>
      <c r="CI103" s="671">
        <f t="shared" si="181"/>
        <v>0</v>
      </c>
      <c r="CJ103" s="517">
        <v>20</v>
      </c>
      <c r="CK103" s="520">
        <v>0</v>
      </c>
      <c r="CL103" s="671">
        <f t="shared" si="182"/>
        <v>0</v>
      </c>
      <c r="CM103" s="517">
        <v>20</v>
      </c>
      <c r="CN103" s="534">
        <v>0</v>
      </c>
      <c r="CO103" s="517">
        <f t="shared" si="183"/>
        <v>0</v>
      </c>
      <c r="CP103" s="517"/>
      <c r="CQ103" s="534">
        <v>0</v>
      </c>
      <c r="CR103" s="517">
        <f t="shared" si="184"/>
        <v>0</v>
      </c>
      <c r="CS103" s="517"/>
      <c r="CT103" s="551">
        <f t="shared" si="153"/>
        <v>214453.65999999997</v>
      </c>
      <c r="CU103" s="552">
        <f t="shared" si="153"/>
        <v>137.45894815952909</v>
      </c>
      <c r="CV103" s="553">
        <f t="shared" si="154"/>
        <v>58.929670416666667</v>
      </c>
      <c r="CW103" s="466"/>
      <c r="CX103" s="554">
        <f t="shared" si="155"/>
        <v>196.38861857619577</v>
      </c>
      <c r="CY103" s="588">
        <f t="shared" si="156"/>
        <v>516221.33</v>
      </c>
      <c r="CZ103" s="589">
        <f t="shared" si="156"/>
        <v>327.4869841021287</v>
      </c>
      <c r="DA103" s="590">
        <f t="shared" si="156"/>
        <v>218.92967041666668</v>
      </c>
      <c r="DB103" s="591">
        <f t="shared" si="157"/>
        <v>546.41665451879544</v>
      </c>
    </row>
    <row r="104" spans="1:170" s="535" customFormat="1" ht="15.75" x14ac:dyDescent="0.25">
      <c r="A104" s="721">
        <f t="shared" si="166"/>
        <v>83</v>
      </c>
      <c r="B104" s="864" t="s">
        <v>197</v>
      </c>
      <c r="C104" s="865" t="s">
        <v>693</v>
      </c>
      <c r="D104" s="866" t="s">
        <v>707</v>
      </c>
      <c r="E104" s="867" t="s">
        <v>708</v>
      </c>
      <c r="F104" s="868"/>
      <c r="G104" s="869">
        <f>+F104*0.02/40</f>
        <v>0</v>
      </c>
      <c r="H104" s="869"/>
      <c r="I104" s="868"/>
      <c r="J104" s="869">
        <f>+I104*0.02/40</f>
        <v>0</v>
      </c>
      <c r="K104" s="869"/>
      <c r="L104" s="868"/>
      <c r="M104" s="869">
        <f>+L104*0.02/40</f>
        <v>0</v>
      </c>
      <c r="N104" s="869"/>
      <c r="O104" s="868"/>
      <c r="P104" s="869">
        <f t="shared" si="173"/>
        <v>0</v>
      </c>
      <c r="Q104" s="869"/>
      <c r="R104" s="868"/>
      <c r="S104" s="869">
        <f>+R104*0.02/40</f>
        <v>0</v>
      </c>
      <c r="T104" s="869"/>
      <c r="U104" s="868"/>
      <c r="V104" s="869">
        <f>+U104*0.02/40</f>
        <v>0</v>
      </c>
      <c r="W104" s="869"/>
      <c r="X104" s="868"/>
      <c r="Y104" s="869">
        <f>+X104*0.02/40</f>
        <v>0</v>
      </c>
      <c r="Z104" s="869"/>
      <c r="AA104" s="868"/>
      <c r="AB104" s="869">
        <f>+AA104*0.02/40</f>
        <v>0</v>
      </c>
      <c r="AC104" s="869"/>
      <c r="AD104" s="868"/>
      <c r="AE104" s="869">
        <f>+AD104*0.02/40</f>
        <v>0</v>
      </c>
      <c r="AF104" s="869"/>
      <c r="AG104" s="868"/>
      <c r="AH104" s="869">
        <f t="shared" si="175"/>
        <v>0</v>
      </c>
      <c r="AI104" s="869"/>
      <c r="AJ104" s="868"/>
      <c r="AK104" s="869">
        <f>+AJ104*0.02/40</f>
        <v>0</v>
      </c>
      <c r="AL104" s="869"/>
      <c r="AM104" s="868"/>
      <c r="AN104" s="869">
        <f t="shared" si="185"/>
        <v>0</v>
      </c>
      <c r="AO104" s="869"/>
      <c r="AP104" s="868"/>
      <c r="AQ104" s="869">
        <f t="shared" si="176"/>
        <v>0</v>
      </c>
      <c r="AR104" s="869"/>
      <c r="AS104" s="868"/>
      <c r="AT104" s="869">
        <f>+AS104*0.02/40</f>
        <v>0</v>
      </c>
      <c r="AU104" s="869"/>
      <c r="AV104" s="868"/>
      <c r="AW104" s="869">
        <f t="shared" si="177"/>
        <v>0</v>
      </c>
      <c r="AX104" s="869"/>
      <c r="AY104" s="868"/>
      <c r="AZ104" s="869">
        <f t="shared" si="178"/>
        <v>0</v>
      </c>
      <c r="BA104" s="869"/>
      <c r="BB104" s="870">
        <f t="shared" si="145"/>
        <v>0</v>
      </c>
      <c r="BC104" s="871">
        <f t="shared" si="145"/>
        <v>0</v>
      </c>
      <c r="BD104" s="872">
        <f t="shared" si="145"/>
        <v>0</v>
      </c>
      <c r="BE104" s="873"/>
      <c r="BF104" s="874">
        <f t="shared" si="146"/>
        <v>0</v>
      </c>
      <c r="BG104" s="868"/>
      <c r="BH104" s="869">
        <f>+BG104*0.02/40</f>
        <v>0</v>
      </c>
      <c r="BI104" s="869"/>
      <c r="BJ104" s="868"/>
      <c r="BK104" s="869">
        <f t="shared" si="179"/>
        <v>0</v>
      </c>
      <c r="BL104" s="869"/>
      <c r="BM104" s="868"/>
      <c r="BN104" s="869">
        <f>+BM104*0.02/40</f>
        <v>0</v>
      </c>
      <c r="BO104" s="869"/>
      <c r="BP104" s="868"/>
      <c r="BQ104" s="869">
        <f>+BP104*0.02/40</f>
        <v>0</v>
      </c>
      <c r="BR104" s="869"/>
      <c r="BS104" s="868"/>
      <c r="BT104" s="869">
        <f>+BS104*0.02/40</f>
        <v>0</v>
      </c>
      <c r="BU104" s="869"/>
      <c r="BV104" s="869">
        <f>+BU104*0.02/40</f>
        <v>0</v>
      </c>
      <c r="BW104" s="869"/>
      <c r="BX104" s="869"/>
      <c r="BY104" s="868"/>
      <c r="BZ104" s="869">
        <f>+BY104*0.02/40</f>
        <v>0</v>
      </c>
      <c r="CA104" s="869"/>
      <c r="CB104" s="868"/>
      <c r="CC104" s="869">
        <f t="shared" si="180"/>
        <v>0</v>
      </c>
      <c r="CD104" s="869"/>
      <c r="CE104" s="868"/>
      <c r="CF104" s="869">
        <f>+CE104*0.02/40</f>
        <v>0</v>
      </c>
      <c r="CG104" s="869"/>
      <c r="CH104" s="868"/>
      <c r="CI104" s="869">
        <f t="shared" si="181"/>
        <v>0</v>
      </c>
      <c r="CJ104" s="869"/>
      <c r="CK104" s="868"/>
      <c r="CL104" s="869">
        <f t="shared" si="182"/>
        <v>0</v>
      </c>
      <c r="CM104" s="869"/>
      <c r="CN104" s="868"/>
      <c r="CO104" s="869">
        <f t="shared" si="183"/>
        <v>0</v>
      </c>
      <c r="CP104" s="869"/>
      <c r="CQ104" s="868"/>
      <c r="CR104" s="869">
        <f t="shared" si="184"/>
        <v>0</v>
      </c>
      <c r="CS104" s="869"/>
      <c r="CT104" s="875">
        <f t="shared" si="153"/>
        <v>0</v>
      </c>
      <c r="CU104" s="876">
        <f t="shared" si="153"/>
        <v>0</v>
      </c>
      <c r="CV104" s="872">
        <f t="shared" si="154"/>
        <v>0</v>
      </c>
      <c r="CW104" s="873"/>
      <c r="CX104" s="877">
        <f t="shared" si="155"/>
        <v>0</v>
      </c>
      <c r="CY104" s="878">
        <f t="shared" si="156"/>
        <v>0</v>
      </c>
      <c r="CZ104" s="879">
        <f t="shared" si="156"/>
        <v>0</v>
      </c>
      <c r="DA104" s="879">
        <f t="shared" si="156"/>
        <v>0</v>
      </c>
      <c r="DB104" s="880">
        <f t="shared" si="157"/>
        <v>0</v>
      </c>
      <c r="DC104" s="535" t="s">
        <v>663</v>
      </c>
      <c r="DD104" s="398"/>
      <c r="DE104" s="398"/>
      <c r="DF104" s="398"/>
      <c r="DG104" s="398"/>
      <c r="DH104" s="398"/>
      <c r="DI104" s="398"/>
      <c r="DJ104" s="398"/>
      <c r="DK104" s="398"/>
      <c r="DL104" s="398"/>
      <c r="DM104" s="398"/>
      <c r="DN104" s="398"/>
      <c r="DO104" s="398"/>
      <c r="DP104" s="398"/>
      <c r="DQ104" s="398"/>
      <c r="DR104" s="398"/>
      <c r="DS104" s="398"/>
      <c r="DT104" s="398"/>
      <c r="DU104" s="398"/>
      <c r="DV104" s="398"/>
      <c r="DW104" s="398"/>
      <c r="DX104" s="398"/>
      <c r="DY104" s="398"/>
      <c r="DZ104" s="398"/>
      <c r="EA104" s="398"/>
      <c r="EB104" s="398"/>
      <c r="EC104" s="398"/>
      <c r="ED104" s="398"/>
      <c r="EE104" s="398"/>
      <c r="EF104" s="398"/>
      <c r="EG104" s="398"/>
      <c r="EH104" s="398"/>
      <c r="EI104" s="398"/>
      <c r="EJ104" s="398"/>
      <c r="EK104" s="398"/>
      <c r="EL104" s="398"/>
      <c r="EM104" s="398"/>
      <c r="EN104" s="398"/>
      <c r="EO104" s="398"/>
      <c r="EP104" s="398"/>
      <c r="EQ104" s="398"/>
      <c r="ER104" s="398"/>
    </row>
    <row r="105" spans="1:170" ht="15.75" x14ac:dyDescent="0.25">
      <c r="A105" s="721">
        <f t="shared" si="166"/>
        <v>84</v>
      </c>
      <c r="B105" s="881" t="s">
        <v>192</v>
      </c>
      <c r="C105" s="882" t="s">
        <v>709</v>
      </c>
      <c r="D105" s="883"/>
      <c r="E105" s="884"/>
      <c r="F105" s="534">
        <v>0</v>
      </c>
      <c r="G105" s="517">
        <f>+F105*0.02/40</f>
        <v>0</v>
      </c>
      <c r="H105" s="517">
        <v>20</v>
      </c>
      <c r="I105" s="534">
        <v>0</v>
      </c>
      <c r="J105" s="517">
        <f>+I105*0.02/40</f>
        <v>0</v>
      </c>
      <c r="K105" s="517">
        <v>20</v>
      </c>
      <c r="L105" s="534">
        <v>0</v>
      </c>
      <c r="M105" s="517">
        <f>+L105*0.02/40</f>
        <v>0</v>
      </c>
      <c r="N105" s="517">
        <v>20</v>
      </c>
      <c r="O105" s="534">
        <v>0</v>
      </c>
      <c r="P105" s="517">
        <f t="shared" si="173"/>
        <v>0</v>
      </c>
      <c r="Q105" s="517">
        <v>20</v>
      </c>
      <c r="R105" s="520">
        <v>0</v>
      </c>
      <c r="S105" s="671">
        <f>+R105*0.02/40</f>
        <v>0</v>
      </c>
      <c r="T105" s="671">
        <v>20</v>
      </c>
      <c r="U105" s="520">
        <v>0</v>
      </c>
      <c r="V105" s="671">
        <f>+U105*0.02/40</f>
        <v>0</v>
      </c>
      <c r="W105" s="671">
        <v>20</v>
      </c>
      <c r="X105" s="863">
        <v>0</v>
      </c>
      <c r="Y105" s="532">
        <f>+X105*0.02/40</f>
        <v>0</v>
      </c>
      <c r="Z105" s="532">
        <v>20</v>
      </c>
      <c r="AA105" s="863">
        <v>0</v>
      </c>
      <c r="AB105" s="532">
        <f>+AA105*0.02/40</f>
        <v>0</v>
      </c>
      <c r="AC105" s="532">
        <v>20</v>
      </c>
      <c r="AD105" s="863">
        <v>0</v>
      </c>
      <c r="AE105" s="532">
        <f>+AD105*0.02/40</f>
        <v>0</v>
      </c>
      <c r="AF105" s="532">
        <v>20</v>
      </c>
      <c r="AG105" s="520">
        <v>0</v>
      </c>
      <c r="AH105" s="671">
        <f t="shared" si="175"/>
        <v>0</v>
      </c>
      <c r="AI105" s="671">
        <v>20</v>
      </c>
      <c r="AJ105" s="520">
        <v>0</v>
      </c>
      <c r="AK105" s="671">
        <f>+AJ105*0.02/40</f>
        <v>0</v>
      </c>
      <c r="AL105" s="671"/>
      <c r="AM105" s="520">
        <v>0</v>
      </c>
      <c r="AN105" s="671">
        <f t="shared" si="185"/>
        <v>0</v>
      </c>
      <c r="AO105" s="671">
        <v>20</v>
      </c>
      <c r="AP105" s="520">
        <v>0</v>
      </c>
      <c r="AQ105" s="671">
        <f t="shared" si="176"/>
        <v>0</v>
      </c>
      <c r="AR105" s="671">
        <v>20</v>
      </c>
      <c r="AS105" s="520">
        <v>0</v>
      </c>
      <c r="AT105" s="671">
        <f>+AS105*0.02/40</f>
        <v>0</v>
      </c>
      <c r="AU105" s="671">
        <v>20</v>
      </c>
      <c r="AV105" s="520"/>
      <c r="AW105" s="671">
        <f t="shared" si="177"/>
        <v>0</v>
      </c>
      <c r="AX105" s="671"/>
      <c r="AY105" s="520"/>
      <c r="AZ105" s="671">
        <f t="shared" si="178"/>
        <v>0</v>
      </c>
      <c r="BA105" s="671"/>
      <c r="BB105" s="735">
        <f t="shared" si="145"/>
        <v>0</v>
      </c>
      <c r="BC105" s="736">
        <f t="shared" si="145"/>
        <v>0</v>
      </c>
      <c r="BD105" s="737">
        <f t="shared" si="145"/>
        <v>260</v>
      </c>
      <c r="BE105" s="759"/>
      <c r="BF105" s="760">
        <f t="shared" si="146"/>
        <v>260</v>
      </c>
      <c r="BG105" s="520">
        <v>0</v>
      </c>
      <c r="BH105" s="671">
        <f>+BG105*0.02/40</f>
        <v>0</v>
      </c>
      <c r="BI105" s="671">
        <v>20</v>
      </c>
      <c r="BJ105" s="520">
        <v>0</v>
      </c>
      <c r="BK105" s="671">
        <f t="shared" si="179"/>
        <v>0</v>
      </c>
      <c r="BL105" s="671">
        <v>12</v>
      </c>
      <c r="BM105" s="520">
        <v>0</v>
      </c>
      <c r="BN105" s="671">
        <f>+BM105*0.02/40</f>
        <v>0</v>
      </c>
      <c r="BO105" s="671">
        <v>20</v>
      </c>
      <c r="BP105" s="520">
        <v>0</v>
      </c>
      <c r="BQ105" s="671">
        <f>+BP105*0.02/40</f>
        <v>0</v>
      </c>
      <c r="BR105" s="671">
        <v>20</v>
      </c>
      <c r="BS105" s="520">
        <v>0</v>
      </c>
      <c r="BT105" s="671">
        <f>+BS105*0.02/40</f>
        <v>0</v>
      </c>
      <c r="BU105" s="520">
        <v>20</v>
      </c>
      <c r="BV105" s="520">
        <v>0</v>
      </c>
      <c r="BW105" s="671">
        <f>+BV105*0.02/40</f>
        <v>0</v>
      </c>
      <c r="BX105" s="520">
        <v>20</v>
      </c>
      <c r="BY105" s="520">
        <v>0</v>
      </c>
      <c r="BZ105" s="671">
        <f>+BY105*0.02/40</f>
        <v>0</v>
      </c>
      <c r="CA105" s="520">
        <v>20</v>
      </c>
      <c r="CB105" s="520">
        <v>0</v>
      </c>
      <c r="CC105" s="671">
        <f t="shared" si="180"/>
        <v>0</v>
      </c>
      <c r="CD105" s="671">
        <v>12</v>
      </c>
      <c r="CE105" s="520">
        <v>0</v>
      </c>
      <c r="CF105" s="671">
        <f>+CE105*0.02/40</f>
        <v>0</v>
      </c>
      <c r="CG105" s="517">
        <v>20</v>
      </c>
      <c r="CH105" s="520">
        <v>0</v>
      </c>
      <c r="CI105" s="671">
        <f t="shared" si="181"/>
        <v>0</v>
      </c>
      <c r="CJ105" s="517">
        <v>20</v>
      </c>
      <c r="CK105" s="520">
        <v>0</v>
      </c>
      <c r="CL105" s="671">
        <f t="shared" si="182"/>
        <v>0</v>
      </c>
      <c r="CM105" s="517">
        <v>20</v>
      </c>
      <c r="CN105" s="520">
        <v>0</v>
      </c>
      <c r="CO105" s="671">
        <f t="shared" si="183"/>
        <v>0</v>
      </c>
      <c r="CP105" s="517">
        <v>20</v>
      </c>
      <c r="CQ105" s="520">
        <v>0</v>
      </c>
      <c r="CR105" s="671">
        <f t="shared" si="184"/>
        <v>0</v>
      </c>
      <c r="CS105" s="517">
        <v>20</v>
      </c>
      <c r="CT105" s="698">
        <f t="shared" si="153"/>
        <v>0</v>
      </c>
      <c r="CU105" s="699">
        <f t="shared" si="153"/>
        <v>0</v>
      </c>
      <c r="CV105" s="700">
        <f t="shared" si="154"/>
        <v>244</v>
      </c>
      <c r="CW105" s="759"/>
      <c r="CX105" s="701">
        <f t="shared" si="155"/>
        <v>244</v>
      </c>
      <c r="CY105" s="588">
        <f t="shared" si="156"/>
        <v>0</v>
      </c>
      <c r="CZ105" s="589">
        <f t="shared" si="156"/>
        <v>0</v>
      </c>
      <c r="DA105" s="590">
        <f t="shared" si="156"/>
        <v>504</v>
      </c>
      <c r="DB105" s="591">
        <f t="shared" si="157"/>
        <v>504</v>
      </c>
      <c r="DD105" s="1075">
        <f>+CZ106+DD106</f>
        <v>16630.573263010549</v>
      </c>
      <c r="DE105" s="1075">
        <f t="shared" ref="DE105:DF105" si="186">+DA106+DE106</f>
        <v>2828.6107920833333</v>
      </c>
      <c r="DF105" s="1075">
        <f t="shared" si="186"/>
        <v>19459.184055093883</v>
      </c>
    </row>
    <row r="106" spans="1:170" s="571" customFormat="1" ht="23.25" customHeight="1" thickBot="1" x14ac:dyDescent="0.3">
      <c r="A106" s="1328" t="s">
        <v>247</v>
      </c>
      <c r="B106" s="1329"/>
      <c r="C106" s="1329"/>
      <c r="D106" s="1329"/>
      <c r="E106" s="1330"/>
      <c r="F106" s="1331"/>
      <c r="G106" s="1332"/>
      <c r="H106" s="1332"/>
      <c r="I106" s="1332"/>
      <c r="J106" s="1332"/>
      <c r="K106" s="1332"/>
      <c r="L106" s="1332"/>
      <c r="M106" s="1332"/>
      <c r="N106" s="1332"/>
      <c r="O106" s="1332"/>
      <c r="P106" s="1332"/>
      <c r="Q106" s="1332"/>
      <c r="R106" s="1332"/>
      <c r="S106" s="1332"/>
      <c r="T106" s="1332"/>
      <c r="U106" s="1332"/>
      <c r="V106" s="1332"/>
      <c r="W106" s="1332"/>
      <c r="X106" s="1332"/>
      <c r="Y106" s="1332"/>
      <c r="Z106" s="1332"/>
      <c r="AA106" s="1332"/>
      <c r="AB106" s="1332"/>
      <c r="AC106" s="1332"/>
      <c r="AD106" s="1332"/>
      <c r="AE106" s="1332"/>
      <c r="AF106" s="1332"/>
      <c r="AG106" s="1332"/>
      <c r="AH106" s="1332"/>
      <c r="AI106" s="1332"/>
      <c r="AJ106" s="1332"/>
      <c r="AK106" s="1332"/>
      <c r="AL106" s="1332"/>
      <c r="AM106" s="1332"/>
      <c r="AN106" s="1332"/>
      <c r="AO106" s="1332"/>
      <c r="AP106" s="1332"/>
      <c r="AQ106" s="1332"/>
      <c r="AR106" s="1332"/>
      <c r="AS106" s="1332"/>
      <c r="AT106" s="1332"/>
      <c r="AU106" s="1332"/>
      <c r="AV106" s="1332"/>
      <c r="AW106" s="1332"/>
      <c r="AX106" s="1332"/>
      <c r="AY106" s="1332"/>
      <c r="AZ106" s="1332"/>
      <c r="BA106" s="1333"/>
      <c r="BB106" s="559">
        <f>SUM(BB89:BB105)</f>
        <v>7293132.7200000007</v>
      </c>
      <c r="BC106" s="560">
        <f>SUM(BC89:BC105)</f>
        <v>5180.0954452656342</v>
      </c>
      <c r="BD106" s="560">
        <f>SUM(BD89:BD105)</f>
        <v>682</v>
      </c>
      <c r="BE106" s="821">
        <f>SUM(BE89:BE105)</f>
        <v>0</v>
      </c>
      <c r="BF106" s="562">
        <f>SUM(BF89:BF105)</f>
        <v>5862.0954452656342</v>
      </c>
      <c r="BG106" s="1331"/>
      <c r="BH106" s="1332"/>
      <c r="BI106" s="1332"/>
      <c r="BJ106" s="1332"/>
      <c r="BK106" s="1332"/>
      <c r="BL106" s="1332"/>
      <c r="BM106" s="1332"/>
      <c r="BN106" s="1332"/>
      <c r="BO106" s="1332"/>
      <c r="BP106" s="1332"/>
      <c r="BQ106" s="1332"/>
      <c r="BR106" s="1332"/>
      <c r="BS106" s="1332"/>
      <c r="BT106" s="1332"/>
      <c r="BU106" s="1332"/>
      <c r="BV106" s="1332"/>
      <c r="BW106" s="1332"/>
      <c r="BX106" s="1332"/>
      <c r="BY106" s="1332"/>
      <c r="BZ106" s="1332"/>
      <c r="CA106" s="1332"/>
      <c r="CB106" s="1332"/>
      <c r="CC106" s="1332"/>
      <c r="CD106" s="1332"/>
      <c r="CE106" s="1332"/>
      <c r="CF106" s="1332"/>
      <c r="CG106" s="1332"/>
      <c r="CH106" s="1332"/>
      <c r="CI106" s="1332"/>
      <c r="CJ106" s="1332"/>
      <c r="CK106" s="1332"/>
      <c r="CL106" s="1332"/>
      <c r="CM106" s="1332"/>
      <c r="CN106" s="1332"/>
      <c r="CO106" s="1332"/>
      <c r="CP106" s="1332"/>
      <c r="CQ106" s="1332"/>
      <c r="CR106" s="1332"/>
      <c r="CS106" s="1333"/>
      <c r="CT106" s="563">
        <f t="shared" ref="CT106:DB106" si="187">SUM(CT89:CT105)</f>
        <v>2901011.13</v>
      </c>
      <c r="CU106" s="564">
        <f t="shared" si="187"/>
        <v>1999.7014098210971</v>
      </c>
      <c r="CV106" s="564">
        <f t="shared" si="187"/>
        <v>643.25081250000017</v>
      </c>
      <c r="CW106" s="821">
        <f t="shared" si="187"/>
        <v>0</v>
      </c>
      <c r="CX106" s="565">
        <f t="shared" si="187"/>
        <v>2642.9522223210975</v>
      </c>
      <c r="CY106" s="566">
        <f t="shared" si="187"/>
        <v>10194143.85</v>
      </c>
      <c r="CZ106" s="567">
        <f t="shared" si="187"/>
        <v>7179.7968550867317</v>
      </c>
      <c r="DA106" s="568">
        <f t="shared" si="187"/>
        <v>1325.2508125000002</v>
      </c>
      <c r="DB106" s="741">
        <f t="shared" si="187"/>
        <v>8505.0476675867321</v>
      </c>
      <c r="DC106" s="192"/>
      <c r="DD106" s="1026">
        <v>9450.7764079238186</v>
      </c>
      <c r="DE106" s="1026">
        <v>1503.3599795833331</v>
      </c>
      <c r="DF106" s="1026">
        <v>10954.136387507151</v>
      </c>
      <c r="DG106" s="570"/>
      <c r="DH106" s="570"/>
      <c r="DI106" s="570"/>
      <c r="DJ106" s="570"/>
      <c r="DK106" s="570"/>
      <c r="DL106" s="570"/>
      <c r="DM106" s="570"/>
      <c r="DN106" s="570"/>
      <c r="DO106" s="570"/>
      <c r="DP106" s="570"/>
      <c r="DQ106" s="570"/>
      <c r="DR106" s="570"/>
      <c r="DS106" s="570"/>
      <c r="DT106" s="570"/>
      <c r="DU106" s="570"/>
      <c r="DV106" s="570"/>
      <c r="DW106" s="570"/>
      <c r="DX106" s="570"/>
      <c r="DY106" s="570"/>
      <c r="DZ106" s="570"/>
      <c r="EA106" s="570"/>
      <c r="EB106" s="570"/>
      <c r="EC106" s="570"/>
      <c r="ED106" s="570"/>
      <c r="EE106" s="570"/>
      <c r="EF106" s="570"/>
      <c r="EG106" s="570"/>
      <c r="EH106" s="570"/>
      <c r="EI106" s="570"/>
      <c r="EJ106" s="570"/>
      <c r="EK106" s="570"/>
      <c r="EL106" s="570"/>
      <c r="EM106" s="570"/>
      <c r="EN106" s="570"/>
      <c r="EO106" s="570"/>
      <c r="EP106" s="570"/>
      <c r="EQ106" s="570"/>
      <c r="ER106" s="570"/>
    </row>
    <row r="107" spans="1:170" ht="18.75" customHeight="1" x14ac:dyDescent="0.25">
      <c r="A107" s="1362"/>
      <c r="B107" s="1364" t="s">
        <v>710</v>
      </c>
      <c r="C107" s="1366" t="s">
        <v>493</v>
      </c>
      <c r="D107" s="1368" t="s">
        <v>494</v>
      </c>
      <c r="E107" s="1370" t="s">
        <v>495</v>
      </c>
      <c r="F107" s="1353" t="s">
        <v>496</v>
      </c>
      <c r="G107" s="1354"/>
      <c r="H107" s="1355"/>
      <c r="I107" s="1353" t="s">
        <v>497</v>
      </c>
      <c r="J107" s="1354"/>
      <c r="K107" s="1355"/>
      <c r="L107" s="1353" t="s">
        <v>498</v>
      </c>
      <c r="M107" s="1354"/>
      <c r="N107" s="1355"/>
      <c r="O107" s="1353" t="s">
        <v>499</v>
      </c>
      <c r="P107" s="1354"/>
      <c r="Q107" s="1355"/>
      <c r="R107" s="1353" t="s">
        <v>500</v>
      </c>
      <c r="S107" s="1354"/>
      <c r="T107" s="1355"/>
      <c r="U107" s="1353" t="s">
        <v>501</v>
      </c>
      <c r="V107" s="1354"/>
      <c r="W107" s="1355"/>
      <c r="X107" s="1353" t="s">
        <v>502</v>
      </c>
      <c r="Y107" s="1354"/>
      <c r="Z107" s="1355"/>
      <c r="AA107" s="1353" t="s">
        <v>503</v>
      </c>
      <c r="AB107" s="1354"/>
      <c r="AC107" s="1355"/>
      <c r="AD107" s="1353" t="s">
        <v>504</v>
      </c>
      <c r="AE107" s="1354"/>
      <c r="AF107" s="1355"/>
      <c r="AG107" s="1353" t="s">
        <v>505</v>
      </c>
      <c r="AH107" s="1354"/>
      <c r="AI107" s="1355"/>
      <c r="AJ107" s="1353" t="s">
        <v>506</v>
      </c>
      <c r="AK107" s="1354"/>
      <c r="AL107" s="1355"/>
      <c r="AM107" s="1353" t="s">
        <v>507</v>
      </c>
      <c r="AN107" s="1354"/>
      <c r="AO107" s="1355"/>
      <c r="AP107" s="1353" t="s">
        <v>508</v>
      </c>
      <c r="AQ107" s="1354"/>
      <c r="AR107" s="1355"/>
      <c r="AS107" s="1353" t="s">
        <v>509</v>
      </c>
      <c r="AT107" s="1354"/>
      <c r="AU107" s="1355"/>
      <c r="AV107" s="1353"/>
      <c r="AW107" s="1354"/>
      <c r="AX107" s="1355"/>
      <c r="AY107" s="1353"/>
      <c r="AZ107" s="1354"/>
      <c r="BA107" s="1355"/>
      <c r="BB107" s="1356" t="s">
        <v>510</v>
      </c>
      <c r="BC107" s="1358" t="s">
        <v>511</v>
      </c>
      <c r="BD107" s="1358" t="s">
        <v>512</v>
      </c>
      <c r="BE107" s="1347" t="s">
        <v>22</v>
      </c>
      <c r="BF107" s="1360" t="s">
        <v>513</v>
      </c>
      <c r="BG107" s="1340" t="s">
        <v>514</v>
      </c>
      <c r="BH107" s="1341"/>
      <c r="BI107" s="1342"/>
      <c r="BJ107" s="1340" t="s">
        <v>515</v>
      </c>
      <c r="BK107" s="1341"/>
      <c r="BL107" s="1342"/>
      <c r="BM107" s="1340" t="s">
        <v>516</v>
      </c>
      <c r="BN107" s="1341"/>
      <c r="BO107" s="1342"/>
      <c r="BP107" s="1340" t="s">
        <v>517</v>
      </c>
      <c r="BQ107" s="1341"/>
      <c r="BR107" s="1342"/>
      <c r="BS107" s="1340" t="s">
        <v>518</v>
      </c>
      <c r="BT107" s="1341"/>
      <c r="BU107" s="1342"/>
      <c r="BV107" s="1340" t="s">
        <v>519</v>
      </c>
      <c r="BW107" s="1341"/>
      <c r="BX107" s="1342"/>
      <c r="BY107" s="1340" t="s">
        <v>520</v>
      </c>
      <c r="BZ107" s="1341"/>
      <c r="CA107" s="1342"/>
      <c r="CB107" s="1340" t="s">
        <v>521</v>
      </c>
      <c r="CC107" s="1341"/>
      <c r="CD107" s="1342"/>
      <c r="CE107" s="1340" t="s">
        <v>522</v>
      </c>
      <c r="CF107" s="1341"/>
      <c r="CG107" s="1342"/>
      <c r="CH107" s="1340" t="s">
        <v>523</v>
      </c>
      <c r="CI107" s="1341"/>
      <c r="CJ107" s="1342"/>
      <c r="CK107" s="1340" t="s">
        <v>524</v>
      </c>
      <c r="CL107" s="1341"/>
      <c r="CM107" s="1342"/>
      <c r="CN107" s="1340" t="s">
        <v>525</v>
      </c>
      <c r="CO107" s="1341"/>
      <c r="CP107" s="1342"/>
      <c r="CQ107" s="1340" t="s">
        <v>526</v>
      </c>
      <c r="CR107" s="1341"/>
      <c r="CS107" s="1342"/>
      <c r="CT107" s="1343" t="s">
        <v>510</v>
      </c>
      <c r="CU107" s="1345" t="s">
        <v>511</v>
      </c>
      <c r="CV107" s="1345" t="s">
        <v>512</v>
      </c>
      <c r="CW107" s="1347" t="s">
        <v>22</v>
      </c>
      <c r="CX107" s="1349" t="s">
        <v>513</v>
      </c>
      <c r="CY107" s="1351" t="s">
        <v>256</v>
      </c>
      <c r="CZ107" s="1322" t="s">
        <v>511</v>
      </c>
      <c r="DA107" s="1324" t="s">
        <v>512</v>
      </c>
      <c r="DB107" s="1326" t="s">
        <v>257</v>
      </c>
      <c r="DF107" s="1075">
        <f>+DB106+DF106</f>
        <v>19459.184055093883</v>
      </c>
    </row>
    <row r="108" spans="1:170" ht="24.75" customHeight="1" thickBot="1" x14ac:dyDescent="0.3">
      <c r="A108" s="1363"/>
      <c r="B108" s="1365"/>
      <c r="C108" s="1367"/>
      <c r="D108" s="1369"/>
      <c r="E108" s="1371"/>
      <c r="F108" s="425" t="s">
        <v>527</v>
      </c>
      <c r="G108" s="426" t="s">
        <v>258</v>
      </c>
      <c r="H108" s="427" t="s">
        <v>528</v>
      </c>
      <c r="I108" s="426" t="s">
        <v>527</v>
      </c>
      <c r="J108" s="426" t="s">
        <v>258</v>
      </c>
      <c r="K108" s="427" t="s">
        <v>528</v>
      </c>
      <c r="L108" s="426" t="s">
        <v>527</v>
      </c>
      <c r="M108" s="426" t="s">
        <v>258</v>
      </c>
      <c r="N108" s="427" t="s">
        <v>528</v>
      </c>
      <c r="O108" s="426" t="s">
        <v>527</v>
      </c>
      <c r="P108" s="426" t="s">
        <v>258</v>
      </c>
      <c r="Q108" s="427" t="s">
        <v>528</v>
      </c>
      <c r="R108" s="426" t="s">
        <v>527</v>
      </c>
      <c r="S108" s="426" t="s">
        <v>258</v>
      </c>
      <c r="T108" s="427" t="s">
        <v>528</v>
      </c>
      <c r="U108" s="426" t="s">
        <v>527</v>
      </c>
      <c r="V108" s="426" t="s">
        <v>258</v>
      </c>
      <c r="W108" s="427" t="s">
        <v>528</v>
      </c>
      <c r="X108" s="426" t="s">
        <v>527</v>
      </c>
      <c r="Y108" s="426" t="s">
        <v>258</v>
      </c>
      <c r="Z108" s="427" t="s">
        <v>528</v>
      </c>
      <c r="AA108" s="426" t="s">
        <v>527</v>
      </c>
      <c r="AB108" s="426" t="s">
        <v>258</v>
      </c>
      <c r="AC108" s="427" t="s">
        <v>528</v>
      </c>
      <c r="AD108" s="426" t="s">
        <v>527</v>
      </c>
      <c r="AE108" s="426" t="s">
        <v>258</v>
      </c>
      <c r="AF108" s="427" t="s">
        <v>528</v>
      </c>
      <c r="AG108" s="426" t="s">
        <v>527</v>
      </c>
      <c r="AH108" s="426" t="s">
        <v>258</v>
      </c>
      <c r="AI108" s="427" t="s">
        <v>528</v>
      </c>
      <c r="AJ108" s="426" t="s">
        <v>527</v>
      </c>
      <c r="AK108" s="426" t="s">
        <v>258</v>
      </c>
      <c r="AL108" s="427" t="s">
        <v>528</v>
      </c>
      <c r="AM108" s="426" t="s">
        <v>527</v>
      </c>
      <c r="AN108" s="426" t="s">
        <v>258</v>
      </c>
      <c r="AO108" s="427" t="s">
        <v>528</v>
      </c>
      <c r="AP108" s="426" t="s">
        <v>527</v>
      </c>
      <c r="AQ108" s="426" t="s">
        <v>258</v>
      </c>
      <c r="AR108" s="427" t="s">
        <v>528</v>
      </c>
      <c r="AS108" s="426" t="s">
        <v>527</v>
      </c>
      <c r="AT108" s="426" t="s">
        <v>258</v>
      </c>
      <c r="AU108" s="427" t="s">
        <v>528</v>
      </c>
      <c r="AV108" s="426" t="s">
        <v>527</v>
      </c>
      <c r="AW108" s="426" t="s">
        <v>258</v>
      </c>
      <c r="AX108" s="427" t="s">
        <v>528</v>
      </c>
      <c r="AY108" s="426" t="s">
        <v>527</v>
      </c>
      <c r="AZ108" s="426" t="s">
        <v>258</v>
      </c>
      <c r="BA108" s="427" t="s">
        <v>528</v>
      </c>
      <c r="BB108" s="1357"/>
      <c r="BC108" s="1359"/>
      <c r="BD108" s="1359"/>
      <c r="BE108" s="1348"/>
      <c r="BF108" s="1361"/>
      <c r="BG108" s="428" t="s">
        <v>527</v>
      </c>
      <c r="BH108" s="428" t="s">
        <v>258</v>
      </c>
      <c r="BI108" s="429" t="s">
        <v>528</v>
      </c>
      <c r="BJ108" s="428" t="s">
        <v>527</v>
      </c>
      <c r="BK108" s="428" t="s">
        <v>258</v>
      </c>
      <c r="BL108" s="429" t="s">
        <v>528</v>
      </c>
      <c r="BM108" s="428" t="s">
        <v>527</v>
      </c>
      <c r="BN108" s="428" t="s">
        <v>258</v>
      </c>
      <c r="BO108" s="429" t="s">
        <v>528</v>
      </c>
      <c r="BP108" s="428" t="s">
        <v>527</v>
      </c>
      <c r="BQ108" s="428" t="s">
        <v>258</v>
      </c>
      <c r="BR108" s="429" t="s">
        <v>528</v>
      </c>
      <c r="BS108" s="428" t="s">
        <v>527</v>
      </c>
      <c r="BT108" s="428" t="s">
        <v>258</v>
      </c>
      <c r="BU108" s="429" t="s">
        <v>528</v>
      </c>
      <c r="BV108" s="428" t="s">
        <v>527</v>
      </c>
      <c r="BW108" s="428" t="s">
        <v>258</v>
      </c>
      <c r="BX108" s="429" t="s">
        <v>528</v>
      </c>
      <c r="BY108" s="428" t="s">
        <v>527</v>
      </c>
      <c r="BZ108" s="428" t="s">
        <v>258</v>
      </c>
      <c r="CA108" s="429" t="s">
        <v>528</v>
      </c>
      <c r="CB108" s="428" t="s">
        <v>527</v>
      </c>
      <c r="CC108" s="428" t="s">
        <v>258</v>
      </c>
      <c r="CD108" s="429" t="s">
        <v>528</v>
      </c>
      <c r="CE108" s="428" t="s">
        <v>527</v>
      </c>
      <c r="CF108" s="428" t="s">
        <v>258</v>
      </c>
      <c r="CG108" s="429" t="s">
        <v>528</v>
      </c>
      <c r="CH108" s="428" t="s">
        <v>527</v>
      </c>
      <c r="CI108" s="428" t="s">
        <v>258</v>
      </c>
      <c r="CJ108" s="429" t="s">
        <v>528</v>
      </c>
      <c r="CK108" s="428" t="s">
        <v>527</v>
      </c>
      <c r="CL108" s="428" t="s">
        <v>258</v>
      </c>
      <c r="CM108" s="429" t="s">
        <v>528</v>
      </c>
      <c r="CN108" s="428" t="s">
        <v>527</v>
      </c>
      <c r="CO108" s="428" t="s">
        <v>258</v>
      </c>
      <c r="CP108" s="429" t="s">
        <v>528</v>
      </c>
      <c r="CQ108" s="428" t="s">
        <v>527</v>
      </c>
      <c r="CR108" s="428" t="s">
        <v>258</v>
      </c>
      <c r="CS108" s="429" t="s">
        <v>528</v>
      </c>
      <c r="CT108" s="1344"/>
      <c r="CU108" s="1346"/>
      <c r="CV108" s="1346"/>
      <c r="CW108" s="1348"/>
      <c r="CX108" s="1350"/>
      <c r="CY108" s="1352"/>
      <c r="CZ108" s="1323"/>
      <c r="DA108" s="1325"/>
      <c r="DB108" s="1327"/>
    </row>
    <row r="109" spans="1:170" s="196" customFormat="1" ht="15.75" customHeight="1" x14ac:dyDescent="0.25">
      <c r="A109" s="885">
        <f>+A105+1</f>
        <v>85</v>
      </c>
      <c r="B109" s="886" t="s">
        <v>207</v>
      </c>
      <c r="C109" s="886" t="s">
        <v>617</v>
      </c>
      <c r="D109" s="769" t="s">
        <v>711</v>
      </c>
      <c r="E109" s="770" t="s">
        <v>712</v>
      </c>
      <c r="F109" s="600">
        <v>1834.5</v>
      </c>
      <c r="G109" s="887">
        <v>20.394500000000001</v>
      </c>
      <c r="H109" s="888">
        <v>21.81</v>
      </c>
      <c r="I109" s="600">
        <v>2712</v>
      </c>
      <c r="J109" s="887">
        <v>28.291999999999998</v>
      </c>
      <c r="K109" s="888"/>
      <c r="L109" s="600">
        <v>3497.6</v>
      </c>
      <c r="M109" s="887">
        <v>35.362399999999994</v>
      </c>
      <c r="N109" s="888"/>
      <c r="O109" s="600"/>
      <c r="P109" s="887">
        <v>0</v>
      </c>
      <c r="Q109" s="888"/>
      <c r="R109" s="600">
        <v>2799.4285714285716</v>
      </c>
      <c r="S109" s="887">
        <v>28.794857142857143</v>
      </c>
      <c r="T109" s="888"/>
      <c r="U109" s="600">
        <v>3297.2307692307691</v>
      </c>
      <c r="V109" s="887">
        <v>33.275076923076917</v>
      </c>
      <c r="W109" s="888"/>
      <c r="X109" s="600">
        <v>2028.8</v>
      </c>
      <c r="Y109" s="887">
        <v>21.859200000000001</v>
      </c>
      <c r="Z109" s="888">
        <v>20</v>
      </c>
      <c r="AA109" s="600">
        <v>1963.2</v>
      </c>
      <c r="AB109" s="887">
        <v>21.268799999999999</v>
      </c>
      <c r="AC109" s="888"/>
      <c r="AD109" s="600">
        <v>4409.6000000000004</v>
      </c>
      <c r="AE109" s="887">
        <v>43.2864</v>
      </c>
      <c r="AF109" s="888"/>
      <c r="AG109" s="600">
        <v>0</v>
      </c>
      <c r="AH109" s="887">
        <v>0</v>
      </c>
      <c r="AI109" s="888"/>
      <c r="AJ109" s="600">
        <v>3195.2</v>
      </c>
      <c r="AK109" s="887">
        <v>32.356799999999993</v>
      </c>
      <c r="AL109" s="888"/>
      <c r="AM109" s="600">
        <v>1984</v>
      </c>
      <c r="AN109" s="887">
        <v>21.456</v>
      </c>
      <c r="AO109" s="888"/>
      <c r="AP109" s="600">
        <v>0</v>
      </c>
      <c r="AQ109" s="887">
        <v>0</v>
      </c>
      <c r="AR109" s="889">
        <v>20</v>
      </c>
      <c r="AS109" s="600">
        <v>2582.4</v>
      </c>
      <c r="AT109" s="887">
        <v>26.8416</v>
      </c>
      <c r="AU109" s="888"/>
      <c r="AV109" s="600"/>
      <c r="AW109" s="887">
        <v>0</v>
      </c>
      <c r="AX109" s="888"/>
      <c r="AY109" s="600"/>
      <c r="AZ109" s="887">
        <v>0</v>
      </c>
      <c r="BA109" s="888"/>
      <c r="BB109" s="603">
        <f t="shared" ref="BB109:BD115" si="188">+F109+I109+L109+O109+R109+U109+X109+AA109+AD109+AG109+AJ109+AM109+AP109+AS109+AV109+AY109</f>
        <v>30303.959340659345</v>
      </c>
      <c r="BC109" s="890">
        <f t="shared" si="188"/>
        <v>313.18763406593405</v>
      </c>
      <c r="BD109" s="891">
        <f t="shared" si="188"/>
        <v>61.81</v>
      </c>
      <c r="BE109" s="446"/>
      <c r="BF109" s="827">
        <f t="shared" ref="BF109:BF115" si="189">+BC109+BD109-BE109</f>
        <v>374.99763406593405</v>
      </c>
      <c r="BG109" s="600">
        <v>3089.1428571428573</v>
      </c>
      <c r="BH109" s="887">
        <v>31.402285714285714</v>
      </c>
      <c r="BI109" s="888">
        <v>13.828056181318686</v>
      </c>
      <c r="BJ109" s="600">
        <v>0</v>
      </c>
      <c r="BK109" s="887">
        <v>0</v>
      </c>
      <c r="BL109" s="889">
        <v>15</v>
      </c>
      <c r="BM109" s="600">
        <v>633.23076923076928</v>
      </c>
      <c r="BN109" s="887">
        <v>9.2990769230769228</v>
      </c>
      <c r="BO109" s="888">
        <v>13.828056181318686</v>
      </c>
      <c r="BP109" s="600">
        <v>1545.6</v>
      </c>
      <c r="BQ109" s="887">
        <v>17.510399999999997</v>
      </c>
      <c r="BR109" s="888">
        <v>13.828056181318686</v>
      </c>
      <c r="BS109" s="600">
        <v>1296</v>
      </c>
      <c r="BT109" s="887">
        <v>15.263999999999999</v>
      </c>
      <c r="BU109" s="888">
        <v>13.828056181318686</v>
      </c>
      <c r="BV109" s="600">
        <v>1948</v>
      </c>
      <c r="BW109" s="887">
        <v>21.132000000000001</v>
      </c>
      <c r="BX109" s="888">
        <v>13.828056181318686</v>
      </c>
      <c r="BY109" s="600">
        <v>1074.4615384615386</v>
      </c>
      <c r="BZ109" s="887">
        <v>13.270153846153846</v>
      </c>
      <c r="CA109" s="888">
        <v>13.828056181318686</v>
      </c>
      <c r="CB109" s="600">
        <v>0</v>
      </c>
      <c r="CC109" s="887">
        <v>0</v>
      </c>
      <c r="CD109" s="889">
        <v>12.5</v>
      </c>
      <c r="CE109" s="600">
        <v>2912</v>
      </c>
      <c r="CF109" s="887">
        <v>29.808</v>
      </c>
      <c r="CG109" s="888">
        <v>13.828056181318686</v>
      </c>
      <c r="CH109" s="600">
        <v>2288</v>
      </c>
      <c r="CI109" s="887">
        <v>24.192</v>
      </c>
      <c r="CJ109" s="888">
        <v>13.828056181318686</v>
      </c>
      <c r="CK109" s="578">
        <v>0</v>
      </c>
      <c r="CL109" s="887">
        <v>0</v>
      </c>
      <c r="CM109" s="888">
        <v>25</v>
      </c>
      <c r="CN109" s="578">
        <v>0</v>
      </c>
      <c r="CO109" s="887">
        <v>0</v>
      </c>
      <c r="CP109" s="888">
        <v>25</v>
      </c>
      <c r="CQ109" s="578">
        <v>0</v>
      </c>
      <c r="CR109" s="887">
        <v>0</v>
      </c>
      <c r="CS109" s="888">
        <v>25</v>
      </c>
      <c r="CT109" s="677">
        <f t="shared" ref="CT109:CU115" si="190">BG109+BJ109+BM109+BP109+BS109+BV109+BY109+CB109+CH109+CK109+CN109+CQ109+CE109</f>
        <v>14786.435164835166</v>
      </c>
      <c r="CU109" s="678">
        <f t="shared" si="190"/>
        <v>161.87791648351649</v>
      </c>
      <c r="CV109" s="679">
        <f t="shared" ref="CV109:CV115" si="191">+BI109+BL109+BO109+BR109+BU109+BX109+CA109+CD109+CG109+CJ109+CM109+CP109+CS109</f>
        <v>213.12444945054949</v>
      </c>
      <c r="CW109" s="446"/>
      <c r="CX109" s="680">
        <f t="shared" ref="CX109:CX115" si="192">+CU109+CV109-CW109</f>
        <v>375.00236593406601</v>
      </c>
      <c r="CY109" s="448">
        <f t="shared" ref="CY109:DA115" si="193">+BB109+CT109</f>
        <v>45090.394505494507</v>
      </c>
      <c r="CZ109" s="449">
        <f t="shared" si="193"/>
        <v>475.06555054945056</v>
      </c>
      <c r="DA109" s="450">
        <f t="shared" si="193"/>
        <v>274.93444945054949</v>
      </c>
      <c r="DB109" s="451">
        <f t="shared" ref="DB109:DB115" si="194">+CZ109+DA109</f>
        <v>750</v>
      </c>
      <c r="DC109" s="892"/>
      <c r="DD109" s="1077"/>
    </row>
    <row r="110" spans="1:170" s="571" customFormat="1" ht="15.75" customHeight="1" x14ac:dyDescent="0.25">
      <c r="A110" s="894">
        <f>+A109+1</f>
        <v>86</v>
      </c>
      <c r="B110" s="1078" t="s">
        <v>205</v>
      </c>
      <c r="C110" s="833" t="s">
        <v>713</v>
      </c>
      <c r="D110" s="895" t="s">
        <v>714</v>
      </c>
      <c r="E110" s="896" t="s">
        <v>715</v>
      </c>
      <c r="F110" s="897">
        <v>0</v>
      </c>
      <c r="G110" s="898">
        <v>0</v>
      </c>
      <c r="H110" s="899"/>
      <c r="I110" s="897">
        <v>0</v>
      </c>
      <c r="J110" s="898">
        <v>0</v>
      </c>
      <c r="K110" s="899"/>
      <c r="L110" s="897">
        <v>0</v>
      </c>
      <c r="M110" s="898">
        <v>0</v>
      </c>
      <c r="N110" s="899"/>
      <c r="O110" s="897"/>
      <c r="P110" s="898">
        <v>0</v>
      </c>
      <c r="Q110" s="899"/>
      <c r="R110" s="897">
        <v>0</v>
      </c>
      <c r="S110" s="898">
        <v>0</v>
      </c>
      <c r="T110" s="899"/>
      <c r="U110" s="897">
        <v>0</v>
      </c>
      <c r="V110" s="898">
        <v>0</v>
      </c>
      <c r="W110" s="899"/>
      <c r="X110" s="897">
        <v>0</v>
      </c>
      <c r="Y110" s="898">
        <v>0</v>
      </c>
      <c r="Z110" s="899"/>
      <c r="AA110" s="897">
        <v>0</v>
      </c>
      <c r="AB110" s="898">
        <v>0</v>
      </c>
      <c r="AC110" s="899"/>
      <c r="AD110" s="897">
        <v>0</v>
      </c>
      <c r="AE110" s="898">
        <v>0</v>
      </c>
      <c r="AF110" s="899"/>
      <c r="AG110" s="897">
        <v>0</v>
      </c>
      <c r="AH110" s="898">
        <v>0</v>
      </c>
      <c r="AI110" s="899"/>
      <c r="AJ110" s="897">
        <v>0</v>
      </c>
      <c r="AK110" s="898">
        <v>0</v>
      </c>
      <c r="AL110" s="899"/>
      <c r="AM110" s="897">
        <v>0</v>
      </c>
      <c r="AN110" s="898">
        <v>0</v>
      </c>
      <c r="AO110" s="899"/>
      <c r="AP110" s="897">
        <v>0</v>
      </c>
      <c r="AQ110" s="898">
        <v>0</v>
      </c>
      <c r="AR110" s="900"/>
      <c r="AS110" s="897">
        <v>0</v>
      </c>
      <c r="AT110" s="898">
        <v>0</v>
      </c>
      <c r="AU110" s="899"/>
      <c r="AV110" s="897"/>
      <c r="AW110" s="898">
        <v>0</v>
      </c>
      <c r="AX110" s="899"/>
      <c r="AY110" s="897"/>
      <c r="AZ110" s="898">
        <v>0</v>
      </c>
      <c r="BA110" s="899"/>
      <c r="BB110" s="463">
        <f t="shared" si="188"/>
        <v>0</v>
      </c>
      <c r="BC110" s="464">
        <f t="shared" si="188"/>
        <v>0</v>
      </c>
      <c r="BD110" s="901">
        <f t="shared" si="188"/>
        <v>0</v>
      </c>
      <c r="BE110" s="587"/>
      <c r="BF110" s="637">
        <f t="shared" si="189"/>
        <v>0</v>
      </c>
      <c r="BG110" s="897">
        <v>0</v>
      </c>
      <c r="BH110" s="898">
        <v>0</v>
      </c>
      <c r="BI110" s="899"/>
      <c r="BJ110" s="897">
        <v>0</v>
      </c>
      <c r="BK110" s="898">
        <v>0</v>
      </c>
      <c r="BL110" s="900">
        <v>0</v>
      </c>
      <c r="BM110" s="897">
        <v>0</v>
      </c>
      <c r="BN110" s="898">
        <v>0</v>
      </c>
      <c r="BO110" s="899"/>
      <c r="BP110" s="897">
        <v>0</v>
      </c>
      <c r="BQ110" s="898">
        <v>0</v>
      </c>
      <c r="BR110" s="899"/>
      <c r="BS110" s="897">
        <v>0</v>
      </c>
      <c r="BT110" s="898">
        <v>0</v>
      </c>
      <c r="BU110" s="899"/>
      <c r="BV110" s="897">
        <v>0</v>
      </c>
      <c r="BW110" s="898">
        <v>0</v>
      </c>
      <c r="BX110" s="899"/>
      <c r="BY110" s="897">
        <v>0</v>
      </c>
      <c r="BZ110" s="898">
        <v>0</v>
      </c>
      <c r="CA110" s="899"/>
      <c r="CB110" s="897"/>
      <c r="CC110" s="898">
        <v>0</v>
      </c>
      <c r="CD110" s="900"/>
      <c r="CE110" s="578">
        <v>2912</v>
      </c>
      <c r="CF110" s="902">
        <v>29.808</v>
      </c>
      <c r="CG110" s="903"/>
      <c r="CH110" s="578">
        <v>2288</v>
      </c>
      <c r="CI110" s="902">
        <v>24.192</v>
      </c>
      <c r="CJ110" s="903"/>
      <c r="CK110" s="578">
        <v>0</v>
      </c>
      <c r="CL110" s="902">
        <v>0</v>
      </c>
      <c r="CM110" s="903">
        <v>20</v>
      </c>
      <c r="CN110" s="578">
        <v>0</v>
      </c>
      <c r="CO110" s="902">
        <v>0</v>
      </c>
      <c r="CP110" s="903"/>
      <c r="CQ110" s="578">
        <v>0</v>
      </c>
      <c r="CR110" s="902">
        <v>0</v>
      </c>
      <c r="CS110" s="903">
        <v>20</v>
      </c>
      <c r="CT110" s="551">
        <f>BG110+BJ110+BM110+BP110+BS110+BV110+BY110+CB110+CH110+CK110+CN110+CQ110+CE110</f>
        <v>5200</v>
      </c>
      <c r="CU110" s="552">
        <f>BH110+BK110+BN110+BQ110+BT110+BW110+BZ110+CC110+CI110+CL110+CO110+CR110+CF110</f>
        <v>54</v>
      </c>
      <c r="CV110" s="553">
        <f>+BI110+BL110+BO110+BR110+BU110+BX110+CA110+CD110+CG110+CJ110+CM110+CP110+CS110</f>
        <v>40</v>
      </c>
      <c r="CW110" s="587"/>
      <c r="CX110" s="554">
        <f>+CU110+CV110-CW110</f>
        <v>94</v>
      </c>
      <c r="CY110" s="588">
        <f t="shared" si="193"/>
        <v>5200</v>
      </c>
      <c r="CZ110" s="589">
        <f t="shared" si="193"/>
        <v>54</v>
      </c>
      <c r="DA110" s="590">
        <f t="shared" si="193"/>
        <v>40</v>
      </c>
      <c r="DB110" s="591">
        <f>+CZ110+DA110</f>
        <v>94</v>
      </c>
      <c r="DC110" s="904" t="s">
        <v>716</v>
      </c>
      <c r="DD110" s="192"/>
      <c r="DE110" s="192"/>
      <c r="DF110" s="192"/>
      <c r="DG110" s="192"/>
      <c r="DH110" s="192"/>
      <c r="DI110" s="192"/>
      <c r="DJ110" s="192"/>
      <c r="DK110" s="192"/>
      <c r="DL110" s="192"/>
      <c r="DM110" s="192"/>
      <c r="DN110" s="192"/>
      <c r="DO110" s="192"/>
      <c r="DP110" s="192"/>
      <c r="DQ110" s="192"/>
      <c r="DR110" s="192"/>
      <c r="DS110" s="192"/>
      <c r="DT110" s="192"/>
      <c r="DU110" s="192"/>
      <c r="DV110" s="192"/>
      <c r="DW110" s="192"/>
      <c r="DX110" s="192"/>
      <c r="DY110" s="192"/>
      <c r="DZ110" s="192"/>
      <c r="EA110" s="192"/>
      <c r="EB110" s="192"/>
      <c r="EC110" s="192"/>
      <c r="ED110" s="192"/>
      <c r="EE110" s="192"/>
      <c r="EF110" s="192"/>
      <c r="EG110" s="192"/>
      <c r="EH110" s="192"/>
      <c r="EI110" s="192"/>
      <c r="EJ110" s="192"/>
      <c r="EK110" s="192"/>
      <c r="EL110" s="192"/>
      <c r="EM110" s="192"/>
      <c r="EN110" s="192"/>
      <c r="EO110" s="192"/>
      <c r="EP110" s="192"/>
      <c r="EQ110" s="192"/>
      <c r="ER110" s="192"/>
      <c r="ES110" s="192"/>
      <c r="ET110" s="192"/>
      <c r="EU110" s="192"/>
      <c r="EV110" s="192"/>
      <c r="EW110" s="192"/>
      <c r="EX110" s="192"/>
      <c r="EY110" s="192"/>
      <c r="EZ110" s="192"/>
      <c r="FA110" s="192"/>
      <c r="FB110" s="192"/>
      <c r="FC110" s="192"/>
      <c r="FD110" s="192"/>
      <c r="FE110" s="192"/>
      <c r="FF110" s="192"/>
      <c r="FG110" s="192"/>
      <c r="FH110" s="192"/>
      <c r="FI110" s="192"/>
      <c r="FJ110" s="192"/>
      <c r="FK110" s="192"/>
      <c r="FL110" s="192"/>
      <c r="FM110" s="192"/>
      <c r="FN110" s="192"/>
    </row>
    <row r="111" spans="1:170" ht="15.75" customHeight="1" x14ac:dyDescent="0.25">
      <c r="A111" s="894">
        <f t="shared" ref="A111:A115" si="195">+A110+1</f>
        <v>87</v>
      </c>
      <c r="B111" s="1078" t="s">
        <v>206</v>
      </c>
      <c r="C111" s="833" t="s">
        <v>713</v>
      </c>
      <c r="D111" s="769" t="s">
        <v>717</v>
      </c>
      <c r="E111" s="770" t="s">
        <v>718</v>
      </c>
      <c r="F111" s="578">
        <v>1834.5</v>
      </c>
      <c r="G111" s="902">
        <v>20.394500000000001</v>
      </c>
      <c r="H111" s="903"/>
      <c r="I111" s="578">
        <v>2712</v>
      </c>
      <c r="J111" s="902">
        <v>28.291999999999998</v>
      </c>
      <c r="K111" s="903"/>
      <c r="L111" s="578">
        <v>3497.6</v>
      </c>
      <c r="M111" s="902">
        <v>35.362399999999994</v>
      </c>
      <c r="N111" s="903"/>
      <c r="O111" s="578"/>
      <c r="P111" s="902">
        <v>0</v>
      </c>
      <c r="Q111" s="903"/>
      <c r="R111" s="578">
        <v>2799.4285714285716</v>
      </c>
      <c r="S111" s="902">
        <v>28.794857142857143</v>
      </c>
      <c r="T111" s="903"/>
      <c r="U111" s="578">
        <v>3297.2307692307691</v>
      </c>
      <c r="V111" s="902">
        <v>33.275076923076917</v>
      </c>
      <c r="W111" s="903"/>
      <c r="X111" s="578">
        <v>2028.8</v>
      </c>
      <c r="Y111" s="902">
        <v>21.859200000000001</v>
      </c>
      <c r="Z111" s="903"/>
      <c r="AA111" s="578">
        <v>1963.2</v>
      </c>
      <c r="AB111" s="902">
        <v>21.268799999999999</v>
      </c>
      <c r="AC111" s="903"/>
      <c r="AD111" s="578">
        <v>4409.6000000000004</v>
      </c>
      <c r="AE111" s="902">
        <v>43.2864</v>
      </c>
      <c r="AF111" s="903"/>
      <c r="AG111" s="578">
        <v>0</v>
      </c>
      <c r="AH111" s="902">
        <v>0</v>
      </c>
      <c r="AI111" s="903"/>
      <c r="AJ111" s="578">
        <v>3195.2</v>
      </c>
      <c r="AK111" s="902">
        <v>32.356799999999993</v>
      </c>
      <c r="AL111" s="903"/>
      <c r="AM111" s="578">
        <v>1984</v>
      </c>
      <c r="AN111" s="902">
        <v>21.456</v>
      </c>
      <c r="AO111" s="903"/>
      <c r="AP111" s="578">
        <v>0</v>
      </c>
      <c r="AQ111" s="902">
        <v>0</v>
      </c>
      <c r="AR111" s="905">
        <v>20</v>
      </c>
      <c r="AS111" s="578">
        <v>2582.4</v>
      </c>
      <c r="AT111" s="902">
        <v>26.8416</v>
      </c>
      <c r="AU111" s="903"/>
      <c r="AV111" s="578"/>
      <c r="AW111" s="902">
        <v>0</v>
      </c>
      <c r="AX111" s="903"/>
      <c r="AY111" s="578"/>
      <c r="AZ111" s="902">
        <v>0</v>
      </c>
      <c r="BA111" s="903"/>
      <c r="BB111" s="463">
        <f t="shared" si="188"/>
        <v>30303.959340659345</v>
      </c>
      <c r="BC111" s="464">
        <f t="shared" si="188"/>
        <v>313.18763406593405</v>
      </c>
      <c r="BD111" s="901">
        <f t="shared" si="188"/>
        <v>20</v>
      </c>
      <c r="BE111" s="587"/>
      <c r="BF111" s="637">
        <f t="shared" si="189"/>
        <v>333.18763406593405</v>
      </c>
      <c r="BG111" s="578">
        <v>3089.1428571428573</v>
      </c>
      <c r="BH111" s="902">
        <v>31.402285714285714</v>
      </c>
      <c r="BI111" s="903"/>
      <c r="BJ111" s="578">
        <v>0</v>
      </c>
      <c r="BK111" s="902">
        <v>0</v>
      </c>
      <c r="BL111" s="905">
        <v>12</v>
      </c>
      <c r="BM111" s="578">
        <v>633.23076923076928</v>
      </c>
      <c r="BN111" s="902">
        <v>9.2990769230769228</v>
      </c>
      <c r="BO111" s="903"/>
      <c r="BP111" s="578">
        <v>1545.6</v>
      </c>
      <c r="BQ111" s="902">
        <v>17.510399999999997</v>
      </c>
      <c r="BR111" s="903"/>
      <c r="BS111" s="578">
        <v>1296</v>
      </c>
      <c r="BT111" s="902">
        <v>15.263999999999999</v>
      </c>
      <c r="BU111" s="903"/>
      <c r="BV111" s="578">
        <v>1948</v>
      </c>
      <c r="BW111" s="902">
        <v>21.132000000000001</v>
      </c>
      <c r="BX111" s="903"/>
      <c r="BY111" s="578">
        <v>1074.4615384615386</v>
      </c>
      <c r="BZ111" s="902">
        <v>13.270153846153846</v>
      </c>
      <c r="CA111" s="903"/>
      <c r="CB111" s="578">
        <v>0</v>
      </c>
      <c r="CC111" s="902">
        <v>0</v>
      </c>
      <c r="CD111" s="905">
        <v>10</v>
      </c>
      <c r="CE111" s="578">
        <v>2912</v>
      </c>
      <c r="CF111" s="902">
        <v>29.808</v>
      </c>
      <c r="CG111" s="903"/>
      <c r="CH111" s="578">
        <v>2288</v>
      </c>
      <c r="CI111" s="902">
        <v>24.192</v>
      </c>
      <c r="CJ111" s="903"/>
      <c r="CK111" s="578">
        <v>0</v>
      </c>
      <c r="CL111" s="902">
        <v>0</v>
      </c>
      <c r="CM111" s="903">
        <v>20</v>
      </c>
      <c r="CN111" s="578">
        <v>0</v>
      </c>
      <c r="CO111" s="902">
        <v>0</v>
      </c>
      <c r="CP111" s="903"/>
      <c r="CQ111" s="578">
        <v>0</v>
      </c>
      <c r="CR111" s="902">
        <v>0</v>
      </c>
      <c r="CS111" s="903">
        <v>20</v>
      </c>
      <c r="CT111" s="551">
        <f>BG111+BJ111+BM111+BP111+BS111+BV111+BY111+CB111+CH111+CK111+CN111+CQ111+CE111</f>
        <v>14786.435164835166</v>
      </c>
      <c r="CU111" s="552">
        <f>BH111+BK111+BN111+BQ111+BT111+BW111+BZ111+CC111+CI111+CL111+CO111+CR111+CF111</f>
        <v>161.87791648351649</v>
      </c>
      <c r="CV111" s="553">
        <f>+BI111+BL111+BO111+BR111+BU111+BX111+CA111+CD111+CG111+CJ111+CM111+CP111+CS111</f>
        <v>62</v>
      </c>
      <c r="CW111" s="587"/>
      <c r="CX111" s="554">
        <f>+CU111+CV111-CW111</f>
        <v>223.87791648351649</v>
      </c>
      <c r="CY111" s="588">
        <f t="shared" si="193"/>
        <v>45090.394505494507</v>
      </c>
      <c r="CZ111" s="589">
        <f t="shared" si="193"/>
        <v>475.06555054945056</v>
      </c>
      <c r="DA111" s="590">
        <f t="shared" si="193"/>
        <v>82</v>
      </c>
      <c r="DB111" s="591">
        <f>+CZ111+DA111</f>
        <v>557.06555054945056</v>
      </c>
      <c r="DD111" s="192"/>
      <c r="DE111" s="192"/>
      <c r="DF111" s="192"/>
      <c r="DG111" s="192"/>
      <c r="DH111" s="192"/>
      <c r="DI111" s="192"/>
      <c r="DJ111" s="192"/>
      <c r="DK111" s="192"/>
      <c r="DL111" s="192"/>
      <c r="DM111" s="192"/>
      <c r="DN111" s="192"/>
      <c r="DO111" s="192"/>
      <c r="DP111" s="192"/>
      <c r="DQ111" s="192"/>
      <c r="DR111" s="192"/>
      <c r="DS111" s="192"/>
      <c r="DT111" s="192"/>
      <c r="DU111" s="192"/>
      <c r="DV111" s="192"/>
      <c r="DW111" s="192"/>
      <c r="DX111" s="192"/>
      <c r="DY111" s="192"/>
      <c r="DZ111" s="192"/>
      <c r="EA111" s="192"/>
      <c r="EB111" s="192"/>
      <c r="EC111" s="192"/>
      <c r="ED111" s="192"/>
      <c r="EE111" s="192"/>
      <c r="EF111" s="192"/>
      <c r="EG111" s="192"/>
      <c r="EH111" s="192"/>
      <c r="EI111" s="192"/>
      <c r="EJ111" s="192"/>
      <c r="EK111" s="192"/>
      <c r="EL111" s="192"/>
      <c r="EM111" s="192"/>
      <c r="EN111" s="192"/>
      <c r="EO111" s="192"/>
      <c r="EP111" s="192"/>
      <c r="EQ111" s="192"/>
      <c r="ER111" s="192"/>
    </row>
    <row r="112" spans="1:170" ht="15.75" customHeight="1" x14ac:dyDescent="0.25">
      <c r="A112" s="894">
        <f t="shared" si="195"/>
        <v>88</v>
      </c>
      <c r="B112" s="833" t="s">
        <v>208</v>
      </c>
      <c r="C112" s="833" t="s">
        <v>713</v>
      </c>
      <c r="D112" s="769"/>
      <c r="E112" s="831"/>
      <c r="F112" s="578">
        <v>1834.5</v>
      </c>
      <c r="G112" s="902">
        <v>20.394500000000001</v>
      </c>
      <c r="H112" s="903"/>
      <c r="I112" s="578">
        <v>2712</v>
      </c>
      <c r="J112" s="902">
        <v>28.291999999999998</v>
      </c>
      <c r="K112" s="903"/>
      <c r="L112" s="578">
        <v>3497.6</v>
      </c>
      <c r="M112" s="902">
        <v>35.362399999999994</v>
      </c>
      <c r="N112" s="903"/>
      <c r="O112" s="578"/>
      <c r="P112" s="902">
        <v>0</v>
      </c>
      <c r="Q112" s="903"/>
      <c r="R112" s="578">
        <v>2799.4285714285716</v>
      </c>
      <c r="S112" s="902">
        <v>28.794857142857143</v>
      </c>
      <c r="T112" s="903"/>
      <c r="U112" s="578">
        <v>0</v>
      </c>
      <c r="V112" s="902">
        <v>0</v>
      </c>
      <c r="W112" s="903"/>
      <c r="X112" s="578">
        <v>2028.8</v>
      </c>
      <c r="Y112" s="902">
        <v>21.859200000000001</v>
      </c>
      <c r="Z112" s="903"/>
      <c r="AA112" s="578">
        <v>1963.2</v>
      </c>
      <c r="AB112" s="902">
        <v>21.268799999999999</v>
      </c>
      <c r="AC112" s="903"/>
      <c r="AD112" s="578">
        <v>4409.6000000000004</v>
      </c>
      <c r="AE112" s="902">
        <v>43.2864</v>
      </c>
      <c r="AF112" s="903"/>
      <c r="AG112" s="578">
        <v>0</v>
      </c>
      <c r="AH112" s="902">
        <v>0</v>
      </c>
      <c r="AI112" s="903"/>
      <c r="AJ112" s="578">
        <v>3195.2</v>
      </c>
      <c r="AK112" s="902">
        <v>32.356799999999993</v>
      </c>
      <c r="AL112" s="903"/>
      <c r="AM112" s="578">
        <v>1984</v>
      </c>
      <c r="AN112" s="902">
        <v>21.456</v>
      </c>
      <c r="AO112" s="903"/>
      <c r="AP112" s="578">
        <v>0</v>
      </c>
      <c r="AQ112" s="902">
        <v>0</v>
      </c>
      <c r="AR112" s="905">
        <v>20</v>
      </c>
      <c r="AS112" s="578">
        <v>2582.4</v>
      </c>
      <c r="AT112" s="902">
        <v>26.8416</v>
      </c>
      <c r="AU112" s="903"/>
      <c r="AV112" s="578"/>
      <c r="AW112" s="902">
        <v>0</v>
      </c>
      <c r="AX112" s="903"/>
      <c r="AY112" s="578"/>
      <c r="AZ112" s="902">
        <v>0</v>
      </c>
      <c r="BA112" s="903"/>
      <c r="BB112" s="463">
        <f t="shared" si="188"/>
        <v>27006.728571428572</v>
      </c>
      <c r="BC112" s="464">
        <f t="shared" si="188"/>
        <v>279.91255714285717</v>
      </c>
      <c r="BD112" s="901">
        <f t="shared" si="188"/>
        <v>20</v>
      </c>
      <c r="BE112" s="587"/>
      <c r="BF112" s="637">
        <f t="shared" si="189"/>
        <v>299.91255714285717</v>
      </c>
      <c r="BG112" s="578">
        <v>3089.1428571428573</v>
      </c>
      <c r="BH112" s="902">
        <v>31.402285714285714</v>
      </c>
      <c r="BI112" s="903"/>
      <c r="BJ112" s="578">
        <v>0</v>
      </c>
      <c r="BK112" s="902">
        <v>0</v>
      </c>
      <c r="BL112" s="905">
        <v>0</v>
      </c>
      <c r="BM112" s="578">
        <v>633.23076923076928</v>
      </c>
      <c r="BN112" s="902">
        <v>9.2990769230769228</v>
      </c>
      <c r="BO112" s="903"/>
      <c r="BP112" s="578">
        <v>1545.6</v>
      </c>
      <c r="BQ112" s="902">
        <v>17.510399999999997</v>
      </c>
      <c r="BR112" s="903"/>
      <c r="BS112" s="578">
        <v>1296</v>
      </c>
      <c r="BT112" s="902">
        <v>15.263999999999999</v>
      </c>
      <c r="BU112" s="903"/>
      <c r="BV112" s="578">
        <v>1948</v>
      </c>
      <c r="BW112" s="902">
        <v>21.132000000000001</v>
      </c>
      <c r="BX112" s="903"/>
      <c r="BY112" s="578">
        <v>1074.4615384615386</v>
      </c>
      <c r="BZ112" s="902">
        <v>13.270153846153846</v>
      </c>
      <c r="CA112" s="903"/>
      <c r="CB112" s="578">
        <v>0</v>
      </c>
      <c r="CC112" s="902">
        <v>0</v>
      </c>
      <c r="CD112" s="905">
        <v>0</v>
      </c>
      <c r="CE112" s="578">
        <v>2912</v>
      </c>
      <c r="CF112" s="902">
        <v>29.808</v>
      </c>
      <c r="CG112" s="903"/>
      <c r="CH112" s="578">
        <v>2288</v>
      </c>
      <c r="CI112" s="902">
        <v>24.192</v>
      </c>
      <c r="CJ112" s="903"/>
      <c r="CK112" s="578">
        <v>0</v>
      </c>
      <c r="CL112" s="902">
        <v>0</v>
      </c>
      <c r="CM112" s="903"/>
      <c r="CN112" s="578">
        <v>0</v>
      </c>
      <c r="CO112" s="902">
        <v>0</v>
      </c>
      <c r="CP112" s="903"/>
      <c r="CQ112" s="578">
        <v>0</v>
      </c>
      <c r="CR112" s="902">
        <v>0</v>
      </c>
      <c r="CS112" s="903"/>
      <c r="CT112" s="551">
        <f t="shared" si="190"/>
        <v>14786.435164835166</v>
      </c>
      <c r="CU112" s="906">
        <f t="shared" si="190"/>
        <v>161.87791648351649</v>
      </c>
      <c r="CV112" s="907">
        <f t="shared" si="191"/>
        <v>0</v>
      </c>
      <c r="CW112" s="587"/>
      <c r="CX112" s="554">
        <f t="shared" si="192"/>
        <v>161.87791648351649</v>
      </c>
      <c r="CY112" s="588">
        <f t="shared" si="193"/>
        <v>41793.163736263741</v>
      </c>
      <c r="CZ112" s="589">
        <f t="shared" si="193"/>
        <v>441.79047362637368</v>
      </c>
      <c r="DA112" s="590">
        <f t="shared" si="193"/>
        <v>20</v>
      </c>
      <c r="DB112" s="591">
        <f t="shared" si="194"/>
        <v>461.79047362637368</v>
      </c>
      <c r="DD112" s="192"/>
      <c r="DE112" s="192"/>
      <c r="DF112" s="192"/>
      <c r="DG112" s="192"/>
      <c r="DH112" s="192"/>
      <c r="DI112" s="192"/>
      <c r="DJ112" s="192"/>
      <c r="DK112" s="192"/>
      <c r="DL112" s="192"/>
      <c r="DM112" s="192"/>
      <c r="DN112" s="192"/>
      <c r="DO112" s="192"/>
      <c r="DP112" s="192"/>
      <c r="DQ112" s="192"/>
      <c r="DR112" s="192"/>
      <c r="DS112" s="192"/>
      <c r="DT112" s="192"/>
      <c r="DU112" s="192"/>
      <c r="DV112" s="192"/>
      <c r="DW112" s="192"/>
      <c r="DX112" s="192"/>
      <c r="DY112" s="192"/>
      <c r="DZ112" s="192"/>
      <c r="EA112" s="192"/>
      <c r="EB112" s="192"/>
      <c r="EC112" s="192"/>
      <c r="ED112" s="192"/>
      <c r="EE112" s="192"/>
      <c r="EF112" s="192"/>
      <c r="EG112" s="192"/>
      <c r="EH112" s="192"/>
      <c r="EI112" s="192"/>
      <c r="EJ112" s="192"/>
      <c r="EK112" s="192"/>
      <c r="EL112" s="192"/>
      <c r="EM112" s="192"/>
      <c r="EN112" s="192"/>
      <c r="EO112" s="192"/>
      <c r="EP112" s="192"/>
      <c r="EQ112" s="192"/>
      <c r="ER112" s="192"/>
    </row>
    <row r="113" spans="1:170" s="571" customFormat="1" ht="15.75" customHeight="1" x14ac:dyDescent="0.25">
      <c r="A113" s="894">
        <f t="shared" si="195"/>
        <v>89</v>
      </c>
      <c r="B113" s="510" t="s">
        <v>209</v>
      </c>
      <c r="C113" s="833" t="s">
        <v>713</v>
      </c>
      <c r="D113" s="769" t="s">
        <v>719</v>
      </c>
      <c r="E113" s="770" t="s">
        <v>720</v>
      </c>
      <c r="F113" s="578">
        <v>1834.5</v>
      </c>
      <c r="G113" s="902">
        <v>20.394500000000001</v>
      </c>
      <c r="H113" s="903"/>
      <c r="I113" s="578">
        <v>2712</v>
      </c>
      <c r="J113" s="902">
        <v>28.291999999999998</v>
      </c>
      <c r="K113" s="903"/>
      <c r="L113" s="578">
        <v>3497.6</v>
      </c>
      <c r="M113" s="902">
        <v>35.362399999999994</v>
      </c>
      <c r="N113" s="903"/>
      <c r="O113" s="578"/>
      <c r="P113" s="902">
        <v>0</v>
      </c>
      <c r="Q113" s="903"/>
      <c r="R113" s="578">
        <v>2799.4285714285716</v>
      </c>
      <c r="S113" s="902">
        <v>28.794857142857143</v>
      </c>
      <c r="T113" s="903"/>
      <c r="U113" s="578">
        <v>3297.2307692307691</v>
      </c>
      <c r="V113" s="902">
        <v>33.275076923076917</v>
      </c>
      <c r="W113" s="903"/>
      <c r="X113" s="578">
        <v>2028.8</v>
      </c>
      <c r="Y113" s="902">
        <v>21.859200000000001</v>
      </c>
      <c r="Z113" s="903"/>
      <c r="AA113" s="578">
        <v>1963.2</v>
      </c>
      <c r="AB113" s="902">
        <v>21.268799999999999</v>
      </c>
      <c r="AC113" s="903"/>
      <c r="AD113" s="578">
        <v>4409.6000000000004</v>
      </c>
      <c r="AE113" s="902">
        <v>43.2864</v>
      </c>
      <c r="AF113" s="903"/>
      <c r="AG113" s="578">
        <v>0</v>
      </c>
      <c r="AH113" s="902">
        <v>0</v>
      </c>
      <c r="AI113" s="903"/>
      <c r="AJ113" s="578">
        <v>3195.2</v>
      </c>
      <c r="AK113" s="902">
        <v>32.356799999999993</v>
      </c>
      <c r="AL113" s="903"/>
      <c r="AM113" s="578">
        <v>1984</v>
      </c>
      <c r="AN113" s="902">
        <v>21.456</v>
      </c>
      <c r="AO113" s="903"/>
      <c r="AP113" s="578">
        <v>0</v>
      </c>
      <c r="AQ113" s="902">
        <v>0</v>
      </c>
      <c r="AR113" s="905">
        <v>20</v>
      </c>
      <c r="AS113" s="578">
        <v>2582.4</v>
      </c>
      <c r="AT113" s="902">
        <v>26.8416</v>
      </c>
      <c r="AU113" s="903"/>
      <c r="AV113" s="578"/>
      <c r="AW113" s="902">
        <v>0</v>
      </c>
      <c r="AX113" s="903"/>
      <c r="AY113" s="578"/>
      <c r="AZ113" s="902">
        <v>0</v>
      </c>
      <c r="BA113" s="903"/>
      <c r="BB113" s="463">
        <f>+F113+I113+L113+O113+R113+U113+X113+AA113+AD113+AG113+AJ113+AM113+AP113+AS113+AV113+AY113</f>
        <v>30303.959340659345</v>
      </c>
      <c r="BC113" s="464">
        <f>+G113+J113+M113+P113+S113+V113+Y113+AB113+AE113+AH113+AK113+AN113+AQ113+AT113+AW113+AZ113</f>
        <v>313.18763406593405</v>
      </c>
      <c r="BD113" s="901">
        <f>+H113+K113+N113+Q113+T113+W113+Z113+AC113+AF113+AI113+AL113+AO113+AR113+AU113+AX113+BA113</f>
        <v>20</v>
      </c>
      <c r="BE113" s="587"/>
      <c r="BF113" s="637">
        <f t="shared" si="189"/>
        <v>333.18763406593405</v>
      </c>
      <c r="BG113" s="578">
        <v>3089.1428571428573</v>
      </c>
      <c r="BH113" s="902">
        <v>31.402285714285714</v>
      </c>
      <c r="BI113" s="903"/>
      <c r="BJ113" s="578">
        <v>0</v>
      </c>
      <c r="BK113" s="902">
        <v>0</v>
      </c>
      <c r="BL113" s="905">
        <v>12</v>
      </c>
      <c r="BM113" s="578">
        <v>633.23076923076928</v>
      </c>
      <c r="BN113" s="902">
        <v>9.2990769230769228</v>
      </c>
      <c r="BO113" s="903"/>
      <c r="BP113" s="578">
        <v>1545.6</v>
      </c>
      <c r="BQ113" s="902">
        <v>17.510399999999997</v>
      </c>
      <c r="BR113" s="903"/>
      <c r="BS113" s="578">
        <v>1296</v>
      </c>
      <c r="BT113" s="902">
        <v>15.263999999999999</v>
      </c>
      <c r="BU113" s="903"/>
      <c r="BV113" s="578">
        <v>0</v>
      </c>
      <c r="BW113" s="902">
        <v>0</v>
      </c>
      <c r="BX113" s="903"/>
      <c r="BY113" s="578">
        <v>1074.4615384615386</v>
      </c>
      <c r="BZ113" s="902">
        <v>13.270153846153846</v>
      </c>
      <c r="CA113" s="903"/>
      <c r="CB113" s="578">
        <v>0</v>
      </c>
      <c r="CC113" s="902">
        <v>0</v>
      </c>
      <c r="CD113" s="905">
        <v>10</v>
      </c>
      <c r="CE113" s="578">
        <v>2912</v>
      </c>
      <c r="CF113" s="902">
        <v>29.808</v>
      </c>
      <c r="CG113" s="903"/>
      <c r="CH113" s="578">
        <v>2288</v>
      </c>
      <c r="CI113" s="902">
        <v>24.192</v>
      </c>
      <c r="CJ113" s="903"/>
      <c r="CK113" s="578">
        <v>0</v>
      </c>
      <c r="CL113" s="902">
        <v>0</v>
      </c>
      <c r="CM113" s="903"/>
      <c r="CN113" s="578">
        <v>0</v>
      </c>
      <c r="CO113" s="902">
        <v>0</v>
      </c>
      <c r="CP113" s="903"/>
      <c r="CQ113" s="578">
        <v>0</v>
      </c>
      <c r="CR113" s="902">
        <v>0</v>
      </c>
      <c r="CS113" s="903"/>
      <c r="CT113" s="551">
        <f>BG113+BJ113+BM113+BP113+BS113+BV113+BY113+CB113+CH113+CK113+CN113+CQ113+CE113</f>
        <v>12838.435164835166</v>
      </c>
      <c r="CU113" s="906">
        <f>BH113+BK113+BN113+BQ113+BT113+BW113+BZ113+CC113+CI113+CL113+CO113+CR113+CF113</f>
        <v>140.74591648351648</v>
      </c>
      <c r="CV113" s="907">
        <f>+BI113+BL113+BO113+BR113+BU113+BX113+CA113+CD113+CG113+CJ113+CM113+CP113+CS113</f>
        <v>22</v>
      </c>
      <c r="CW113" s="587"/>
      <c r="CX113" s="554">
        <f>+CU113+CV113-CW113</f>
        <v>162.74591648351648</v>
      </c>
      <c r="CY113" s="588">
        <f>+BB113+CT113</f>
        <v>43142.394505494507</v>
      </c>
      <c r="CZ113" s="589">
        <f>+BC113+CU113</f>
        <v>453.9335505494505</v>
      </c>
      <c r="DA113" s="590">
        <f>+BD113+CV113</f>
        <v>42</v>
      </c>
      <c r="DB113" s="591">
        <f>+CZ113+DA113</f>
        <v>495.9335505494505</v>
      </c>
      <c r="DC113" s="192"/>
      <c r="DD113" s="192"/>
    </row>
    <row r="114" spans="1:170" ht="15.75" customHeight="1" x14ac:dyDescent="0.25">
      <c r="A114" s="894">
        <f t="shared" si="195"/>
        <v>90</v>
      </c>
      <c r="B114" s="833" t="s">
        <v>211</v>
      </c>
      <c r="C114" s="833" t="s">
        <v>713</v>
      </c>
      <c r="D114" s="769"/>
      <c r="E114" s="831"/>
      <c r="F114" s="578">
        <v>1834.5</v>
      </c>
      <c r="G114" s="902">
        <v>16.392500000000002</v>
      </c>
      <c r="H114" s="903"/>
      <c r="I114" s="578">
        <v>2712</v>
      </c>
      <c r="J114" s="902">
        <v>24.29</v>
      </c>
      <c r="K114" s="903"/>
      <c r="L114" s="578">
        <v>3497.6</v>
      </c>
      <c r="M114" s="902">
        <v>31.360399999999998</v>
      </c>
      <c r="N114" s="903"/>
      <c r="O114" s="578"/>
      <c r="P114" s="902">
        <v>0</v>
      </c>
      <c r="Q114" s="903"/>
      <c r="R114" s="578">
        <v>2799.4285714285716</v>
      </c>
      <c r="S114" s="902">
        <v>24.794857142857143</v>
      </c>
      <c r="T114" s="903"/>
      <c r="U114" s="578">
        <v>3297.2307692307691</v>
      </c>
      <c r="V114" s="902">
        <v>29.27507692307692</v>
      </c>
      <c r="W114" s="903"/>
      <c r="X114" s="578">
        <v>2028.8</v>
      </c>
      <c r="Y114" s="902">
        <v>17.859200000000001</v>
      </c>
      <c r="Z114" s="903"/>
      <c r="AA114" s="578">
        <v>1963.2</v>
      </c>
      <c r="AB114" s="902">
        <v>17.268799999999999</v>
      </c>
      <c r="AC114" s="903"/>
      <c r="AD114" s="578">
        <v>4409.6000000000004</v>
      </c>
      <c r="AE114" s="902">
        <v>39.2864</v>
      </c>
      <c r="AF114" s="903"/>
      <c r="AG114" s="578">
        <v>0</v>
      </c>
      <c r="AH114" s="902">
        <v>0</v>
      </c>
      <c r="AI114" s="903"/>
      <c r="AJ114" s="578">
        <v>3195.2</v>
      </c>
      <c r="AK114" s="902">
        <v>28.356799999999996</v>
      </c>
      <c r="AL114" s="903"/>
      <c r="AM114" s="578">
        <v>1984</v>
      </c>
      <c r="AN114" s="902">
        <v>17.456</v>
      </c>
      <c r="AO114" s="903"/>
      <c r="AP114" s="578">
        <v>0</v>
      </c>
      <c r="AQ114" s="902">
        <v>0</v>
      </c>
      <c r="AR114" s="905">
        <v>20</v>
      </c>
      <c r="AS114" s="578">
        <v>2582.4</v>
      </c>
      <c r="AT114" s="902">
        <v>22.8416</v>
      </c>
      <c r="AU114" s="903"/>
      <c r="AV114" s="578"/>
      <c r="AW114" s="902">
        <v>0</v>
      </c>
      <c r="AX114" s="903"/>
      <c r="AY114" s="578"/>
      <c r="AZ114" s="902">
        <v>0</v>
      </c>
      <c r="BA114" s="903"/>
      <c r="BB114" s="463">
        <f t="shared" si="188"/>
        <v>30303.959340659345</v>
      </c>
      <c r="BC114" s="464">
        <f t="shared" si="188"/>
        <v>269.18163406593408</v>
      </c>
      <c r="BD114" s="901">
        <f t="shared" si="188"/>
        <v>20</v>
      </c>
      <c r="BE114" s="587"/>
      <c r="BF114" s="637">
        <f t="shared" si="189"/>
        <v>289.18163406593408</v>
      </c>
      <c r="BG114" s="578">
        <v>3089.1428571428573</v>
      </c>
      <c r="BH114" s="902">
        <v>27.402285714285714</v>
      </c>
      <c r="BI114" s="903"/>
      <c r="BJ114" s="578">
        <v>0</v>
      </c>
      <c r="BK114" s="902">
        <v>0</v>
      </c>
      <c r="BL114" s="905">
        <v>12</v>
      </c>
      <c r="BM114" s="578">
        <v>0</v>
      </c>
      <c r="BN114" s="902">
        <v>0</v>
      </c>
      <c r="BO114" s="903"/>
      <c r="BP114" s="578">
        <v>1545.6</v>
      </c>
      <c r="BQ114" s="902">
        <v>13.510399999999997</v>
      </c>
      <c r="BR114" s="903"/>
      <c r="BS114" s="578">
        <v>1296</v>
      </c>
      <c r="BT114" s="902">
        <v>11.263999999999999</v>
      </c>
      <c r="BU114" s="903"/>
      <c r="BV114" s="578">
        <v>1948</v>
      </c>
      <c r="BW114" s="902">
        <v>17.132000000000001</v>
      </c>
      <c r="BX114" s="903"/>
      <c r="BY114" s="578">
        <v>1074.4615384615386</v>
      </c>
      <c r="BZ114" s="902">
        <v>9.2701538461538462</v>
      </c>
      <c r="CA114" s="903"/>
      <c r="CB114" s="578">
        <v>0</v>
      </c>
      <c r="CC114" s="902">
        <v>0</v>
      </c>
      <c r="CD114" s="905">
        <v>10</v>
      </c>
      <c r="CE114" s="578">
        <v>2912</v>
      </c>
      <c r="CF114" s="902">
        <v>25.808</v>
      </c>
      <c r="CG114" s="903"/>
      <c r="CH114" s="578">
        <v>2288</v>
      </c>
      <c r="CI114" s="902">
        <v>20.192</v>
      </c>
      <c r="CJ114" s="903"/>
      <c r="CK114" s="578">
        <v>0</v>
      </c>
      <c r="CL114" s="902">
        <v>0</v>
      </c>
      <c r="CM114" s="903"/>
      <c r="CN114" s="578">
        <v>0</v>
      </c>
      <c r="CO114" s="902">
        <v>0</v>
      </c>
      <c r="CP114" s="903"/>
      <c r="CQ114" s="578">
        <v>0</v>
      </c>
      <c r="CR114" s="902">
        <v>0</v>
      </c>
      <c r="CS114" s="903"/>
      <c r="CT114" s="551">
        <f t="shared" si="190"/>
        <v>14153.204395604396</v>
      </c>
      <c r="CU114" s="552">
        <f t="shared" si="190"/>
        <v>124.57883956043955</v>
      </c>
      <c r="CV114" s="553">
        <f t="shared" si="191"/>
        <v>22</v>
      </c>
      <c r="CW114" s="587"/>
      <c r="CX114" s="554">
        <f t="shared" si="192"/>
        <v>146.57883956043955</v>
      </c>
      <c r="CY114" s="588">
        <f t="shared" si="193"/>
        <v>44457.163736263741</v>
      </c>
      <c r="CZ114" s="589">
        <f t="shared" si="193"/>
        <v>393.7604736263736</v>
      </c>
      <c r="DA114" s="590">
        <f t="shared" si="193"/>
        <v>42</v>
      </c>
      <c r="DB114" s="591">
        <f t="shared" si="194"/>
        <v>435.7604736263736</v>
      </c>
      <c r="DD114" s="192"/>
      <c r="DE114" s="192"/>
      <c r="DF114" s="192"/>
      <c r="DG114" s="192"/>
      <c r="DH114" s="192"/>
      <c r="DI114" s="192"/>
      <c r="DJ114" s="192"/>
      <c r="DK114" s="192"/>
      <c r="DL114" s="192"/>
      <c r="DM114" s="192"/>
      <c r="DN114" s="192"/>
      <c r="DO114" s="192"/>
      <c r="DP114" s="192"/>
      <c r="DQ114" s="192"/>
      <c r="DR114" s="192"/>
      <c r="DS114" s="192"/>
      <c r="DT114" s="192"/>
      <c r="DU114" s="192"/>
      <c r="DV114" s="192"/>
      <c r="DW114" s="192"/>
      <c r="DX114" s="192"/>
      <c r="DY114" s="192"/>
      <c r="DZ114" s="192"/>
      <c r="EA114" s="192"/>
      <c r="EB114" s="192"/>
      <c r="EC114" s="192"/>
      <c r="ED114" s="192"/>
      <c r="EE114" s="192"/>
      <c r="EF114" s="192"/>
      <c r="EG114" s="192"/>
      <c r="EH114" s="192"/>
      <c r="EI114" s="192"/>
      <c r="EJ114" s="192"/>
      <c r="EK114" s="192"/>
      <c r="EL114" s="192"/>
      <c r="EM114" s="192"/>
      <c r="EN114" s="192"/>
      <c r="EO114" s="192"/>
      <c r="EP114" s="192"/>
      <c r="EQ114" s="192"/>
      <c r="ER114" s="192"/>
    </row>
    <row r="115" spans="1:170" ht="15.75" customHeight="1" x14ac:dyDescent="0.25">
      <c r="A115" s="894">
        <f t="shared" si="195"/>
        <v>91</v>
      </c>
      <c r="B115" s="835" t="s">
        <v>213</v>
      </c>
      <c r="C115" s="833" t="s">
        <v>713</v>
      </c>
      <c r="D115" s="769" t="s">
        <v>721</v>
      </c>
      <c r="E115" s="770" t="s">
        <v>722</v>
      </c>
      <c r="F115" s="578">
        <v>1834.5</v>
      </c>
      <c r="G115" s="902">
        <v>16.392500000000002</v>
      </c>
      <c r="H115" s="903"/>
      <c r="I115" s="578">
        <v>2712</v>
      </c>
      <c r="J115" s="902">
        <v>24.29</v>
      </c>
      <c r="K115" s="903"/>
      <c r="L115" s="578">
        <v>3497.6</v>
      </c>
      <c r="M115" s="902">
        <v>31.360399999999998</v>
      </c>
      <c r="N115" s="903"/>
      <c r="O115" s="578">
        <v>0</v>
      </c>
      <c r="P115" s="902">
        <v>0</v>
      </c>
      <c r="Q115" s="903">
        <v>20</v>
      </c>
      <c r="R115" s="578">
        <v>2799.4285714285716</v>
      </c>
      <c r="S115" s="902">
        <v>24.794857142857143</v>
      </c>
      <c r="T115" s="903"/>
      <c r="U115" s="578">
        <v>3297.2307692307691</v>
      </c>
      <c r="V115" s="902">
        <v>29.27507692307692</v>
      </c>
      <c r="W115" s="903"/>
      <c r="X115" s="578">
        <v>2028.8</v>
      </c>
      <c r="Y115" s="902">
        <v>17.859200000000001</v>
      </c>
      <c r="Z115" s="903"/>
      <c r="AA115" s="578">
        <v>1963.2</v>
      </c>
      <c r="AB115" s="902">
        <v>17.268799999999999</v>
      </c>
      <c r="AC115" s="903"/>
      <c r="AD115" s="578">
        <v>4409.6000000000004</v>
      </c>
      <c r="AE115" s="902">
        <v>39.2864</v>
      </c>
      <c r="AF115" s="903"/>
      <c r="AG115" s="578">
        <v>0</v>
      </c>
      <c r="AH115" s="902">
        <v>0</v>
      </c>
      <c r="AI115" s="903"/>
      <c r="AJ115" s="578">
        <v>3195.2</v>
      </c>
      <c r="AK115" s="902">
        <v>28.356799999999996</v>
      </c>
      <c r="AL115" s="903"/>
      <c r="AM115" s="578">
        <v>1984</v>
      </c>
      <c r="AN115" s="902">
        <v>17.456</v>
      </c>
      <c r="AO115" s="903"/>
      <c r="AP115" s="578">
        <v>0</v>
      </c>
      <c r="AQ115" s="902">
        <v>0</v>
      </c>
      <c r="AR115" s="905">
        <v>20</v>
      </c>
      <c r="AS115" s="578">
        <v>2582.4</v>
      </c>
      <c r="AT115" s="902">
        <v>22.8416</v>
      </c>
      <c r="AU115" s="903"/>
      <c r="AV115" s="578"/>
      <c r="AW115" s="902">
        <v>0</v>
      </c>
      <c r="AX115" s="903"/>
      <c r="AY115" s="578"/>
      <c r="AZ115" s="902">
        <v>0</v>
      </c>
      <c r="BA115" s="903"/>
      <c r="BB115" s="463">
        <f t="shared" si="188"/>
        <v>30303.959340659345</v>
      </c>
      <c r="BC115" s="464">
        <f t="shared" si="188"/>
        <v>269.18163406593408</v>
      </c>
      <c r="BD115" s="901">
        <f t="shared" si="188"/>
        <v>40</v>
      </c>
      <c r="BE115" s="587"/>
      <c r="BF115" s="637">
        <f t="shared" si="189"/>
        <v>309.18163406593408</v>
      </c>
      <c r="BG115" s="578">
        <v>3089.1428571428573</v>
      </c>
      <c r="BH115" s="902">
        <v>27.402285714285714</v>
      </c>
      <c r="BI115" s="903"/>
      <c r="BJ115" s="578">
        <v>0</v>
      </c>
      <c r="BK115" s="902">
        <v>0</v>
      </c>
      <c r="BL115" s="905">
        <v>0</v>
      </c>
      <c r="BM115" s="578">
        <v>633.23076923076928</v>
      </c>
      <c r="BN115" s="902">
        <v>5.2990769230769228</v>
      </c>
      <c r="BO115" s="903"/>
      <c r="BP115" s="578">
        <v>1545.6</v>
      </c>
      <c r="BQ115" s="902">
        <v>13.510399999999997</v>
      </c>
      <c r="BR115" s="903"/>
      <c r="BS115" s="578">
        <v>0</v>
      </c>
      <c r="BT115" s="902">
        <v>0</v>
      </c>
      <c r="BU115" s="903"/>
      <c r="BV115" s="578">
        <v>0</v>
      </c>
      <c r="BW115" s="902">
        <v>0</v>
      </c>
      <c r="BX115" s="903"/>
      <c r="BY115" s="578">
        <v>0</v>
      </c>
      <c r="BZ115" s="902">
        <v>0</v>
      </c>
      <c r="CA115" s="903"/>
      <c r="CB115" s="578">
        <v>0</v>
      </c>
      <c r="CC115" s="902">
        <v>0</v>
      </c>
      <c r="CD115" s="905">
        <v>0</v>
      </c>
      <c r="CE115" s="578">
        <v>2912</v>
      </c>
      <c r="CF115" s="902">
        <v>25.808</v>
      </c>
      <c r="CG115" s="903"/>
      <c r="CH115" s="578">
        <v>2288</v>
      </c>
      <c r="CI115" s="902">
        <v>20.192</v>
      </c>
      <c r="CJ115" s="903"/>
      <c r="CK115" s="578">
        <v>0</v>
      </c>
      <c r="CL115" s="902">
        <v>0</v>
      </c>
      <c r="CM115" s="903"/>
      <c r="CN115" s="578">
        <v>0</v>
      </c>
      <c r="CO115" s="902">
        <v>0</v>
      </c>
      <c r="CP115" s="903"/>
      <c r="CQ115" s="578">
        <v>0</v>
      </c>
      <c r="CR115" s="902">
        <v>0</v>
      </c>
      <c r="CS115" s="903"/>
      <c r="CT115" s="551">
        <f t="shared" si="190"/>
        <v>10467.973626373627</v>
      </c>
      <c r="CU115" s="552">
        <f t="shared" si="190"/>
        <v>92.211762637362625</v>
      </c>
      <c r="CV115" s="553">
        <f t="shared" si="191"/>
        <v>0</v>
      </c>
      <c r="CW115" s="587"/>
      <c r="CX115" s="554">
        <f t="shared" si="192"/>
        <v>92.211762637362625</v>
      </c>
      <c r="CY115" s="588">
        <f t="shared" si="193"/>
        <v>40771.932967032975</v>
      </c>
      <c r="CZ115" s="589">
        <f t="shared" si="193"/>
        <v>361.39339670329673</v>
      </c>
      <c r="DA115" s="590">
        <f t="shared" si="193"/>
        <v>40</v>
      </c>
      <c r="DB115" s="591">
        <f t="shared" si="194"/>
        <v>401.39339670329673</v>
      </c>
      <c r="DC115" s="192" t="s">
        <v>723</v>
      </c>
      <c r="DD115" s="892">
        <f>+CZ116+DD116</f>
        <v>5703.1839999999993</v>
      </c>
      <c r="DE115" s="892">
        <f t="shared" ref="DE115:DF115" si="196">+DA116+DE116</f>
        <v>934.93444945054944</v>
      </c>
      <c r="DF115" s="892">
        <f t="shared" si="196"/>
        <v>6638.1184494505487</v>
      </c>
      <c r="DG115" s="571"/>
      <c r="DH115" s="571"/>
      <c r="DI115" s="571"/>
      <c r="DJ115" s="571"/>
      <c r="DK115" s="571"/>
      <c r="DL115" s="571"/>
      <c r="DM115" s="571"/>
      <c r="DN115" s="571"/>
      <c r="DO115" s="571"/>
      <c r="DP115" s="571"/>
      <c r="DQ115" s="571"/>
      <c r="DR115" s="571"/>
      <c r="DS115" s="571"/>
      <c r="DT115" s="571"/>
      <c r="DU115" s="571"/>
      <c r="DV115" s="571"/>
      <c r="DW115" s="571"/>
      <c r="DX115" s="571"/>
      <c r="DY115" s="571"/>
      <c r="DZ115" s="571"/>
      <c r="EA115" s="571"/>
      <c r="EB115" s="571"/>
      <c r="EC115" s="571"/>
      <c r="ED115" s="571"/>
      <c r="EE115" s="571"/>
      <c r="EF115" s="571"/>
      <c r="EG115" s="571"/>
      <c r="EH115" s="571"/>
      <c r="EI115" s="571"/>
      <c r="EJ115" s="571"/>
      <c r="EK115" s="571"/>
      <c r="EL115" s="571"/>
      <c r="EM115" s="571"/>
      <c r="EN115" s="571"/>
      <c r="EO115" s="571"/>
      <c r="EP115" s="571"/>
      <c r="EQ115" s="571"/>
      <c r="ER115" s="571"/>
      <c r="ES115" s="571"/>
      <c r="ET115" s="571"/>
      <c r="EU115" s="571"/>
      <c r="EV115" s="571"/>
      <c r="EW115" s="571"/>
      <c r="EX115" s="571"/>
      <c r="EY115" s="571"/>
      <c r="EZ115" s="571"/>
      <c r="FA115" s="571"/>
      <c r="FB115" s="571"/>
      <c r="FC115" s="571"/>
      <c r="FD115" s="571"/>
      <c r="FE115" s="571"/>
      <c r="FF115" s="571"/>
      <c r="FG115" s="571"/>
      <c r="FH115" s="571"/>
      <c r="FI115" s="571"/>
      <c r="FJ115" s="571"/>
      <c r="FK115" s="571"/>
      <c r="FL115" s="571"/>
      <c r="FM115" s="571"/>
      <c r="FN115" s="571"/>
    </row>
    <row r="116" spans="1:170" s="571" customFormat="1" ht="23.25" customHeight="1" thickBot="1" x14ac:dyDescent="0.3">
      <c r="A116" s="1328" t="s">
        <v>247</v>
      </c>
      <c r="B116" s="1329"/>
      <c r="C116" s="1329"/>
      <c r="D116" s="1329"/>
      <c r="E116" s="1330"/>
      <c r="F116" s="1331"/>
      <c r="G116" s="1332"/>
      <c r="H116" s="1332"/>
      <c r="I116" s="1332"/>
      <c r="J116" s="1332"/>
      <c r="K116" s="1332"/>
      <c r="L116" s="1332"/>
      <c r="M116" s="1332"/>
      <c r="N116" s="1332"/>
      <c r="O116" s="1332"/>
      <c r="P116" s="1332"/>
      <c r="Q116" s="1332"/>
      <c r="R116" s="1332"/>
      <c r="S116" s="1332"/>
      <c r="T116" s="1332"/>
      <c r="U116" s="1332"/>
      <c r="V116" s="1332"/>
      <c r="W116" s="1332"/>
      <c r="X116" s="1332"/>
      <c r="Y116" s="1332"/>
      <c r="Z116" s="1332"/>
      <c r="AA116" s="1332"/>
      <c r="AB116" s="1332"/>
      <c r="AC116" s="1332"/>
      <c r="AD116" s="1332"/>
      <c r="AE116" s="1332"/>
      <c r="AF116" s="1332"/>
      <c r="AG116" s="1332"/>
      <c r="AH116" s="1332"/>
      <c r="AI116" s="1332"/>
      <c r="AJ116" s="1332"/>
      <c r="AK116" s="1332"/>
      <c r="AL116" s="1332"/>
      <c r="AM116" s="1332"/>
      <c r="AN116" s="1332"/>
      <c r="AO116" s="1332"/>
      <c r="AP116" s="1332"/>
      <c r="AQ116" s="1332"/>
      <c r="AR116" s="1332"/>
      <c r="AS116" s="1332"/>
      <c r="AT116" s="1332"/>
      <c r="AU116" s="1332"/>
      <c r="AV116" s="1332"/>
      <c r="AW116" s="1332"/>
      <c r="AX116" s="1332"/>
      <c r="AY116" s="1332"/>
      <c r="AZ116" s="1332"/>
      <c r="BA116" s="1333"/>
      <c r="BB116" s="559">
        <f>SUM(BB109:BB115)</f>
        <v>178526.52527472531</v>
      </c>
      <c r="BC116" s="560">
        <f>SUM(BC109:BC115)</f>
        <v>1757.8387274725274</v>
      </c>
      <c r="BD116" s="560">
        <f>SUM(BD109:BD115)</f>
        <v>181.81</v>
      </c>
      <c r="BE116" s="561">
        <f>SUM(BE109:BE115)</f>
        <v>0</v>
      </c>
      <c r="BF116" s="562">
        <f>SUM(BF109:BF115)</f>
        <v>1939.6487274725273</v>
      </c>
      <c r="BG116" s="1334"/>
      <c r="BH116" s="1335"/>
      <c r="BI116" s="1335"/>
      <c r="BJ116" s="1335"/>
      <c r="BK116" s="1335"/>
      <c r="BL116" s="1335"/>
      <c r="BM116" s="1335"/>
      <c r="BN116" s="1335"/>
      <c r="BO116" s="1335"/>
      <c r="BP116" s="1335"/>
      <c r="BQ116" s="1335"/>
      <c r="BR116" s="1335"/>
      <c r="BS116" s="1335"/>
      <c r="BT116" s="1335"/>
      <c r="BU116" s="1335"/>
      <c r="BV116" s="1335"/>
      <c r="BW116" s="1335"/>
      <c r="BX116" s="1335"/>
      <c r="BY116" s="1335"/>
      <c r="BZ116" s="1335"/>
      <c r="CA116" s="1335"/>
      <c r="CB116" s="1335"/>
      <c r="CC116" s="1335"/>
      <c r="CD116" s="1335"/>
      <c r="CE116" s="1335"/>
      <c r="CF116" s="1335"/>
      <c r="CG116" s="1335"/>
      <c r="CH116" s="1335"/>
      <c r="CI116" s="1335"/>
      <c r="CJ116" s="1335"/>
      <c r="CK116" s="1335"/>
      <c r="CL116" s="1335"/>
      <c r="CM116" s="1335"/>
      <c r="CN116" s="1335"/>
      <c r="CO116" s="1335"/>
      <c r="CP116" s="1335"/>
      <c r="CQ116" s="1335"/>
      <c r="CR116" s="1335"/>
      <c r="CS116" s="1336"/>
      <c r="CT116" s="563">
        <f t="shared" ref="CT116:DB116" si="197">SUM(CT109:CT115)</f>
        <v>87018.918681318683</v>
      </c>
      <c r="CU116" s="564">
        <f t="shared" si="197"/>
        <v>897.17026813186806</v>
      </c>
      <c r="CV116" s="564">
        <f t="shared" si="197"/>
        <v>359.12444945054949</v>
      </c>
      <c r="CW116" s="561">
        <f t="shared" si="197"/>
        <v>0</v>
      </c>
      <c r="CX116" s="565">
        <f t="shared" si="197"/>
        <v>1256.2947175824177</v>
      </c>
      <c r="CY116" s="566">
        <f t="shared" si="197"/>
        <v>265545.44395604404</v>
      </c>
      <c r="CZ116" s="567">
        <f t="shared" si="197"/>
        <v>2655.0089956043953</v>
      </c>
      <c r="DA116" s="568">
        <f t="shared" si="197"/>
        <v>540.93444945054944</v>
      </c>
      <c r="DB116" s="741">
        <f t="shared" si="197"/>
        <v>3195.9434450549447</v>
      </c>
      <c r="DC116" s="192"/>
      <c r="DD116" s="1079">
        <v>3048.175004395604</v>
      </c>
      <c r="DE116" s="1080">
        <v>394</v>
      </c>
      <c r="DF116" s="1081">
        <v>3442.175004395604</v>
      </c>
      <c r="DG116" s="570"/>
      <c r="DH116" s="570"/>
      <c r="DI116" s="570"/>
      <c r="DJ116" s="570"/>
      <c r="DK116" s="570"/>
      <c r="DL116" s="570"/>
      <c r="DM116" s="570"/>
      <c r="DN116" s="570"/>
      <c r="DO116" s="570"/>
      <c r="DP116" s="570"/>
      <c r="DQ116" s="570"/>
      <c r="DR116" s="570"/>
      <c r="DS116" s="570"/>
      <c r="DT116" s="570"/>
      <c r="DU116" s="570"/>
      <c r="DV116" s="570"/>
      <c r="DW116" s="570"/>
      <c r="DX116" s="570"/>
      <c r="DY116" s="570"/>
      <c r="DZ116" s="570"/>
      <c r="EA116" s="570"/>
      <c r="EB116" s="570"/>
      <c r="EC116" s="570"/>
      <c r="ED116" s="570"/>
      <c r="EE116" s="570"/>
      <c r="EF116" s="570"/>
      <c r="EG116" s="570"/>
      <c r="EH116" s="570"/>
      <c r="EI116" s="570"/>
      <c r="EJ116" s="570"/>
      <c r="EK116" s="570"/>
      <c r="EL116" s="570"/>
      <c r="EM116" s="570"/>
      <c r="EN116" s="570"/>
      <c r="EO116" s="570"/>
      <c r="EP116" s="570"/>
      <c r="EQ116" s="570"/>
      <c r="ER116" s="570"/>
    </row>
    <row r="117" spans="1:170" x14ac:dyDescent="0.25">
      <c r="CZ117" s="1337" t="s">
        <v>734</v>
      </c>
      <c r="DA117" s="1337"/>
      <c r="DB117" s="1082">
        <f>+DB16+DB51+DB73+DB77+DB86+DB106+DB116</f>
        <v>45559.701283521048</v>
      </c>
      <c r="DF117" s="1075">
        <f>+DB116+DF116</f>
        <v>6638.1184494505487</v>
      </c>
    </row>
    <row r="118" spans="1:170" ht="15.75" thickBot="1" x14ac:dyDescent="0.3">
      <c r="BF118" s="892">
        <f>BF116+BF106+BF86+BF77+BF73+BF51+BF16</f>
        <v>30023.467381333936</v>
      </c>
      <c r="CX118" s="892">
        <f>CX116+CX106+CX86+CX77+CX73+CX51+CX16</f>
        <v>15536.233902187116</v>
      </c>
      <c r="CZ118" s="1338" t="s">
        <v>735</v>
      </c>
      <c r="DA118" s="1338"/>
      <c r="DB118" s="916">
        <f>+'TALLER RETIRADOS'!DB108</f>
        <v>45711.120405530608</v>
      </c>
    </row>
    <row r="119" spans="1:170" ht="24.75" x14ac:dyDescent="0.6">
      <c r="CZ119" s="1339" t="s">
        <v>736</v>
      </c>
      <c r="DA119" s="1339"/>
      <c r="DB119" s="917">
        <f>+DB117+DB118</f>
        <v>91270.821689051663</v>
      </c>
      <c r="DF119" s="1075"/>
    </row>
    <row r="121" spans="1:170" x14ac:dyDescent="0.25">
      <c r="DB121" s="1082">
        <v>86534.971776133752</v>
      </c>
    </row>
    <row r="129" spans="4:148" x14ac:dyDescent="0.25">
      <c r="D129" s="192"/>
      <c r="E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E129" s="192"/>
      <c r="CT129" s="192"/>
      <c r="CX129" s="192"/>
      <c r="CY129" s="192"/>
      <c r="CZ129" s="192"/>
      <c r="DA129" s="192"/>
      <c r="DB129" s="192"/>
      <c r="DD129" s="192"/>
      <c r="DE129" s="192"/>
      <c r="DF129" s="192"/>
      <c r="DG129" s="192"/>
      <c r="DH129" s="192"/>
      <c r="DI129" s="192"/>
      <c r="DJ129" s="192"/>
      <c r="DK129" s="192"/>
      <c r="DL129" s="192"/>
      <c r="DM129" s="192"/>
      <c r="DN129" s="192"/>
      <c r="DO129" s="192"/>
      <c r="DP129" s="192"/>
      <c r="DQ129" s="192"/>
      <c r="DR129" s="192"/>
      <c r="DS129" s="192"/>
      <c r="DT129" s="192"/>
      <c r="DU129" s="192"/>
      <c r="DV129" s="192"/>
      <c r="DW129" s="192"/>
      <c r="DX129" s="192"/>
      <c r="DY129" s="192"/>
      <c r="DZ129" s="192"/>
      <c r="EA129" s="192"/>
      <c r="EB129" s="192"/>
      <c r="EC129" s="192"/>
      <c r="ED129" s="192"/>
      <c r="EE129" s="192"/>
      <c r="EF129" s="192"/>
      <c r="EG129" s="192"/>
      <c r="EH129" s="192"/>
      <c r="EI129" s="192"/>
      <c r="EJ129" s="192"/>
      <c r="EK129" s="192"/>
      <c r="EL129" s="192"/>
      <c r="EM129" s="192"/>
      <c r="EN129" s="192"/>
      <c r="EO129" s="192"/>
      <c r="EP129" s="192"/>
      <c r="EQ129" s="192"/>
      <c r="ER129" s="192"/>
    </row>
    <row r="130" spans="4:148" x14ac:dyDescent="0.25">
      <c r="D130" s="192"/>
      <c r="E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E130" s="192"/>
      <c r="CT130" s="192"/>
      <c r="CX130" s="192"/>
      <c r="CY130" s="192"/>
      <c r="CZ130" s="192"/>
      <c r="DA130" s="192"/>
      <c r="DB130" s="192"/>
      <c r="DD130" s="192"/>
      <c r="DE130" s="192"/>
      <c r="DF130" s="192"/>
      <c r="DG130" s="192"/>
      <c r="DH130" s="192"/>
      <c r="DI130" s="192"/>
      <c r="DJ130" s="192"/>
      <c r="DK130" s="192"/>
      <c r="DL130" s="192"/>
      <c r="DM130" s="192"/>
      <c r="DN130" s="192"/>
      <c r="DO130" s="192"/>
      <c r="DP130" s="192"/>
      <c r="DQ130" s="192"/>
      <c r="DR130" s="192"/>
      <c r="DS130" s="192"/>
      <c r="DT130" s="192"/>
      <c r="DU130" s="192"/>
      <c r="DV130" s="192"/>
      <c r="DW130" s="192"/>
      <c r="DX130" s="192"/>
      <c r="DY130" s="192"/>
      <c r="DZ130" s="192"/>
      <c r="EA130" s="192"/>
      <c r="EB130" s="192"/>
      <c r="EC130" s="192"/>
      <c r="ED130" s="192"/>
      <c r="EE130" s="192"/>
      <c r="EF130" s="192"/>
      <c r="EG130" s="192"/>
      <c r="EH130" s="192"/>
      <c r="EI130" s="192"/>
      <c r="EJ130" s="192"/>
      <c r="EK130" s="192"/>
      <c r="EL130" s="192"/>
      <c r="EM130" s="192"/>
      <c r="EN130" s="192"/>
      <c r="EO130" s="192"/>
      <c r="EP130" s="192"/>
      <c r="EQ130" s="192"/>
      <c r="ER130" s="192"/>
    </row>
    <row r="131" spans="4:148" x14ac:dyDescent="0.25">
      <c r="D131" s="192"/>
      <c r="E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E131" s="192"/>
      <c r="CT131" s="192"/>
      <c r="CX131" s="192"/>
      <c r="CY131" s="192"/>
      <c r="CZ131" s="192"/>
      <c r="DA131" s="192"/>
      <c r="DB131" s="192"/>
      <c r="DD131" s="192"/>
      <c r="DE131" s="192"/>
      <c r="DF131" s="192"/>
      <c r="DG131" s="192"/>
      <c r="DH131" s="192"/>
      <c r="DI131" s="192"/>
      <c r="DJ131" s="192"/>
      <c r="DK131" s="192"/>
      <c r="DL131" s="192"/>
      <c r="DM131" s="192"/>
      <c r="DN131" s="192"/>
      <c r="DO131" s="192"/>
      <c r="DP131" s="192"/>
      <c r="DQ131" s="192"/>
      <c r="DR131" s="192"/>
      <c r="DS131" s="192"/>
      <c r="DT131" s="192"/>
      <c r="DU131" s="192"/>
      <c r="DV131" s="192"/>
      <c r="DW131" s="192"/>
      <c r="DX131" s="192"/>
      <c r="DY131" s="192"/>
      <c r="DZ131" s="192"/>
      <c r="EA131" s="192"/>
      <c r="EB131" s="192"/>
      <c r="EC131" s="192"/>
      <c r="ED131" s="192"/>
      <c r="EE131" s="192"/>
      <c r="EF131" s="192"/>
      <c r="EG131" s="192"/>
      <c r="EH131" s="192"/>
      <c r="EI131" s="192"/>
      <c r="EJ131" s="192"/>
      <c r="EK131" s="192"/>
      <c r="EL131" s="192"/>
      <c r="EM131" s="192"/>
      <c r="EN131" s="192"/>
      <c r="EO131" s="192"/>
      <c r="EP131" s="192"/>
      <c r="EQ131" s="192"/>
      <c r="ER131" s="192"/>
    </row>
    <row r="132" spans="4:148" x14ac:dyDescent="0.25">
      <c r="D132" s="192"/>
      <c r="E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E132" s="192"/>
      <c r="CT132" s="192"/>
      <c r="CX132" s="192"/>
      <c r="CY132" s="192"/>
      <c r="CZ132" s="192"/>
      <c r="DA132" s="192"/>
      <c r="DB132" s="192"/>
      <c r="DD132" s="192"/>
      <c r="DE132" s="192"/>
      <c r="DF132" s="192"/>
      <c r="DG132" s="192"/>
      <c r="DH132" s="192"/>
      <c r="DI132" s="192"/>
      <c r="DJ132" s="192"/>
      <c r="DK132" s="192"/>
      <c r="DL132" s="192"/>
      <c r="DM132" s="192"/>
      <c r="DN132" s="192"/>
      <c r="DO132" s="192"/>
      <c r="DP132" s="192"/>
      <c r="DQ132" s="192"/>
      <c r="DR132" s="192"/>
      <c r="DS132" s="192"/>
      <c r="DT132" s="192"/>
      <c r="DU132" s="192"/>
      <c r="DV132" s="192"/>
      <c r="DW132" s="192"/>
      <c r="DX132" s="192"/>
      <c r="DY132" s="192"/>
      <c r="DZ132" s="192"/>
      <c r="EA132" s="192"/>
      <c r="EB132" s="192"/>
      <c r="EC132" s="192"/>
      <c r="ED132" s="192"/>
      <c r="EE132" s="192"/>
      <c r="EF132" s="192"/>
      <c r="EG132" s="192"/>
      <c r="EH132" s="192"/>
      <c r="EI132" s="192"/>
      <c r="EJ132" s="192"/>
      <c r="EK132" s="192"/>
      <c r="EL132" s="192"/>
      <c r="EM132" s="192"/>
      <c r="EN132" s="192"/>
      <c r="EO132" s="192"/>
      <c r="EP132" s="192"/>
      <c r="EQ132" s="192"/>
      <c r="ER132" s="192"/>
    </row>
    <row r="133" spans="4:148" x14ac:dyDescent="0.25">
      <c r="D133" s="192"/>
      <c r="E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E133" s="192"/>
      <c r="CT133" s="192"/>
      <c r="CX133" s="192"/>
      <c r="CY133" s="192"/>
      <c r="CZ133" s="192"/>
      <c r="DA133" s="192"/>
      <c r="DB133" s="192"/>
      <c r="DD133" s="192"/>
      <c r="DE133" s="192"/>
      <c r="DF133" s="192"/>
      <c r="DG133" s="192"/>
      <c r="DH133" s="192"/>
      <c r="DI133" s="192"/>
      <c r="DJ133" s="192"/>
      <c r="DK133" s="192"/>
      <c r="DL133" s="192"/>
      <c r="DM133" s="192"/>
      <c r="DN133" s="192"/>
      <c r="DO133" s="192"/>
      <c r="DP133" s="192"/>
      <c r="DQ133" s="192"/>
      <c r="DR133" s="192"/>
      <c r="DS133" s="192"/>
      <c r="DT133" s="192"/>
      <c r="DU133" s="192"/>
      <c r="DV133" s="192"/>
      <c r="DW133" s="192"/>
      <c r="DX133" s="192"/>
      <c r="DY133" s="192"/>
      <c r="DZ133" s="192"/>
      <c r="EA133" s="192"/>
      <c r="EB133" s="192"/>
      <c r="EC133" s="192"/>
      <c r="ED133" s="192"/>
      <c r="EE133" s="192"/>
      <c r="EF133" s="192"/>
      <c r="EG133" s="192"/>
      <c r="EH133" s="192"/>
      <c r="EI133" s="192"/>
      <c r="EJ133" s="192"/>
      <c r="EK133" s="192"/>
      <c r="EL133" s="192"/>
      <c r="EM133" s="192"/>
      <c r="EN133" s="192"/>
      <c r="EO133" s="192"/>
      <c r="EP133" s="192"/>
      <c r="EQ133" s="192"/>
      <c r="ER133" s="192"/>
    </row>
    <row r="134" spans="4:148" x14ac:dyDescent="0.25">
      <c r="D134" s="192"/>
      <c r="E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92"/>
      <c r="AU134" s="192"/>
      <c r="AV134" s="192"/>
      <c r="AW134" s="192"/>
      <c r="AX134" s="192"/>
      <c r="AY134" s="192"/>
      <c r="AZ134" s="192"/>
      <c r="BA134" s="192"/>
      <c r="BE134" s="192"/>
      <c r="CT134" s="192"/>
      <c r="CX134" s="192"/>
      <c r="CY134" s="192"/>
      <c r="CZ134" s="192"/>
      <c r="DA134" s="192"/>
      <c r="DB134" s="192"/>
      <c r="DD134" s="192"/>
      <c r="DE134" s="192"/>
      <c r="DF134" s="192"/>
      <c r="DG134" s="192"/>
      <c r="DH134" s="192"/>
      <c r="DI134" s="192"/>
      <c r="DJ134" s="192"/>
      <c r="DK134" s="192"/>
      <c r="DL134" s="192"/>
      <c r="DM134" s="192"/>
      <c r="DN134" s="192"/>
      <c r="DO134" s="192"/>
      <c r="DP134" s="192"/>
      <c r="DQ134" s="192"/>
      <c r="DR134" s="192"/>
      <c r="DS134" s="192"/>
      <c r="DT134" s="192"/>
      <c r="DU134" s="192"/>
      <c r="DV134" s="192"/>
      <c r="DW134" s="192"/>
      <c r="DX134" s="192"/>
      <c r="DY134" s="192"/>
      <c r="DZ134" s="192"/>
      <c r="EA134" s="192"/>
      <c r="EB134" s="192"/>
      <c r="EC134" s="192"/>
      <c r="ED134" s="192"/>
      <c r="EE134" s="192"/>
      <c r="EF134" s="192"/>
      <c r="EG134" s="192"/>
      <c r="EH134" s="192"/>
      <c r="EI134" s="192"/>
      <c r="EJ134" s="192"/>
      <c r="EK134" s="192"/>
      <c r="EL134" s="192"/>
      <c r="EM134" s="192"/>
      <c r="EN134" s="192"/>
      <c r="EO134" s="192"/>
      <c r="EP134" s="192"/>
      <c r="EQ134" s="192"/>
      <c r="ER134" s="192"/>
    </row>
    <row r="135" spans="4:148" x14ac:dyDescent="0.25">
      <c r="D135" s="192"/>
      <c r="E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  <c r="AQ135" s="192"/>
      <c r="AR135" s="192"/>
      <c r="AS135" s="192"/>
      <c r="AT135" s="192"/>
      <c r="AU135" s="192"/>
      <c r="AV135" s="192"/>
      <c r="AW135" s="192"/>
      <c r="AX135" s="192"/>
      <c r="AY135" s="192"/>
      <c r="AZ135" s="192"/>
      <c r="BA135" s="192"/>
      <c r="BE135" s="192"/>
      <c r="CT135" s="192"/>
      <c r="CX135" s="192"/>
      <c r="CY135" s="192"/>
      <c r="CZ135" s="192"/>
      <c r="DA135" s="192"/>
      <c r="DB135" s="192"/>
      <c r="DD135" s="192"/>
      <c r="DE135" s="192"/>
      <c r="DF135" s="192"/>
      <c r="DG135" s="192"/>
      <c r="DH135" s="192"/>
      <c r="DI135" s="192"/>
      <c r="DJ135" s="192"/>
      <c r="DK135" s="192"/>
      <c r="DL135" s="192"/>
      <c r="DM135" s="192"/>
      <c r="DN135" s="192"/>
      <c r="DO135" s="192"/>
      <c r="DP135" s="192"/>
      <c r="DQ135" s="192"/>
      <c r="DR135" s="192"/>
      <c r="DS135" s="192"/>
      <c r="DT135" s="192"/>
      <c r="DU135" s="192"/>
      <c r="DV135" s="192"/>
      <c r="DW135" s="192"/>
      <c r="DX135" s="192"/>
      <c r="DY135" s="192"/>
      <c r="DZ135" s="192"/>
      <c r="EA135" s="192"/>
      <c r="EB135" s="192"/>
      <c r="EC135" s="192"/>
      <c r="ED135" s="192"/>
      <c r="EE135" s="192"/>
      <c r="EF135" s="192"/>
      <c r="EG135" s="192"/>
      <c r="EH135" s="192"/>
      <c r="EI135" s="192"/>
      <c r="EJ135" s="192"/>
      <c r="EK135" s="192"/>
      <c r="EL135" s="192"/>
      <c r="EM135" s="192"/>
      <c r="EN135" s="192"/>
      <c r="EO135" s="192"/>
      <c r="EP135" s="192"/>
      <c r="EQ135" s="192"/>
      <c r="ER135" s="192"/>
    </row>
    <row r="136" spans="4:148" x14ac:dyDescent="0.25">
      <c r="D136" s="192"/>
      <c r="E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  <c r="AQ136" s="192"/>
      <c r="AR136" s="192"/>
      <c r="AS136" s="192"/>
      <c r="AT136" s="192"/>
      <c r="AU136" s="192"/>
      <c r="AV136" s="192"/>
      <c r="AW136" s="192"/>
      <c r="AX136" s="192"/>
      <c r="AY136" s="192"/>
      <c r="AZ136" s="192"/>
      <c r="BA136" s="192"/>
      <c r="BE136" s="192"/>
      <c r="CT136" s="192"/>
      <c r="CX136" s="192"/>
      <c r="CY136" s="192"/>
      <c r="CZ136" s="192"/>
      <c r="DA136" s="192"/>
      <c r="DB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2"/>
      <c r="DY136" s="192"/>
      <c r="DZ136" s="192"/>
      <c r="EA136" s="192"/>
      <c r="EB136" s="192"/>
      <c r="EC136" s="192"/>
      <c r="ED136" s="192"/>
      <c r="EE136" s="192"/>
      <c r="EF136" s="192"/>
      <c r="EG136" s="192"/>
      <c r="EH136" s="192"/>
      <c r="EI136" s="192"/>
      <c r="EJ136" s="192"/>
      <c r="EK136" s="192"/>
      <c r="EL136" s="192"/>
      <c r="EM136" s="192"/>
      <c r="EN136" s="192"/>
      <c r="EO136" s="192"/>
      <c r="EP136" s="192"/>
      <c r="EQ136" s="192"/>
      <c r="ER136" s="192"/>
    </row>
    <row r="137" spans="4:148" x14ac:dyDescent="0.25">
      <c r="D137" s="192"/>
      <c r="E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E137" s="192"/>
      <c r="CT137" s="192"/>
      <c r="CX137" s="192"/>
      <c r="CY137" s="192"/>
      <c r="CZ137" s="192"/>
      <c r="DA137" s="192"/>
      <c r="DB137" s="192"/>
      <c r="DD137" s="192"/>
      <c r="DE137" s="192"/>
      <c r="DF137" s="192"/>
      <c r="DG137" s="192"/>
      <c r="DH137" s="192"/>
      <c r="DI137" s="192"/>
      <c r="DJ137" s="192"/>
      <c r="DK137" s="192"/>
      <c r="DL137" s="192"/>
      <c r="DM137" s="192"/>
      <c r="DN137" s="192"/>
      <c r="DO137" s="192"/>
      <c r="DP137" s="192"/>
      <c r="DQ137" s="192"/>
      <c r="DR137" s="192"/>
      <c r="DS137" s="192"/>
      <c r="DT137" s="192"/>
      <c r="DU137" s="192"/>
      <c r="DV137" s="192"/>
      <c r="DW137" s="192"/>
      <c r="DX137" s="192"/>
      <c r="DY137" s="192"/>
      <c r="DZ137" s="192"/>
      <c r="EA137" s="192"/>
      <c r="EB137" s="192"/>
      <c r="EC137" s="192"/>
      <c r="ED137" s="192"/>
      <c r="EE137" s="192"/>
      <c r="EF137" s="192"/>
      <c r="EG137" s="192"/>
      <c r="EH137" s="192"/>
      <c r="EI137" s="192"/>
      <c r="EJ137" s="192"/>
      <c r="EK137" s="192"/>
      <c r="EL137" s="192"/>
      <c r="EM137" s="192"/>
      <c r="EN137" s="192"/>
      <c r="EO137" s="192"/>
      <c r="EP137" s="192"/>
      <c r="EQ137" s="192"/>
      <c r="ER137" s="192"/>
    </row>
    <row r="138" spans="4:148" x14ac:dyDescent="0.25">
      <c r="D138" s="192"/>
      <c r="E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E138" s="192"/>
      <c r="CT138" s="192"/>
      <c r="CX138" s="192"/>
      <c r="CY138" s="192"/>
      <c r="CZ138" s="192"/>
      <c r="DA138" s="192"/>
      <c r="DB138" s="192"/>
      <c r="DD138" s="192"/>
      <c r="DE138" s="192"/>
      <c r="DF138" s="192"/>
      <c r="DG138" s="192"/>
      <c r="DH138" s="192"/>
      <c r="DI138" s="192"/>
      <c r="DJ138" s="192"/>
      <c r="DK138" s="192"/>
      <c r="DL138" s="192"/>
      <c r="DM138" s="192"/>
      <c r="DN138" s="192"/>
      <c r="DO138" s="192"/>
      <c r="DP138" s="192"/>
      <c r="DQ138" s="192"/>
      <c r="DR138" s="192"/>
      <c r="DS138" s="192"/>
      <c r="DT138" s="192"/>
      <c r="DU138" s="192"/>
      <c r="DV138" s="192"/>
      <c r="DW138" s="192"/>
      <c r="DX138" s="192"/>
      <c r="DY138" s="192"/>
      <c r="DZ138" s="192"/>
      <c r="EA138" s="192"/>
      <c r="EB138" s="192"/>
      <c r="EC138" s="192"/>
      <c r="ED138" s="192"/>
      <c r="EE138" s="192"/>
      <c r="EF138" s="192"/>
      <c r="EG138" s="192"/>
      <c r="EH138" s="192"/>
      <c r="EI138" s="192"/>
      <c r="EJ138" s="192"/>
      <c r="EK138" s="192"/>
      <c r="EL138" s="192"/>
      <c r="EM138" s="192"/>
      <c r="EN138" s="192"/>
      <c r="EO138" s="192"/>
      <c r="EP138" s="192"/>
      <c r="EQ138" s="192"/>
      <c r="ER138" s="192"/>
    </row>
    <row r="139" spans="4:148" x14ac:dyDescent="0.25">
      <c r="D139" s="192"/>
      <c r="E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E139" s="192"/>
      <c r="CT139" s="192"/>
      <c r="CX139" s="192"/>
      <c r="CY139" s="192"/>
      <c r="CZ139" s="192"/>
      <c r="DA139" s="192"/>
      <c r="DB139" s="192"/>
      <c r="DD139" s="192"/>
      <c r="DE139" s="192"/>
      <c r="DF139" s="192"/>
      <c r="DG139" s="192"/>
      <c r="DH139" s="192"/>
      <c r="DI139" s="192"/>
      <c r="DJ139" s="192"/>
      <c r="DK139" s="192"/>
      <c r="DL139" s="192"/>
      <c r="DM139" s="192"/>
      <c r="DN139" s="192"/>
      <c r="DO139" s="192"/>
      <c r="DP139" s="192"/>
      <c r="DQ139" s="192"/>
      <c r="DR139" s="192"/>
      <c r="DS139" s="192"/>
      <c r="DT139" s="192"/>
      <c r="DU139" s="192"/>
      <c r="DV139" s="192"/>
      <c r="DW139" s="192"/>
      <c r="DX139" s="192"/>
      <c r="DY139" s="192"/>
      <c r="DZ139" s="192"/>
      <c r="EA139" s="192"/>
      <c r="EB139" s="192"/>
      <c r="EC139" s="192"/>
      <c r="ED139" s="192"/>
      <c r="EE139" s="192"/>
      <c r="EF139" s="192"/>
      <c r="EG139" s="192"/>
      <c r="EH139" s="192"/>
      <c r="EI139" s="192"/>
      <c r="EJ139" s="192"/>
      <c r="EK139" s="192"/>
      <c r="EL139" s="192"/>
      <c r="EM139" s="192"/>
      <c r="EN139" s="192"/>
      <c r="EO139" s="192"/>
      <c r="EP139" s="192"/>
      <c r="EQ139" s="192"/>
      <c r="ER139" s="192"/>
    </row>
    <row r="140" spans="4:148" x14ac:dyDescent="0.25">
      <c r="D140" s="192"/>
      <c r="E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E140" s="192"/>
      <c r="CT140" s="192"/>
      <c r="CX140" s="192"/>
      <c r="CY140" s="192"/>
      <c r="CZ140" s="192"/>
      <c r="DA140" s="192"/>
      <c r="DB140" s="192"/>
      <c r="DD140" s="192"/>
      <c r="DE140" s="192"/>
      <c r="DF140" s="192"/>
      <c r="DG140" s="192"/>
      <c r="DH140" s="192"/>
      <c r="DI140" s="192"/>
      <c r="DJ140" s="192"/>
      <c r="DK140" s="192"/>
      <c r="DL140" s="192"/>
      <c r="DM140" s="192"/>
      <c r="DN140" s="192"/>
      <c r="DO140" s="192"/>
      <c r="DP140" s="192"/>
      <c r="DQ140" s="192"/>
      <c r="DR140" s="192"/>
      <c r="DS140" s="192"/>
      <c r="DT140" s="192"/>
      <c r="DU140" s="192"/>
      <c r="DV140" s="192"/>
      <c r="DW140" s="192"/>
      <c r="DX140" s="192"/>
      <c r="DY140" s="192"/>
      <c r="DZ140" s="192"/>
      <c r="EA140" s="192"/>
      <c r="EB140" s="192"/>
      <c r="EC140" s="192"/>
      <c r="ED140" s="192"/>
      <c r="EE140" s="192"/>
      <c r="EF140" s="192"/>
      <c r="EG140" s="192"/>
      <c r="EH140" s="192"/>
      <c r="EI140" s="192"/>
      <c r="EJ140" s="192"/>
      <c r="EK140" s="192"/>
      <c r="EL140" s="192"/>
      <c r="EM140" s="192"/>
      <c r="EN140" s="192"/>
      <c r="EO140" s="192"/>
      <c r="EP140" s="192"/>
      <c r="EQ140" s="192"/>
      <c r="ER140" s="192"/>
    </row>
    <row r="141" spans="4:148" x14ac:dyDescent="0.25">
      <c r="D141" s="192"/>
      <c r="E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E141" s="192"/>
      <c r="CT141" s="192"/>
      <c r="CX141" s="192"/>
      <c r="CY141" s="192"/>
      <c r="CZ141" s="192"/>
      <c r="DA141" s="192"/>
      <c r="DB141" s="192"/>
      <c r="DD141" s="192"/>
      <c r="DE141" s="192"/>
      <c r="DF141" s="192"/>
      <c r="DG141" s="192"/>
      <c r="DH141" s="192"/>
      <c r="DI141" s="192"/>
      <c r="DJ141" s="192"/>
      <c r="DK141" s="192"/>
      <c r="DL141" s="192"/>
      <c r="DM141" s="192"/>
      <c r="DN141" s="192"/>
      <c r="DO141" s="192"/>
      <c r="DP141" s="192"/>
      <c r="DQ141" s="192"/>
      <c r="DR141" s="192"/>
      <c r="DS141" s="192"/>
      <c r="DT141" s="192"/>
      <c r="DU141" s="192"/>
      <c r="DV141" s="192"/>
      <c r="DW141" s="192"/>
      <c r="DX141" s="192"/>
      <c r="DY141" s="192"/>
      <c r="DZ141" s="192"/>
      <c r="EA141" s="192"/>
      <c r="EB141" s="192"/>
      <c r="EC141" s="192"/>
      <c r="ED141" s="192"/>
      <c r="EE141" s="192"/>
      <c r="EF141" s="192"/>
      <c r="EG141" s="192"/>
      <c r="EH141" s="192"/>
      <c r="EI141" s="192"/>
      <c r="EJ141" s="192"/>
      <c r="EK141" s="192"/>
      <c r="EL141" s="192"/>
      <c r="EM141" s="192"/>
      <c r="EN141" s="192"/>
      <c r="EO141" s="192"/>
      <c r="EP141" s="192"/>
      <c r="EQ141" s="192"/>
      <c r="ER141" s="192"/>
    </row>
    <row r="142" spans="4:148" x14ac:dyDescent="0.25">
      <c r="D142" s="192"/>
      <c r="E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E142" s="192"/>
      <c r="CT142" s="192"/>
      <c r="CX142" s="192"/>
      <c r="CY142" s="192"/>
      <c r="CZ142" s="192"/>
      <c r="DA142" s="192"/>
      <c r="DB142" s="192"/>
      <c r="DD142" s="192"/>
      <c r="DE142" s="192"/>
      <c r="DF142" s="192"/>
      <c r="DG142" s="192"/>
      <c r="DH142" s="192"/>
      <c r="DI142" s="192"/>
      <c r="DJ142" s="192"/>
      <c r="DK142" s="192"/>
      <c r="DL142" s="192"/>
      <c r="DM142" s="192"/>
      <c r="DN142" s="192"/>
      <c r="DO142" s="192"/>
      <c r="DP142" s="192"/>
      <c r="DQ142" s="192"/>
      <c r="DR142" s="192"/>
      <c r="DS142" s="192"/>
      <c r="DT142" s="192"/>
      <c r="DU142" s="192"/>
      <c r="DV142" s="192"/>
      <c r="DW142" s="192"/>
      <c r="DX142" s="192"/>
      <c r="DY142" s="192"/>
      <c r="DZ142" s="192"/>
      <c r="EA142" s="192"/>
      <c r="EB142" s="192"/>
      <c r="EC142" s="192"/>
      <c r="ED142" s="192"/>
      <c r="EE142" s="192"/>
      <c r="EF142" s="192"/>
      <c r="EG142" s="192"/>
      <c r="EH142" s="192"/>
      <c r="EI142" s="192"/>
      <c r="EJ142" s="192"/>
      <c r="EK142" s="192"/>
      <c r="EL142" s="192"/>
      <c r="EM142" s="192"/>
      <c r="EN142" s="192"/>
      <c r="EO142" s="192"/>
      <c r="EP142" s="192"/>
      <c r="EQ142" s="192"/>
      <c r="ER142" s="192"/>
    </row>
    <row r="143" spans="4:148" x14ac:dyDescent="0.25">
      <c r="D143" s="192"/>
      <c r="E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E143" s="192"/>
      <c r="CT143" s="192"/>
      <c r="CX143" s="192"/>
      <c r="CY143" s="192"/>
      <c r="CZ143" s="192"/>
      <c r="DA143" s="192"/>
      <c r="DB143" s="192"/>
      <c r="DD143" s="192"/>
      <c r="DE143" s="192"/>
      <c r="DF143" s="192"/>
      <c r="DG143" s="192"/>
      <c r="DH143" s="192"/>
      <c r="DI143" s="192"/>
      <c r="DJ143" s="192"/>
      <c r="DK143" s="192"/>
      <c r="DL143" s="192"/>
      <c r="DM143" s="192"/>
      <c r="DN143" s="192"/>
      <c r="DO143" s="192"/>
      <c r="DP143" s="192"/>
      <c r="DQ143" s="192"/>
      <c r="DR143" s="192"/>
      <c r="DS143" s="192"/>
      <c r="DT143" s="192"/>
      <c r="DU143" s="192"/>
      <c r="DV143" s="192"/>
      <c r="DW143" s="192"/>
      <c r="DX143" s="192"/>
      <c r="DY143" s="192"/>
      <c r="DZ143" s="192"/>
      <c r="EA143" s="192"/>
      <c r="EB143" s="192"/>
      <c r="EC143" s="192"/>
      <c r="ED143" s="192"/>
      <c r="EE143" s="192"/>
      <c r="EF143" s="192"/>
      <c r="EG143" s="192"/>
      <c r="EH143" s="192"/>
      <c r="EI143" s="192"/>
      <c r="EJ143" s="192"/>
      <c r="EK143" s="192"/>
      <c r="EL143" s="192"/>
      <c r="EM143" s="192"/>
      <c r="EN143" s="192"/>
      <c r="EO143" s="192"/>
      <c r="EP143" s="192"/>
      <c r="EQ143" s="192"/>
      <c r="ER143" s="192"/>
    </row>
    <row r="144" spans="4:148" x14ac:dyDescent="0.25">
      <c r="D144" s="192"/>
      <c r="E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E144" s="192"/>
      <c r="CT144" s="192"/>
      <c r="CX144" s="192"/>
      <c r="CY144" s="192"/>
      <c r="CZ144" s="192"/>
      <c r="DA144" s="192"/>
      <c r="DB144" s="192"/>
      <c r="DD144" s="192"/>
      <c r="DE144" s="192"/>
      <c r="DF144" s="192"/>
      <c r="DG144" s="192"/>
      <c r="DH144" s="192"/>
      <c r="DI144" s="192"/>
      <c r="DJ144" s="192"/>
      <c r="DK144" s="192"/>
      <c r="DL144" s="192"/>
      <c r="DM144" s="192"/>
      <c r="DN144" s="192"/>
      <c r="DO144" s="192"/>
      <c r="DP144" s="192"/>
      <c r="DQ144" s="192"/>
      <c r="DR144" s="192"/>
      <c r="DS144" s="192"/>
      <c r="DT144" s="192"/>
      <c r="DU144" s="192"/>
      <c r="DV144" s="192"/>
      <c r="DW144" s="192"/>
      <c r="DX144" s="192"/>
      <c r="DY144" s="192"/>
      <c r="DZ144" s="192"/>
      <c r="EA144" s="192"/>
      <c r="EB144" s="192"/>
      <c r="EC144" s="192"/>
      <c r="ED144" s="192"/>
      <c r="EE144" s="192"/>
      <c r="EF144" s="192"/>
      <c r="EG144" s="192"/>
      <c r="EH144" s="192"/>
      <c r="EI144" s="192"/>
      <c r="EJ144" s="192"/>
      <c r="EK144" s="192"/>
      <c r="EL144" s="192"/>
      <c r="EM144" s="192"/>
      <c r="EN144" s="192"/>
      <c r="EO144" s="192"/>
      <c r="EP144" s="192"/>
      <c r="EQ144" s="192"/>
      <c r="ER144" s="192"/>
    </row>
    <row r="145" spans="4:148" x14ac:dyDescent="0.25">
      <c r="D145" s="192"/>
      <c r="E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E145" s="192"/>
      <c r="CT145" s="192"/>
      <c r="CX145" s="192"/>
      <c r="CY145" s="192"/>
      <c r="CZ145" s="192"/>
      <c r="DA145" s="192"/>
      <c r="DB145" s="192"/>
      <c r="DD145" s="192"/>
      <c r="DE145" s="192"/>
      <c r="DF145" s="192"/>
      <c r="DG145" s="192"/>
      <c r="DH145" s="192"/>
      <c r="DI145" s="192"/>
      <c r="DJ145" s="192"/>
      <c r="DK145" s="192"/>
      <c r="DL145" s="192"/>
      <c r="DM145" s="192"/>
      <c r="DN145" s="192"/>
      <c r="DO145" s="192"/>
      <c r="DP145" s="192"/>
      <c r="DQ145" s="192"/>
      <c r="DR145" s="192"/>
      <c r="DS145" s="192"/>
      <c r="DT145" s="192"/>
      <c r="DU145" s="192"/>
      <c r="DV145" s="192"/>
      <c r="DW145" s="192"/>
      <c r="DX145" s="192"/>
      <c r="DY145" s="192"/>
      <c r="DZ145" s="192"/>
      <c r="EA145" s="192"/>
      <c r="EB145" s="192"/>
      <c r="EC145" s="192"/>
      <c r="ED145" s="192"/>
      <c r="EE145" s="192"/>
      <c r="EF145" s="192"/>
      <c r="EG145" s="192"/>
      <c r="EH145" s="192"/>
      <c r="EI145" s="192"/>
      <c r="EJ145" s="192"/>
      <c r="EK145" s="192"/>
      <c r="EL145" s="192"/>
      <c r="EM145" s="192"/>
      <c r="EN145" s="192"/>
      <c r="EO145" s="192"/>
      <c r="EP145" s="192"/>
      <c r="EQ145" s="192"/>
      <c r="ER145" s="192"/>
    </row>
    <row r="146" spans="4:148" x14ac:dyDescent="0.25">
      <c r="D146" s="192"/>
      <c r="E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E146" s="192"/>
      <c r="CT146" s="192"/>
      <c r="CX146" s="192"/>
      <c r="CY146" s="192"/>
      <c r="CZ146" s="192"/>
      <c r="DA146" s="192"/>
      <c r="DB146" s="192"/>
      <c r="DD146" s="192"/>
      <c r="DE146" s="192"/>
      <c r="DF146" s="192"/>
      <c r="DG146" s="192"/>
      <c r="DH146" s="192"/>
      <c r="DI146" s="192"/>
      <c r="DJ146" s="192"/>
      <c r="DK146" s="192"/>
      <c r="DL146" s="192"/>
      <c r="DM146" s="192"/>
      <c r="DN146" s="192"/>
      <c r="DO146" s="192"/>
      <c r="DP146" s="192"/>
      <c r="DQ146" s="192"/>
      <c r="DR146" s="192"/>
      <c r="DS146" s="192"/>
      <c r="DT146" s="192"/>
      <c r="DU146" s="192"/>
      <c r="DV146" s="192"/>
      <c r="DW146" s="192"/>
      <c r="DX146" s="192"/>
      <c r="DY146" s="192"/>
      <c r="DZ146" s="192"/>
      <c r="EA146" s="192"/>
      <c r="EB146" s="192"/>
      <c r="EC146" s="192"/>
      <c r="ED146" s="192"/>
      <c r="EE146" s="192"/>
      <c r="EF146" s="192"/>
      <c r="EG146" s="192"/>
      <c r="EH146" s="192"/>
      <c r="EI146" s="192"/>
      <c r="EJ146" s="192"/>
      <c r="EK146" s="192"/>
      <c r="EL146" s="192"/>
      <c r="EM146" s="192"/>
      <c r="EN146" s="192"/>
      <c r="EO146" s="192"/>
      <c r="EP146" s="192"/>
      <c r="EQ146" s="192"/>
      <c r="ER146" s="192"/>
    </row>
    <row r="147" spans="4:148" x14ac:dyDescent="0.25">
      <c r="D147" s="192"/>
      <c r="E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E147" s="192"/>
      <c r="CT147" s="192"/>
      <c r="CX147" s="192"/>
      <c r="CY147" s="192"/>
      <c r="CZ147" s="192"/>
      <c r="DA147" s="192"/>
      <c r="DB147" s="192"/>
      <c r="DD147" s="192"/>
      <c r="DE147" s="192"/>
      <c r="DF147" s="192"/>
      <c r="DG147" s="192"/>
      <c r="DH147" s="192"/>
      <c r="DI147" s="192"/>
      <c r="DJ147" s="192"/>
      <c r="DK147" s="192"/>
      <c r="DL147" s="192"/>
      <c r="DM147" s="192"/>
      <c r="DN147" s="192"/>
      <c r="DO147" s="192"/>
      <c r="DP147" s="192"/>
      <c r="DQ147" s="192"/>
      <c r="DR147" s="192"/>
      <c r="DS147" s="192"/>
      <c r="DT147" s="192"/>
      <c r="DU147" s="192"/>
      <c r="DV147" s="192"/>
      <c r="DW147" s="192"/>
      <c r="DX147" s="192"/>
      <c r="DY147" s="192"/>
      <c r="DZ147" s="192"/>
      <c r="EA147" s="192"/>
      <c r="EB147" s="192"/>
      <c r="EC147" s="192"/>
      <c r="ED147" s="192"/>
      <c r="EE147" s="192"/>
      <c r="EF147" s="192"/>
      <c r="EG147" s="192"/>
      <c r="EH147" s="192"/>
      <c r="EI147" s="192"/>
      <c r="EJ147" s="192"/>
      <c r="EK147" s="192"/>
      <c r="EL147" s="192"/>
      <c r="EM147" s="192"/>
      <c r="EN147" s="192"/>
      <c r="EO147" s="192"/>
      <c r="EP147" s="192"/>
      <c r="EQ147" s="192"/>
      <c r="ER147" s="192"/>
    </row>
  </sheetData>
  <protectedRanges>
    <protectedRange algorithmName="SHA-512" hashValue="RCrGPMCyFEkdhJRom24X1PBQWhQGvWNSMwa4ZJxufwfKFdhshIHyMGamjWZVYCqC0Vs/+IV9hTSH0rzqE7eoww==" saltValue="7PM8PbaJbRCgZUUDDBNLsQ==" spinCount="100000" sqref="AJ4:AL4 AV6:AW6 AJ120:DB1048576 AJ1:BR2 AY6:AZ6 BB6:BH6 BJ6:BK6 BM6:BN6 BP6:BQ6 BS6:BT6 BV6:BW6 BY6:BZ6 CB6:CC6 CE6:CF6 CH6:CI6 CK6:CL6 CN6:CO6 CQ6:CR6 AT4:DB4 BS1:CX3 CY2:DB3 CY1:DA1 CT5:DB6 AY5:BF5 AV18:AW18 CT52:DB53 AV75:AW75 CT78:DB79 CT87:DB88 CT107:DB108 AK3:AN3 AP3:BR3 BJ107:BO107 CB107:CG107 CS76 AY54 F54 I54 L54 O54 R54 U54 X54 AA54 AD54 AG54 AM54 AP54 AS54 AJ54 AV54 BG54 BJ54 CE54 CH54 CK54 CN54 O5:Q5 AG5:AI5 BJ5:BO5 CB5:CG5 AY18:AZ18 BB18:BH18 BJ18:BK18 BM18:BN18 BP18:BQ18 BS18:BT18 BV18:BW18 BY18:BZ18 CB18:CC18 CE18:CF18 CH18:CI18 CK18:CL18 CN18:CO18 CQ18:CR18 AX76:AY76 AY17:BF17 O17:Q17 AG17:AI17 BJ17:BO17 CB17:CG17 AV53:AW53 AY53:AZ53 BB53:BH53 BJ53:BK53 BM53:BN53 BP53:BQ53 BS53:BT53 BV53:BW53 BY53:BZ53 CB53:CC53 CE53:CF53 CH53:CI53 CK53:CL53 CN53:CO53 CQ53:CR53 AY52:BF52 O52:Q52 AG52:AI52 BJ52:BO52 CB52:CG52 AY75:AZ75 BB75:BH75 BJ75:BK75 BM75:BN75 BP75:BQ75 BS75:BT75 BV75:BW75 BY75:BZ75 CB75:CC75 CE75:CF75 CH75:CI75 CK75:CL75 CN75:CO75 CQ75:CR75 AY74:BF74 O74:Q74 AG74:AI74 BJ74:BO74 CB74:CG74 AV79:AW79 AY79:AZ79 BB79:BH79 BJ79:BK79 BM79:BN79 BP79:BQ79 BS79:BT79 BV79:BW79 BY79:BZ79 CB79:CC79 CE79:CF79 CH79:CI79 CK79:CL79 CN79:CO79 CQ79:CR79 AY78:BF78 O78:Q78 AG78:AI78 BJ78:BO78 CB78:CG78 AV88:AW88 AY88:AZ88 BB88:BH88 BJ88:BK88 BM88:BN88 BP88:BQ88 BS88:BT88 BV88:BW88 BY88:BZ88 CB88:CC88 CE88:CF88 CH88:CI88 CK88:CL88 CN88:CO88 CQ88:CR88 AY87:BF87 O87:Q87 AG87:AI87 BJ87:BO87 CB87:CG87 AV108:AW108 AY108:AZ108 BB108:BH108 BJ108:BK108 BM108:BN108 BP108:BQ108 BS108:BT108 BV108:BW108 BY108:BZ108 CB108:CC108 CE108:CF108 CH108:CI108 CK108:CL108 CN108:CO108 CQ108:CR108 AY107:BF107 O107:Q107 AG107:AI107 CT74:DB75 CG76:CH76 Z76:AA76 CD76:CE76 CT17:DB18 CA76:CB76 W76:X76 BX76:BY76 BA76 BU76:BV76 T76:U76 BR76:BS76 BG76 BO76:BP76 Q76:R76 BL76:BM76 CP76:CQ76 BI76:BJ76 N76:O76 CJ76:CK76 AU76:AV76 AI76:AJ76 K76:L76 AR76:AS76 CQ54 AO76:AP76 H76:I76 AL76:AM76 CM76:CN76 AF76:AG76 F76 AC76:AD76 DB117:DB118 AJ117:CY119" name="Rango1_1"/>
    <protectedRange algorithmName="SHA-512" hashValue="RCrGPMCyFEkdhJRom24X1PBQWhQGvWNSMwa4ZJxufwfKFdhshIHyMGamjWZVYCqC0Vs/+IV9hTSH0rzqE7eoww==" saltValue="7PM8PbaJbRCgZUUDDBNLsQ==" spinCount="100000" sqref="BF70:BF72 BF19:BF50 BF80:BF85 BF54:BF68 BF76" name="Rango1_5_2_2_2_3"/>
    <protectedRange algorithmName="SHA-512" hashValue="RCrGPMCyFEkdhJRom24X1PBQWhQGvWNSMwa4ZJxufwfKFdhshIHyMGamjWZVYCqC0Vs/+IV9hTSH0rzqE7eoww==" saltValue="7PM8PbaJbRCgZUUDDBNLsQ==" spinCount="100000" sqref="F73:AV73 F77:AV77 F86:AV86 F116:AV116 CW70:CW72 BB70:BE72 F51:AV51 CS86:DB86 AX86:CQ86 AX73:DB73 AX116:CQ116 CS116:DB116 AX77:DB77 BB69:BD69 CW76 BB19:BE50 BB80:BE85 CW80:CW85 BB54:BE68 CW19:CW50 BB76:BE76 AX51:CQ51 CS51:DB51" name="Rango1_6_2_2_2_3_1_4"/>
    <protectedRange algorithmName="SHA-512" hashValue="RCrGPMCyFEkdhJRom24X1PBQWhQGvWNSMwa4ZJxufwfKFdhshIHyMGamjWZVYCqC0Vs/+IV9hTSH0rzqE7eoww==" saltValue="7PM8PbaJbRCgZUUDDBNLsQ==" spinCount="100000" sqref="CX34:DB34 CX70:DA72 CX30:DB30 CT70:CV72 CX31:DA33 CX22:DB22 CX76:DB76 CX81:DA85 CX28:DB28 CX39:DB39 CT19:CV50 CX19:DA21 CX29:DA29 CX35:DA38 CX40:DA50 CX80:DB80 CT80:CV85 CX23:DA27 CT76:CV76" name="Rango1_6_2_2_3_2_1_2"/>
    <protectedRange algorithmName="SHA-512" hashValue="RCrGPMCyFEkdhJRom24X1PBQWhQGvWNSMwa4ZJxufwfKFdhshIHyMGamjWZVYCqC0Vs/+IV9hTSH0rzqE7eoww==" saltValue="7PM8PbaJbRCgZUUDDBNLsQ==" spinCount="100000" sqref="DB70:DB72 DB31:DB33 DB35:DB38 DB81:DB85 DB29 DB19:DB21 DB40:DB50 DB23:DB27" name="Rango1_6_3_2_3_2_1_2"/>
    <protectedRange algorithmName="SHA-512" hashValue="RCrGPMCyFEkdhJRom24X1PBQWhQGvWNSMwa4ZJxufwfKFdhshIHyMGamjWZVYCqC0Vs/+IV9hTSH0rzqE7eoww==" saltValue="7PM8PbaJbRCgZUUDDBNLsQ==" spinCount="100000" sqref="BF69" name="Rango1_5_2_2_2_2_1"/>
    <protectedRange algorithmName="SHA-512" hashValue="RCrGPMCyFEkdhJRom24X1PBQWhQGvWNSMwa4ZJxufwfKFdhshIHyMGamjWZVYCqC0Vs/+IV9hTSH0rzqE7eoww==" saltValue="7PM8PbaJbRCgZUUDDBNLsQ==" spinCount="100000" sqref="CW69 BE69" name="Rango1_6_2_2_2_3_1_2_1"/>
    <protectedRange algorithmName="SHA-512" hashValue="RCrGPMCyFEkdhJRom24X1PBQWhQGvWNSMwa4ZJxufwfKFdhshIHyMGamjWZVYCqC0Vs/+IV9hTSH0rzqE7eoww==" saltValue="7PM8PbaJbRCgZUUDDBNLsQ==" spinCount="100000" sqref="CX69:DA69 CT69:CV69" name="Rango1_6_2_2_3_2_1_1_2"/>
    <protectedRange algorithmName="SHA-512" hashValue="RCrGPMCyFEkdhJRom24X1PBQWhQGvWNSMwa4ZJxufwfKFdhshIHyMGamjWZVYCqC0Vs/+IV9hTSH0rzqE7eoww==" saltValue="7PM8PbaJbRCgZUUDDBNLsQ==" spinCount="100000" sqref="DB69" name="Rango1_6_3_2_3_2_1_1_2"/>
    <protectedRange algorithmName="SHA-512" hashValue="RCrGPMCyFEkdhJRom24X1PBQWhQGvWNSMwa4ZJxufwfKFdhshIHyMGamjWZVYCqC0Vs/+IV9hTSH0rzqE7eoww==" saltValue="7PM8PbaJbRCgZUUDDBNLsQ==" spinCount="100000" sqref="CW54:CW68" name="Rango1_6_2_2_2_3_1_1_1_2"/>
    <protectedRange algorithmName="SHA-512" hashValue="RCrGPMCyFEkdhJRom24X1PBQWhQGvWNSMwa4ZJxufwfKFdhshIHyMGamjWZVYCqC0Vs/+IV9hTSH0rzqE7eoww==" saltValue="7PM8PbaJbRCgZUUDDBNLsQ==" spinCount="100000" sqref="CT54:CV68 CX54:DA68" name="Rango1_6_2_2_3_2_1_1_1_2"/>
    <protectedRange algorithmName="SHA-512" hashValue="RCrGPMCyFEkdhJRom24X1PBQWhQGvWNSMwa4ZJxufwfKFdhshIHyMGamjWZVYCqC0Vs/+IV9hTSH0rzqE7eoww==" saltValue="7PM8PbaJbRCgZUUDDBNLsQ==" spinCount="100000" sqref="F16:AV16 AX16:DB16" name="Rango1_6_2_2_2_3_1_1_3"/>
    <protectedRange algorithmName="SHA-512" hashValue="RCrGPMCyFEkdhJRom24X1PBQWhQGvWNSMwa4ZJxufwfKFdhshIHyMGamjWZVYCqC0Vs/+IV9hTSH0rzqE7eoww==" saltValue="7PM8PbaJbRCgZUUDDBNLsQ==" spinCount="100000" sqref="BF7:BF15" name="Rango1_5_2_2_2_3_1_3_1"/>
    <protectedRange algorithmName="SHA-512" hashValue="RCrGPMCyFEkdhJRom24X1PBQWhQGvWNSMwa4ZJxufwfKFdhshIHyMGamjWZVYCqC0Vs/+IV9hTSH0rzqE7eoww==" saltValue="7PM8PbaJbRCgZUUDDBNLsQ==" spinCount="100000" sqref="BB7:BE15" name="Rango1_6_2_2_2_3_1_5_1_3_1"/>
    <protectedRange algorithmName="SHA-512" hashValue="RCrGPMCyFEkdhJRom24X1PBQWhQGvWNSMwa4ZJxufwfKFdhshIHyMGamjWZVYCqC0Vs/+IV9hTSH0rzqE7eoww==" saltValue="7PM8PbaJbRCgZUUDDBNLsQ==" spinCount="100000" sqref="CI13 CF13 CC13 BN13 BG7:BP7 BK13 F7:BA7 BG8:BL8 H8:BA8 V13 CO13 J13:K13 AL13 AB13 BW13 BZ13 AS13:AT13 F14:AJ14 AD13:AE13 P13 BQ13 BO14:CS14 F8:G9 H9:AW9 BO8:BP10 AX9:BA10 AK13:AK14 F15:BA15 CW7:CW15 M13:N13 F10:AW10 BG9:BN10 BQ7:CS10 BG11:CS11 AN11:BA11 G11:AL11 BT13 BG14:BL14 S13 F11:F12 AL14:BA14 BG15:CS15 BR12:CS12 G12:BA12 BG12:BO12 G13 CR13 AZ13 Y13 AH13 AN13 AQ13 AW13 BH13 CL13" name="Rango1_6_2_2_2_3_1_1_1_1_3_1"/>
    <protectedRange algorithmName="SHA-512" hashValue="RCrGPMCyFEkdhJRom24X1PBQWhQGvWNSMwa4ZJxufwfKFdhshIHyMGamjWZVYCqC0Vs/+IV9hTSH0rzqE7eoww==" saltValue="7PM8PbaJbRCgZUUDDBNLsQ==" spinCount="100000" sqref="AC13 BG13 F13 BR13:BS13 CJ13:CK13 BA13 CA13:CB13 H13:I13 Q13:R13 AM11 CS13 L13 BU13:BV13 AF13:AG13 BL13:BM13 O13 CG13:CH13 AR13 AO13:AP13 T13:U13 CP13:CQ13 AX13:AY13 BO13:BP13 AI13:AJ13 AU13:AV13 BX13:BY13 BI13:BJ13 W13:X13 CD13:CE13 Z13:AA13 CM13:CN13 AM13" name="Rango1_6_3_2_2_2_1_1_1_1_3_1"/>
    <protectedRange algorithmName="SHA-512" hashValue="RCrGPMCyFEkdhJRom24X1PBQWhQGvWNSMwa4ZJxufwfKFdhshIHyMGamjWZVYCqC0Vs/+IV9hTSH0rzqE7eoww==" saltValue="7PM8PbaJbRCgZUUDDBNLsQ==" spinCount="100000" sqref="CX7:DB15 CT7:CV15" name="Rango1_6_2_2_3_2_1_1_1_1_3_1"/>
    <protectedRange algorithmName="SHA-512" hashValue="RCrGPMCyFEkdhJRom24X1PBQWhQGvWNSMwa4ZJxufwfKFdhshIHyMGamjWZVYCqC0Vs/+IV9hTSH0rzqE7eoww==" saltValue="7PM8PbaJbRCgZUUDDBNLsQ==" spinCount="100000" sqref="BM8:BN8 BM14:BN14 BP12:BQ12" name="Rango1_7_2_3_3_3_1_3_2_3_1_3_1"/>
    <protectedRange algorithmName="SHA-512" hashValue="RCrGPMCyFEkdhJRom24X1PBQWhQGvWNSMwa4ZJxufwfKFdhshIHyMGamjWZVYCqC0Vs/+IV9hTSH0rzqE7eoww==" saltValue="7PM8PbaJbRCgZUUDDBNLsQ==" spinCount="100000" sqref="F106:AV106 CS106:DB106 AX106:CQ106" name="Rango1_6_2_2_2_3_1_3_1"/>
    <protectedRange algorithmName="SHA-512" hashValue="RCrGPMCyFEkdhJRom24X1PBQWhQGvWNSMwa4ZJxufwfKFdhshIHyMGamjWZVYCqC0Vs/+IV9hTSH0rzqE7eoww==" saltValue="7PM8PbaJbRCgZUUDDBNLsQ==" spinCount="100000" sqref="BF89:BF105" name="Rango1_5_2_2_2_4_1_1_1"/>
    <protectedRange algorithmName="SHA-512" hashValue="RCrGPMCyFEkdhJRom24X1PBQWhQGvWNSMwa4ZJxufwfKFdhshIHyMGamjWZVYCqC0Vs/+IV9hTSH0rzqE7eoww==" saltValue="7PM8PbaJbRCgZUUDDBNLsQ==" spinCount="100000" sqref="BB89:BE105" name="Rango1_6_2_2_2_3_1_6_1_1_1"/>
    <protectedRange algorithmName="SHA-512" hashValue="RCrGPMCyFEkdhJRom24X1PBQWhQGvWNSMwa4ZJxufwfKFdhshIHyMGamjWZVYCqC0Vs/+IV9hTSH0rzqE7eoww==" saltValue="7PM8PbaJbRCgZUUDDBNLsQ==" spinCount="100000" sqref="CW96 CW89:CW90 CW92:CW93" name="Rango1_6_2_2_2_3_1_3_1_1_1_1"/>
    <protectedRange algorithmName="SHA-512" hashValue="RCrGPMCyFEkdhJRom24X1PBQWhQGvWNSMwa4ZJxufwfKFdhshIHyMGamjWZVYCqC0Vs/+IV9hTSH0rzqE7eoww==" saltValue="7PM8PbaJbRCgZUUDDBNLsQ==" spinCount="100000" sqref="CX92:DA93 CX90:DA90 CX89:DB89 CX96:DA96 CT92:CV93 CT96:CV96 CT89:CV90" name="Rango1_6_2_2_3_2_1_3_1_1_1_1"/>
    <protectedRange algorithmName="SHA-512" hashValue="RCrGPMCyFEkdhJRom24X1PBQWhQGvWNSMwa4ZJxufwfKFdhshIHyMGamjWZVYCqC0Vs/+IV9hTSH0rzqE7eoww==" saltValue="7PM8PbaJbRCgZUUDDBNLsQ==" spinCount="100000" sqref="DB90 DB96 DB92:DB93" name="Rango1_6_3_2_3_2_1_3_1_1_1_1"/>
    <protectedRange algorithmName="SHA-512" hashValue="RCrGPMCyFEkdhJRom24X1PBQWhQGvWNSMwa4ZJxufwfKFdhshIHyMGamjWZVYCqC0Vs/+IV9hTSH0rzqE7eoww==" saltValue="7PM8PbaJbRCgZUUDDBNLsQ==" spinCount="100000" sqref="BI93:BO93 H96 R100:S102 CN100:CN101 H92 U98:V103 BI96 CO96:CP96 P92:Q93 F102:G102 K96 I102:J102 N96 CR92:CS93 CH101 P96:Q96 CQ97 F96:G100 T92:T93 CN95 V97 L102:M102 I96:J100 K92:N92 T96 CH105 CK105 CN105 W92:W93 AA91:AB102 Y97 W96 CQ100:CQ101 BS101:BW103 Z92:Z93 CK95 Z96 X100:Y103 AC92:AC93 AC96 CR96:CS96 AF92:AI93 AF96:AI96 AM91:AN102 AL92:AL93 CE98:CF98 CQ95 AL96 CQ105 CQ91 AO92:AO93 CN91 BG89:CS90 AO96 M91 BM91:BN92 AQ92:AR93 CH103 AQ96:AR96 F89:BA90 I91:J92 O91 AU96:BA96 AJ91:AK103 F91:G92 AU92:BA93 BX92:BX93 X98:Y98 CQ93 BS100 CN93 BK96:BL96 F93:N93 CE91:CF96 U91:V96 F94:G94 BX96 I94:J94 L94:M94 BR92:BR93 BI92:BL92 BO92 BO96 X91:Y96 CE100:CF103 CK103 CB92:CD93 BR96 AD91:AE103 CN97 BV100 BS105 BV105 CG92:CM93 CB96:CD96 BY105 CE105 CO92:CP93 BG91:BH103 CG96:CM96 L96:M100 BP91:BQ103 BY91:CA103 BM94:BN103 AS91:AT103 AP91:AP103 BS91:BW99 R91:S98" name="Rango1_7_2_3_3_3_1_3_2_3_1_4_1"/>
    <protectedRange algorithmName="SHA-512" hashValue="RCrGPMCyFEkdhJRom24X1PBQWhQGvWNSMwa4ZJxufwfKFdhshIHyMGamjWZVYCqC0Vs/+IV9hTSH0rzqE7eoww==" saltValue="7PM8PbaJbRCgZUUDDBNLsQ==" spinCount="100000" sqref="CW91 CW94:CW95 CW97:CW105" name="Rango1_6_2_2_2_3_1_2_1_1_1_1"/>
    <protectedRange algorithmName="SHA-512" hashValue="RCrGPMCyFEkdhJRom24X1PBQWhQGvWNSMwa4ZJxufwfKFdhshIHyMGamjWZVYCqC0Vs/+IV9hTSH0rzqE7eoww==" saltValue="7PM8PbaJbRCgZUUDDBNLsQ==" spinCount="100000" sqref="CT91:CV91 CX91:DA91 CX94:DA95 CT94:CV95 CT97:CV105 CX97:DA105" name="Rango1_6_2_2_3_2_1_2_1_1_1_1"/>
    <protectedRange algorithmName="SHA-512" hashValue="RCrGPMCyFEkdhJRom24X1PBQWhQGvWNSMwa4ZJxufwfKFdhshIHyMGamjWZVYCqC0Vs/+IV9hTSH0rzqE7eoww==" saltValue="7PM8PbaJbRCgZUUDDBNLsQ==" spinCount="100000" sqref="DB91 DB94:DB95 DB97:DB105" name="Rango1_6_3_2_3_2_1_2_1_1_1_1"/>
    <protectedRange algorithmName="SHA-512" hashValue="RCrGPMCyFEkdhJRom24X1PBQWhQGvWNSMwa4ZJxufwfKFdhshIHyMGamjWZVYCqC0Vs/+IV9hTSH0rzqE7eoww==" saltValue="7PM8PbaJbRCgZUUDDBNLsQ==" spinCount="100000" sqref="BI91:BL91 CL103:CM103 BG105:BR105 BI95 CQ96 N91 BT105:BU105 F95:N95 CQ98:CQ99 Z103:AC103 K91:L91 K94 H102 P91:Q91 K102 CF105:CG105 P99:T99 N102 T91 P95:Q95 T100:T102 AL103:AO103 T97:U97 CL95:CM95 W91 N97:N100 F103:N103 CI105:CJ105 P97:Q98 T98 P100:Q100 F104:BA105 W97:X97 Z91 CO105:CP105 CR105:CS105 CL105:CM105 BT100:BU100 AC91 O92:O93 AC97:AC102 W98 Z97:Z98 CG103 AF91:AI91 CB94:CD95 BR94:BR95 BO94:BO95 AU94:BA95 AQ94:AR95 AF94:AI95 AL97:AL102 AC94:AC95 Z94:Z95 AO91 W94:W95 AL94:AL95 AO97:AO102 T94:T95 N94:Q94 AQ91:AR91 AO94:AO95 CG94:CS94 BI94:BL94 AU91:BA91 H94 Z100:Z102 AF97:AI103 CI103:CJ103 P103:T103 AQ97:AR103 AU97:BA103 BI102:BL103 BG104:CS104 AL91 H91 BX101:BX103 BK95:BL95 BO97:BO103 BX97:BX99 BX91 BJ95:BJ101 BX94:BX95 BR97:BR103 F101:Q101 O102:O103 BO91 CR91:CS91 CI101:CM101 CG101 CB100:CD103 BR91 CN102:CN103 CB97:CM97 CR97:CS103 CB99:CG99 BW105:BX105 CR95:CS95 CB91:CD91 CH98:CN99 BW100:BX100 CG100:CM100 BK97:BL101 BZ105:CD105 BI97:BI101 CB98:CD98 CG98 P102:Q102 CG91:CM91 CG102:CM102 CG95:CJ95 W100:W103 CO97:CP103 W99:Z99 CO91:CP91 CO95:CP95 K97:K100 CN92 CQ102:CQ103 CN96 H97:H100 CQ92 O95:O100" name="Rango1_7_2_3_3_3_1_2_1_1_1_1"/>
    <protectedRange algorithmName="SHA-512" hashValue="RCrGPMCyFEkdhJRom24X1PBQWhQGvWNSMwa4ZJxufwfKFdhshIHyMGamjWZVYCqC0Vs/+IV9hTSH0rzqE7eoww==" saltValue="7PM8PbaJbRCgZUUDDBNLsQ==" spinCount="100000" sqref="BF109:BF115" name="Rango1_5_2_2_2_1_1"/>
    <protectedRange algorithmName="SHA-512" hashValue="RCrGPMCyFEkdhJRom24X1PBQWhQGvWNSMwa4ZJxufwfKFdhshIHyMGamjWZVYCqC0Vs/+IV9hTSH0rzqE7eoww==" saltValue="7PM8PbaJbRCgZUUDDBNLsQ==" spinCount="100000" sqref="CW109:CW115 BB109:BE115" name="Rango1_6_2_2_2_3_1_4_1"/>
    <protectedRange algorithmName="SHA-512" hashValue="RCrGPMCyFEkdhJRom24X1PBQWhQGvWNSMwa4ZJxufwfKFdhshIHyMGamjWZVYCqC0Vs/+IV9hTSH0rzqE7eoww==" saltValue="7PM8PbaJbRCgZUUDDBNLsQ==" spinCount="100000" sqref="CT109:CV115 CX109:DA115" name="Rango1_6_2_2_3_2_1_2_1"/>
    <protectedRange algorithmName="SHA-512" hashValue="RCrGPMCyFEkdhJRom24X1PBQWhQGvWNSMwa4ZJxufwfKFdhshIHyMGamjWZVYCqC0Vs/+IV9hTSH0rzqE7eoww==" saltValue="7PM8PbaJbRCgZUUDDBNLsQ==" spinCount="100000" sqref="DB109:DB115" name="Rango1_6_3_2_3_2_1_2_1"/>
    <protectedRange algorithmName="SHA-512" hashValue="RCrGPMCyFEkdhJRom24X1PBQWhQGvWNSMwa4ZJxufwfKFdhshIHyMGamjWZVYCqC0Vs/+IV9hTSH0rzqE7eoww==" saltValue="7PM8PbaJbRCgZUUDDBNLsQ==" spinCount="100000" sqref="CZ117:DA119" name="Rango1_2"/>
    <protectedRange algorithmName="SHA-512" hashValue="RCrGPMCyFEkdhJRom24X1PBQWhQGvWNSMwa4ZJxufwfKFdhshIHyMGamjWZVYCqC0Vs/+IV9hTSH0rzqE7eoww==" saltValue="7PM8PbaJbRCgZUUDDBNLsQ==" spinCount="100000" sqref="DB119" name="Rango1_3"/>
  </protectedRanges>
  <mergeCells count="364">
    <mergeCell ref="CY5:CY6"/>
    <mergeCell ref="CZ5:CZ6"/>
    <mergeCell ref="DA5:DA6"/>
    <mergeCell ref="DB5:DB6"/>
    <mergeCell ref="CK5:CM5"/>
    <mergeCell ref="CN5:CP5"/>
    <mergeCell ref="CQ5:CS5"/>
    <mergeCell ref="CT5:CT6"/>
    <mergeCell ref="CU5:CU6"/>
    <mergeCell ref="CV5:CV6"/>
    <mergeCell ref="CH5:CJ5"/>
    <mergeCell ref="BE5:BE6"/>
    <mergeCell ref="BF5:BF6"/>
    <mergeCell ref="BG5:BI5"/>
    <mergeCell ref="BJ5:BL5"/>
    <mergeCell ref="BM5:BO5"/>
    <mergeCell ref="BP5:BR5"/>
    <mergeCell ref="CW5:CW6"/>
    <mergeCell ref="CX5:CX6"/>
    <mergeCell ref="AG5:AI5"/>
    <mergeCell ref="AJ5:AL5"/>
    <mergeCell ref="AM5:AO5"/>
    <mergeCell ref="AP5:AR5"/>
    <mergeCell ref="BS5:BU5"/>
    <mergeCell ref="BV5:BX5"/>
    <mergeCell ref="BY5:CA5"/>
    <mergeCell ref="CB5:CD5"/>
    <mergeCell ref="CE5:CG5"/>
    <mergeCell ref="CY1:DB4"/>
    <mergeCell ref="A5:A6"/>
    <mergeCell ref="B5:B6"/>
    <mergeCell ref="C5:C6"/>
    <mergeCell ref="D5:D6"/>
    <mergeCell ref="E5:E6"/>
    <mergeCell ref="F5:H5"/>
    <mergeCell ref="I5:K5"/>
    <mergeCell ref="L5:N5"/>
    <mergeCell ref="O5:Q5"/>
    <mergeCell ref="R5:T5"/>
    <mergeCell ref="U5:W5"/>
    <mergeCell ref="X5:Z5"/>
    <mergeCell ref="A1:E4"/>
    <mergeCell ref="BB1:BF4"/>
    <mergeCell ref="CT1:CX4"/>
    <mergeCell ref="AS5:AU5"/>
    <mergeCell ref="AV5:AX5"/>
    <mergeCell ref="AY5:BA5"/>
    <mergeCell ref="BB5:BB6"/>
    <mergeCell ref="BC5:BC6"/>
    <mergeCell ref="BD5:BD6"/>
    <mergeCell ref="AA5:AC5"/>
    <mergeCell ref="AD5:AF5"/>
    <mergeCell ref="A16:E16"/>
    <mergeCell ref="F16:BA16"/>
    <mergeCell ref="BG16:CS16"/>
    <mergeCell ref="A17:A18"/>
    <mergeCell ref="B17:B18"/>
    <mergeCell ref="C17:C18"/>
    <mergeCell ref="D17:D18"/>
    <mergeCell ref="E17:E18"/>
    <mergeCell ref="F17:H17"/>
    <mergeCell ref="I17:K17"/>
    <mergeCell ref="L17:N17"/>
    <mergeCell ref="O17:Q17"/>
    <mergeCell ref="R17:T17"/>
    <mergeCell ref="U17:W17"/>
    <mergeCell ref="X17:Z17"/>
    <mergeCell ref="AA17:AC17"/>
    <mergeCell ref="AD17:AF17"/>
    <mergeCell ref="AG17:AI17"/>
    <mergeCell ref="AJ17:AL17"/>
    <mergeCell ref="AM17:AO17"/>
    <mergeCell ref="AP17:AR17"/>
    <mergeCell ref="AS17:AU17"/>
    <mergeCell ref="AV17:AX17"/>
    <mergeCell ref="AY17:BA17"/>
    <mergeCell ref="BB17:BB18"/>
    <mergeCell ref="BC17:BC18"/>
    <mergeCell ref="BD17:BD18"/>
    <mergeCell ref="BE17:BE18"/>
    <mergeCell ref="BF17:BF18"/>
    <mergeCell ref="BG17:BI17"/>
    <mergeCell ref="BJ17:BL17"/>
    <mergeCell ref="BM17:BO17"/>
    <mergeCell ref="BP17:BR17"/>
    <mergeCell ref="BS17:BU17"/>
    <mergeCell ref="BV17:BX17"/>
    <mergeCell ref="BY17:CA17"/>
    <mergeCell ref="CB17:CD17"/>
    <mergeCell ref="CE17:CG17"/>
    <mergeCell ref="CH17:CJ17"/>
    <mergeCell ref="CK17:CM17"/>
    <mergeCell ref="CN17:CP17"/>
    <mergeCell ref="CQ17:CS17"/>
    <mergeCell ref="CT17:CT18"/>
    <mergeCell ref="CU17:CU18"/>
    <mergeCell ref="CV17:CV18"/>
    <mergeCell ref="CW17:CW18"/>
    <mergeCell ref="CX17:CX18"/>
    <mergeCell ref="CY17:CY18"/>
    <mergeCell ref="CZ17:CZ18"/>
    <mergeCell ref="DA17:DA18"/>
    <mergeCell ref="DB17:DB18"/>
    <mergeCell ref="A51:E51"/>
    <mergeCell ref="F51:BA51"/>
    <mergeCell ref="BG51:CS51"/>
    <mergeCell ref="A52:A53"/>
    <mergeCell ref="B52:B53"/>
    <mergeCell ref="C52:C53"/>
    <mergeCell ref="D52:D53"/>
    <mergeCell ref="E52:E53"/>
    <mergeCell ref="F52:H52"/>
    <mergeCell ref="I52:K52"/>
    <mergeCell ref="L52:N52"/>
    <mergeCell ref="O52:Q52"/>
    <mergeCell ref="R52:T52"/>
    <mergeCell ref="U52:W52"/>
    <mergeCell ref="X52:Z52"/>
    <mergeCell ref="AA52:AC52"/>
    <mergeCell ref="AD52:AF52"/>
    <mergeCell ref="AG52:AI52"/>
    <mergeCell ref="AJ52:AL52"/>
    <mergeCell ref="AM52:AO52"/>
    <mergeCell ref="AP52:AR52"/>
    <mergeCell ref="AS52:AU52"/>
    <mergeCell ref="AV52:AX52"/>
    <mergeCell ref="AY52:BA52"/>
    <mergeCell ref="BB52:BB53"/>
    <mergeCell ref="BC52:BC53"/>
    <mergeCell ref="BD52:BD53"/>
    <mergeCell ref="BE52:BE53"/>
    <mergeCell ref="BF52:BF53"/>
    <mergeCell ref="BG52:BI52"/>
    <mergeCell ref="BJ52:BL52"/>
    <mergeCell ref="BM52:BO52"/>
    <mergeCell ref="BP52:BR52"/>
    <mergeCell ref="BS52:BU52"/>
    <mergeCell ref="BV52:BX52"/>
    <mergeCell ref="BY52:CA52"/>
    <mergeCell ref="CB52:CD52"/>
    <mergeCell ref="CE52:CG52"/>
    <mergeCell ref="CH52:CJ52"/>
    <mergeCell ref="CK52:CM52"/>
    <mergeCell ref="CN52:CP52"/>
    <mergeCell ref="CQ52:CS52"/>
    <mergeCell ref="CT52:CT53"/>
    <mergeCell ref="CU52:CU53"/>
    <mergeCell ref="CV52:CV53"/>
    <mergeCell ref="CW52:CW53"/>
    <mergeCell ref="CX52:CX53"/>
    <mergeCell ref="CY52:CY53"/>
    <mergeCell ref="CZ52:CZ53"/>
    <mergeCell ref="DA52:DA53"/>
    <mergeCell ref="DB52:DB53"/>
    <mergeCell ref="A73:E73"/>
    <mergeCell ref="F73:BA73"/>
    <mergeCell ref="BG73:CP73"/>
    <mergeCell ref="A74:A75"/>
    <mergeCell ref="B74:B75"/>
    <mergeCell ref="C74:C75"/>
    <mergeCell ref="D74:D75"/>
    <mergeCell ref="E74:E75"/>
    <mergeCell ref="F74:H74"/>
    <mergeCell ref="I74:K74"/>
    <mergeCell ref="L74:N74"/>
    <mergeCell ref="O74:Q74"/>
    <mergeCell ref="R74:T74"/>
    <mergeCell ref="U74:W74"/>
    <mergeCell ref="X74:Z74"/>
    <mergeCell ref="AA74:AC74"/>
    <mergeCell ref="AD74:AF74"/>
    <mergeCell ref="AG74:AI74"/>
    <mergeCell ref="AJ74:AL74"/>
    <mergeCell ref="AM74:AO74"/>
    <mergeCell ref="AP74:AR74"/>
    <mergeCell ref="AS74:AU74"/>
    <mergeCell ref="AV74:AX74"/>
    <mergeCell ref="AY74:BA74"/>
    <mergeCell ref="BB74:BB75"/>
    <mergeCell ref="BC74:BC75"/>
    <mergeCell ref="BD74:BD75"/>
    <mergeCell ref="BE74:BE75"/>
    <mergeCell ref="BF74:BF75"/>
    <mergeCell ref="BG74:BI74"/>
    <mergeCell ref="BJ74:BL74"/>
    <mergeCell ref="BM74:BO74"/>
    <mergeCell ref="BP74:BR74"/>
    <mergeCell ref="BS74:BU74"/>
    <mergeCell ref="BV74:BX74"/>
    <mergeCell ref="BY74:CA74"/>
    <mergeCell ref="CB74:CD74"/>
    <mergeCell ref="CE74:CG74"/>
    <mergeCell ref="CH74:CJ74"/>
    <mergeCell ref="CK74:CM74"/>
    <mergeCell ref="CN74:CP74"/>
    <mergeCell ref="CQ74:CS74"/>
    <mergeCell ref="CT74:CT75"/>
    <mergeCell ref="CU74:CU75"/>
    <mergeCell ref="CV74:CV75"/>
    <mergeCell ref="CW74:CW75"/>
    <mergeCell ref="CX74:CX75"/>
    <mergeCell ref="CY74:CY75"/>
    <mergeCell ref="CZ74:CZ75"/>
    <mergeCell ref="DA74:DA75"/>
    <mergeCell ref="DB74:DB75"/>
    <mergeCell ref="A77:E77"/>
    <mergeCell ref="F77:BA77"/>
    <mergeCell ref="BG77:CS77"/>
    <mergeCell ref="A78:A79"/>
    <mergeCell ref="B78:B79"/>
    <mergeCell ref="C78:C79"/>
    <mergeCell ref="D78:D79"/>
    <mergeCell ref="E78:E79"/>
    <mergeCell ref="F78:H78"/>
    <mergeCell ref="I78:K78"/>
    <mergeCell ref="L78:N78"/>
    <mergeCell ref="O78:Q78"/>
    <mergeCell ref="R78:T78"/>
    <mergeCell ref="U78:W78"/>
    <mergeCell ref="X78:Z78"/>
    <mergeCell ref="AA78:AC78"/>
    <mergeCell ref="AD78:AF78"/>
    <mergeCell ref="AG78:AI78"/>
    <mergeCell ref="AJ78:AL78"/>
    <mergeCell ref="AM78:AO78"/>
    <mergeCell ref="AP78:AR78"/>
    <mergeCell ref="AS78:AU78"/>
    <mergeCell ref="AV78:AX78"/>
    <mergeCell ref="AY78:BA78"/>
    <mergeCell ref="BB87:BB88"/>
    <mergeCell ref="BC87:BC88"/>
    <mergeCell ref="BD87:BD88"/>
    <mergeCell ref="BS87:BU87"/>
    <mergeCell ref="BV87:BX87"/>
    <mergeCell ref="BY87:CA87"/>
    <mergeCell ref="CZ78:CZ79"/>
    <mergeCell ref="DA78:DA79"/>
    <mergeCell ref="DB78:DB79"/>
    <mergeCell ref="BS78:BU78"/>
    <mergeCell ref="BV78:BX78"/>
    <mergeCell ref="BY78:CA78"/>
    <mergeCell ref="CB78:CD78"/>
    <mergeCell ref="CE78:CG78"/>
    <mergeCell ref="CH78:CJ78"/>
    <mergeCell ref="CK78:CM78"/>
    <mergeCell ref="CN78:CP78"/>
    <mergeCell ref="CQ78:CS78"/>
    <mergeCell ref="CT78:CT79"/>
    <mergeCell ref="CU78:CU79"/>
    <mergeCell ref="CV78:CV79"/>
    <mergeCell ref="CW78:CW79"/>
    <mergeCell ref="CX78:CX79"/>
    <mergeCell ref="CY78:CY79"/>
    <mergeCell ref="BB78:BB79"/>
    <mergeCell ref="BC78:BC79"/>
    <mergeCell ref="BD78:BD79"/>
    <mergeCell ref="BE78:BE79"/>
    <mergeCell ref="BF78:BF79"/>
    <mergeCell ref="BG78:BI78"/>
    <mergeCell ref="BJ78:BL78"/>
    <mergeCell ref="BM78:BO78"/>
    <mergeCell ref="BP78:BR78"/>
    <mergeCell ref="A86:E86"/>
    <mergeCell ref="F86:BA86"/>
    <mergeCell ref="BG86:CS86"/>
    <mergeCell ref="A87:A88"/>
    <mergeCell ref="B87:B88"/>
    <mergeCell ref="C87:C88"/>
    <mergeCell ref="D87:D88"/>
    <mergeCell ref="E87:E88"/>
    <mergeCell ref="F87:H87"/>
    <mergeCell ref="I87:K87"/>
    <mergeCell ref="L87:N87"/>
    <mergeCell ref="O87:Q87"/>
    <mergeCell ref="R87:T87"/>
    <mergeCell ref="U87:W87"/>
    <mergeCell ref="X87:Z87"/>
    <mergeCell ref="AA87:AC87"/>
    <mergeCell ref="AD87:AF87"/>
    <mergeCell ref="AG87:AI87"/>
    <mergeCell ref="AJ87:AL87"/>
    <mergeCell ref="AM87:AO87"/>
    <mergeCell ref="AP87:AR87"/>
    <mergeCell ref="AS87:AU87"/>
    <mergeCell ref="AV87:AX87"/>
    <mergeCell ref="AY87:BA87"/>
    <mergeCell ref="CW87:CW88"/>
    <mergeCell ref="CX87:CX88"/>
    <mergeCell ref="CY87:CY88"/>
    <mergeCell ref="CZ87:CZ88"/>
    <mergeCell ref="DA87:DA88"/>
    <mergeCell ref="DB87:DB88"/>
    <mergeCell ref="A106:E106"/>
    <mergeCell ref="F106:BA106"/>
    <mergeCell ref="BG106:CS106"/>
    <mergeCell ref="CB87:CD87"/>
    <mergeCell ref="CE87:CG87"/>
    <mergeCell ref="CH87:CJ87"/>
    <mergeCell ref="CK87:CM87"/>
    <mergeCell ref="CN87:CP87"/>
    <mergeCell ref="CQ87:CS87"/>
    <mergeCell ref="CT87:CT88"/>
    <mergeCell ref="CU87:CU88"/>
    <mergeCell ref="CV87:CV88"/>
    <mergeCell ref="BE87:BE88"/>
    <mergeCell ref="BF87:BF88"/>
    <mergeCell ref="BG87:BI87"/>
    <mergeCell ref="BJ87:BL87"/>
    <mergeCell ref="BM87:BO87"/>
    <mergeCell ref="BP87:BR87"/>
    <mergeCell ref="A107:A108"/>
    <mergeCell ref="B107:B108"/>
    <mergeCell ref="C107:C108"/>
    <mergeCell ref="D107:D108"/>
    <mergeCell ref="E107:E108"/>
    <mergeCell ref="F107:H107"/>
    <mergeCell ref="I107:K107"/>
    <mergeCell ref="L107:N107"/>
    <mergeCell ref="O107:Q107"/>
    <mergeCell ref="R107:T107"/>
    <mergeCell ref="U107:W107"/>
    <mergeCell ref="X107:Z107"/>
    <mergeCell ref="AA107:AC107"/>
    <mergeCell ref="AD107:AF107"/>
    <mergeCell ref="AG107:AI107"/>
    <mergeCell ref="AJ107:AL107"/>
    <mergeCell ref="AM107:AO107"/>
    <mergeCell ref="AP107:AR107"/>
    <mergeCell ref="CB107:CD107"/>
    <mergeCell ref="CE107:CG107"/>
    <mergeCell ref="CH107:CJ107"/>
    <mergeCell ref="AS107:AU107"/>
    <mergeCell ref="AV107:AX107"/>
    <mergeCell ref="AY107:BA107"/>
    <mergeCell ref="BB107:BB108"/>
    <mergeCell ref="BC107:BC108"/>
    <mergeCell ref="BD107:BD108"/>
    <mergeCell ref="BE107:BE108"/>
    <mergeCell ref="BF107:BF108"/>
    <mergeCell ref="BG107:BI107"/>
    <mergeCell ref="CZ107:CZ108"/>
    <mergeCell ref="DA107:DA108"/>
    <mergeCell ref="DB107:DB108"/>
    <mergeCell ref="A116:E116"/>
    <mergeCell ref="F116:BA116"/>
    <mergeCell ref="BG116:CS116"/>
    <mergeCell ref="CZ117:DA117"/>
    <mergeCell ref="CZ118:DA118"/>
    <mergeCell ref="CZ119:DA119"/>
    <mergeCell ref="CK107:CM107"/>
    <mergeCell ref="CN107:CP107"/>
    <mergeCell ref="CQ107:CS107"/>
    <mergeCell ref="CT107:CT108"/>
    <mergeCell ref="CU107:CU108"/>
    <mergeCell ref="CV107:CV108"/>
    <mergeCell ref="CW107:CW108"/>
    <mergeCell ref="CX107:CX108"/>
    <mergeCell ref="CY107:CY108"/>
    <mergeCell ref="BJ107:BL107"/>
    <mergeCell ref="BM107:BO107"/>
    <mergeCell ref="BP107:BR107"/>
    <mergeCell ref="BS107:BU107"/>
    <mergeCell ref="BV107:BX107"/>
    <mergeCell ref="BY107:CA107"/>
  </mergeCells>
  <hyperlinks>
    <hyperlink ref="E60" r:id="rId1"/>
    <hyperlink ref="E24" r:id="rId2"/>
    <hyperlink ref="E67" r:id="rId3"/>
    <hyperlink ref="E83" r:id="rId4"/>
    <hyperlink ref="E44" r:id="rId5"/>
    <hyperlink ref="E25" r:id="rId6"/>
    <hyperlink ref="E76" r:id="rId7"/>
    <hyperlink ref="E54" r:id="rId8"/>
    <hyperlink ref="E68" r:id="rId9"/>
    <hyperlink ref="E71" r:id="rId10"/>
    <hyperlink ref="E39" r:id="rId11"/>
    <hyperlink ref="E62" r:id="rId12"/>
    <hyperlink ref="E26" r:id="rId13"/>
    <hyperlink ref="E64" r:id="rId14"/>
    <hyperlink ref="E56" r:id="rId15"/>
    <hyperlink ref="E23" r:id="rId16"/>
    <hyperlink ref="E27" r:id="rId17"/>
    <hyperlink ref="E28" r:id="rId18"/>
    <hyperlink ref="E30" r:id="rId19"/>
    <hyperlink ref="E32" r:id="rId20"/>
    <hyperlink ref="E33" r:id="rId21"/>
    <hyperlink ref="E65" r:id="rId22"/>
    <hyperlink ref="E29" r:id="rId23"/>
    <hyperlink ref="E34" r:id="rId24"/>
    <hyperlink ref="E35" r:id="rId25"/>
    <hyperlink ref="E36" r:id="rId26"/>
    <hyperlink ref="E37" r:id="rId27"/>
    <hyperlink ref="E38" r:id="rId28"/>
    <hyperlink ref="E22" r:id="rId29"/>
    <hyperlink ref="E59" r:id="rId30"/>
    <hyperlink ref="E31" r:id="rId31"/>
    <hyperlink ref="E19" r:id="rId32"/>
    <hyperlink ref="E69" r:id="rId33"/>
    <hyperlink ref="E82" r:id="rId34"/>
    <hyperlink ref="E55" r:id="rId35"/>
    <hyperlink ref="E72" r:id="rId36"/>
    <hyperlink ref="E84" r:id="rId37"/>
    <hyperlink ref="E70" r:id="rId38"/>
    <hyperlink ref="E66" r:id="rId39"/>
    <hyperlink ref="E47" r:id="rId40"/>
    <hyperlink ref="E14" r:id="rId41"/>
    <hyperlink ref="E10" r:id="rId42"/>
    <hyperlink ref="E9" r:id="rId43"/>
    <hyperlink ref="E13" r:id="rId44"/>
    <hyperlink ref="E91" r:id="rId45"/>
    <hyperlink ref="E103" r:id="rId46"/>
    <hyperlink ref="E94" r:id="rId47"/>
    <hyperlink ref="E104" r:id="rId48"/>
    <hyperlink ref="E109" r:id="rId49"/>
    <hyperlink ref="E111" r:id="rId50"/>
    <hyperlink ref="E115" r:id="rId51"/>
    <hyperlink ref="E113" r:id="rId52"/>
    <hyperlink ref="E110" r:id="rId53"/>
  </hyperlinks>
  <pageMargins left="0.7" right="0.7" top="0.75" bottom="0.75" header="0.3" footer="0.3"/>
  <legacy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N115"/>
  <sheetViews>
    <sheetView zoomScale="90" zoomScaleNormal="90" workbookViewId="0">
      <pane xSplit="2" ySplit="1" topLeftCell="CZ119" activePane="bottomRight" state="frozen"/>
      <selection pane="topRight" activeCell="C1" sqref="C1"/>
      <selection pane="bottomLeft" activeCell="A7" sqref="A7"/>
      <selection pane="bottomRight" activeCell="B140" sqref="B140"/>
    </sheetView>
  </sheetViews>
  <sheetFormatPr baseColWidth="10" defaultRowHeight="15" x14ac:dyDescent="0.25"/>
  <cols>
    <col min="1" max="1" width="5.28515625" style="192" customWidth="1"/>
    <col min="2" max="2" width="56.28515625" style="192" customWidth="1"/>
    <col min="3" max="3" width="27.42578125" style="192" customWidth="1"/>
    <col min="4" max="4" width="18.140625" style="197" hidden="1" customWidth="1"/>
    <col min="5" max="5" width="36.42578125" style="197" hidden="1" customWidth="1"/>
    <col min="6" max="8" width="11.42578125" style="192" customWidth="1"/>
    <col min="9" max="11" width="11.42578125" style="195" customWidth="1"/>
    <col min="12" max="14" width="11.42578125" style="193" customWidth="1"/>
    <col min="15" max="20" width="11.42578125" style="195" customWidth="1"/>
    <col min="21" max="26" width="11.42578125" style="193" customWidth="1"/>
    <col min="27" max="35" width="11.42578125" style="194" customWidth="1"/>
    <col min="36" max="47" width="11.42578125" style="193" customWidth="1"/>
    <col min="48" max="53" width="11.42578125" style="193" hidden="1" customWidth="1"/>
    <col min="54" max="54" width="23.7109375" style="192" customWidth="1"/>
    <col min="55" max="55" width="18.42578125" style="192" customWidth="1"/>
    <col min="56" max="56" width="18.85546875" style="192" customWidth="1"/>
    <col min="57" max="57" width="9.5703125" style="196" customWidth="1"/>
    <col min="58" max="58" width="20" style="192" customWidth="1"/>
    <col min="59" max="84" width="11.5703125" style="192" customWidth="1"/>
    <col min="85" max="85" width="11.28515625" style="192" customWidth="1"/>
    <col min="86" max="97" width="11.5703125" style="192" customWidth="1"/>
    <col min="98" max="98" width="20.85546875" style="195" customWidth="1"/>
    <col min="99" max="99" width="19.7109375" style="192" customWidth="1"/>
    <col min="100" max="100" width="18.140625" style="192" customWidth="1"/>
    <col min="101" max="101" width="9.5703125" style="192" customWidth="1"/>
    <col min="102" max="102" width="19.85546875" style="195" customWidth="1"/>
    <col min="103" max="103" width="22.140625" style="195" customWidth="1"/>
    <col min="104" max="104" width="19.42578125" style="195" customWidth="1"/>
    <col min="105" max="105" width="20.42578125" style="195" customWidth="1"/>
    <col min="106" max="106" width="22" style="195" customWidth="1"/>
    <col min="107" max="107" width="23.140625" style="192" customWidth="1"/>
    <col min="108" max="108" width="20.28515625" style="398" customWidth="1"/>
    <col min="109" max="109" width="23.85546875" style="398" customWidth="1"/>
    <col min="110" max="148" width="11.42578125" style="398"/>
    <col min="149" max="16384" width="11.42578125" style="192"/>
  </cols>
  <sheetData>
    <row r="1" spans="1:148" ht="11.25" customHeight="1" thickTop="1" x14ac:dyDescent="0.25">
      <c r="A1" s="1399" t="s">
        <v>488</v>
      </c>
      <c r="B1" s="1400"/>
      <c r="C1" s="1400"/>
      <c r="D1" s="1400"/>
      <c r="E1" s="1400"/>
      <c r="F1" s="392"/>
      <c r="G1" s="393"/>
      <c r="H1" s="393"/>
      <c r="I1" s="394"/>
      <c r="J1" s="394"/>
      <c r="K1" s="394"/>
      <c r="L1" s="393"/>
      <c r="M1" s="393"/>
      <c r="N1" s="395"/>
      <c r="O1" s="394"/>
      <c r="P1" s="394"/>
      <c r="Q1" s="394"/>
      <c r="R1" s="394"/>
      <c r="S1" s="394"/>
      <c r="T1" s="394"/>
      <c r="U1" s="393"/>
      <c r="V1" s="393"/>
      <c r="W1" s="393"/>
      <c r="X1" s="393"/>
      <c r="Y1" s="393"/>
      <c r="Z1" s="395"/>
      <c r="AA1" s="396"/>
      <c r="AB1" s="396"/>
      <c r="AC1" s="396"/>
      <c r="AD1" s="396"/>
      <c r="AE1" s="396"/>
      <c r="AF1" s="396"/>
      <c r="AG1" s="396"/>
      <c r="AH1" s="396"/>
      <c r="AI1" s="396"/>
      <c r="AJ1" s="393"/>
      <c r="AK1" s="393"/>
      <c r="AL1" s="393"/>
      <c r="AM1" s="393"/>
      <c r="AN1" s="393"/>
      <c r="AO1" s="393"/>
      <c r="AP1" s="393"/>
      <c r="AQ1" s="393"/>
      <c r="AR1" s="393"/>
      <c r="AS1" s="393"/>
      <c r="AT1" s="393"/>
      <c r="AU1" s="393"/>
      <c r="AV1" s="393"/>
      <c r="AW1" s="393"/>
      <c r="AX1" s="393"/>
      <c r="AY1" s="393"/>
      <c r="AZ1" s="393"/>
      <c r="BA1" s="393"/>
      <c r="BB1" s="1405" t="s">
        <v>489</v>
      </c>
      <c r="BC1" s="1406"/>
      <c r="BD1" s="1406"/>
      <c r="BE1" s="1406"/>
      <c r="BF1" s="1407"/>
      <c r="BG1" s="397"/>
      <c r="BH1" s="393"/>
      <c r="BI1" s="393"/>
      <c r="BJ1" s="393"/>
      <c r="BK1" s="393"/>
      <c r="BL1" s="393"/>
      <c r="BM1" s="393"/>
      <c r="BN1" s="393"/>
      <c r="BO1" s="393"/>
      <c r="BP1" s="393"/>
      <c r="BQ1" s="393"/>
      <c r="BR1" s="393"/>
      <c r="BS1" s="393"/>
      <c r="BT1" s="393"/>
      <c r="BU1" s="393"/>
      <c r="BV1" s="393"/>
      <c r="BW1" s="393"/>
      <c r="BX1" s="393"/>
      <c r="BY1" s="393"/>
      <c r="BZ1" s="393"/>
      <c r="CA1" s="393"/>
      <c r="CB1" s="393"/>
      <c r="CC1" s="393"/>
      <c r="CD1" s="393"/>
      <c r="CE1" s="393"/>
      <c r="CF1" s="393"/>
      <c r="CG1" s="393"/>
      <c r="CH1" s="393"/>
      <c r="CI1" s="393"/>
      <c r="CJ1" s="393"/>
      <c r="CK1" s="393"/>
      <c r="CL1" s="393"/>
      <c r="CM1" s="393"/>
      <c r="CN1" s="393"/>
      <c r="CO1" s="393"/>
      <c r="CP1" s="393"/>
      <c r="CQ1" s="393"/>
      <c r="CR1" s="393"/>
      <c r="CS1" s="393"/>
      <c r="CT1" s="1414" t="s">
        <v>490</v>
      </c>
      <c r="CU1" s="1415"/>
      <c r="CV1" s="1415"/>
      <c r="CW1" s="1415"/>
      <c r="CX1" s="1416"/>
      <c r="CY1" s="1386" t="s">
        <v>491</v>
      </c>
      <c r="CZ1" s="1387"/>
      <c r="DA1" s="1387"/>
      <c r="DB1" s="1388"/>
    </row>
    <row r="2" spans="1:148" ht="11.25" customHeight="1" x14ac:dyDescent="0.25">
      <c r="A2" s="1401"/>
      <c r="B2" s="1402"/>
      <c r="C2" s="1402"/>
      <c r="D2" s="1402"/>
      <c r="E2" s="1402"/>
      <c r="F2" s="399"/>
      <c r="G2" s="193"/>
      <c r="H2" s="193"/>
      <c r="I2" s="400"/>
      <c r="J2" s="400"/>
      <c r="K2" s="401"/>
      <c r="N2" s="402"/>
      <c r="O2" s="403"/>
      <c r="P2" s="400"/>
      <c r="Q2" s="400"/>
      <c r="R2" s="400"/>
      <c r="S2" s="400"/>
      <c r="T2" s="400"/>
      <c r="Y2" s="402"/>
      <c r="Z2" s="402"/>
      <c r="AB2" s="404"/>
      <c r="AD2" s="401"/>
      <c r="BB2" s="1408"/>
      <c r="BC2" s="1409"/>
      <c r="BD2" s="1409"/>
      <c r="BE2" s="1409"/>
      <c r="BF2" s="1410"/>
      <c r="BG2" s="405"/>
      <c r="BH2" s="406"/>
      <c r="BI2" s="193"/>
      <c r="BJ2" s="193"/>
      <c r="BK2" s="193"/>
      <c r="BL2" s="193"/>
      <c r="BM2" s="193"/>
      <c r="BN2" s="407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408"/>
      <c r="CD2" s="193"/>
      <c r="CE2" s="193"/>
      <c r="CF2" s="408"/>
      <c r="CG2" s="193"/>
      <c r="CH2" s="402"/>
      <c r="CI2" s="193"/>
      <c r="CJ2" s="193"/>
      <c r="CK2" s="193"/>
      <c r="CL2" s="193"/>
      <c r="CM2" s="193"/>
      <c r="CN2" s="193"/>
      <c r="CO2" s="409"/>
      <c r="CP2" s="193"/>
      <c r="CQ2" s="193"/>
      <c r="CR2" s="193"/>
      <c r="CS2" s="193"/>
      <c r="CT2" s="1417"/>
      <c r="CU2" s="1418"/>
      <c r="CV2" s="1418"/>
      <c r="CW2" s="1418"/>
      <c r="CX2" s="1419"/>
      <c r="CY2" s="1389"/>
      <c r="CZ2" s="1390"/>
      <c r="DA2" s="1390"/>
      <c r="DB2" s="1391"/>
    </row>
    <row r="3" spans="1:148" ht="13.5" customHeight="1" x14ac:dyDescent="0.25">
      <c r="A3" s="1401"/>
      <c r="B3" s="1402"/>
      <c r="C3" s="1402"/>
      <c r="D3" s="1402"/>
      <c r="E3" s="1402"/>
      <c r="F3" s="399"/>
      <c r="G3" s="406"/>
      <c r="H3" s="193"/>
      <c r="I3" s="400"/>
      <c r="J3" s="410"/>
      <c r="K3" s="400"/>
      <c r="L3" s="421"/>
      <c r="M3" s="421"/>
      <c r="N3" s="1067"/>
      <c r="O3" s="421"/>
      <c r="P3" s="403"/>
      <c r="Q3" s="400"/>
      <c r="R3" s="412"/>
      <c r="S3" s="403"/>
      <c r="T3" s="400"/>
      <c r="V3" s="411"/>
      <c r="Z3" s="407"/>
      <c r="AA3" s="400"/>
      <c r="AB3" s="413"/>
      <c r="AC3" s="414"/>
      <c r="AD3" s="414"/>
      <c r="AE3" s="414"/>
      <c r="AF3" s="411"/>
      <c r="AG3" s="414"/>
      <c r="AH3" s="414"/>
      <c r="AI3" s="411"/>
      <c r="AJ3" s="414"/>
      <c r="AK3" s="415"/>
      <c r="AL3" s="416"/>
      <c r="AO3" s="411"/>
      <c r="AS3" s="406"/>
      <c r="AU3" s="406"/>
      <c r="AX3" s="406"/>
      <c r="BA3" s="406"/>
      <c r="BB3" s="1408"/>
      <c r="BC3" s="1409"/>
      <c r="BD3" s="1409"/>
      <c r="BE3" s="1409"/>
      <c r="BF3" s="1410"/>
      <c r="BG3" s="417"/>
      <c r="BH3" s="415"/>
      <c r="BI3" s="415"/>
      <c r="BJ3" s="415"/>
      <c r="BK3" s="415"/>
      <c r="BL3" s="193"/>
      <c r="BM3" s="193"/>
      <c r="BN3" s="193"/>
      <c r="BO3" s="418"/>
      <c r="BP3" s="193"/>
      <c r="BQ3" s="193"/>
      <c r="BR3" s="406"/>
      <c r="BS3" s="193"/>
      <c r="BT3" s="193"/>
      <c r="BU3" s="193"/>
      <c r="BV3" s="406"/>
      <c r="BW3" s="411"/>
      <c r="BX3" s="193"/>
      <c r="BY3" s="193"/>
      <c r="BZ3" s="193"/>
      <c r="CA3" s="415"/>
      <c r="CB3" s="193"/>
      <c r="CC3" s="408"/>
      <c r="CD3" s="193"/>
      <c r="CE3" s="193"/>
      <c r="CF3" s="419"/>
      <c r="CG3" s="193"/>
      <c r="CH3" s="419"/>
      <c r="CI3" s="415"/>
      <c r="CJ3" s="418"/>
      <c r="CK3" s="193"/>
      <c r="CL3" s="193"/>
      <c r="CM3" s="193"/>
      <c r="CN3" s="193"/>
      <c r="CO3" s="411"/>
      <c r="CP3" s="193"/>
      <c r="CQ3" s="411"/>
      <c r="CR3" s="193"/>
      <c r="CS3" s="193"/>
      <c r="CT3" s="1417"/>
      <c r="CU3" s="1418"/>
      <c r="CV3" s="1418"/>
      <c r="CW3" s="1418"/>
      <c r="CX3" s="1419"/>
      <c r="CY3" s="1389"/>
      <c r="CZ3" s="1390"/>
      <c r="DA3" s="1390"/>
      <c r="DB3" s="1391"/>
    </row>
    <row r="4" spans="1:148" ht="18" customHeight="1" thickBot="1" x14ac:dyDescent="0.3">
      <c r="A4" s="1403"/>
      <c r="B4" s="1404"/>
      <c r="C4" s="1404"/>
      <c r="D4" s="1404"/>
      <c r="E4" s="1404"/>
      <c r="F4" s="420"/>
      <c r="G4" s="414"/>
      <c r="H4" s="414"/>
      <c r="I4" s="414"/>
      <c r="J4" s="414"/>
      <c r="K4" s="414"/>
      <c r="L4" s="421"/>
      <c r="N4" s="402"/>
      <c r="O4" s="414"/>
      <c r="P4" s="415"/>
      <c r="Q4" s="400"/>
      <c r="R4" s="400"/>
      <c r="S4" s="400"/>
      <c r="T4" s="400"/>
      <c r="X4" s="421"/>
      <c r="Z4" s="402"/>
      <c r="AM4" s="414"/>
      <c r="AN4" s="414"/>
      <c r="AO4" s="414"/>
      <c r="AP4" s="414"/>
      <c r="AQ4" s="414"/>
      <c r="AR4" s="414"/>
      <c r="AS4" s="414"/>
      <c r="BB4" s="1411"/>
      <c r="BC4" s="1412"/>
      <c r="BD4" s="1412"/>
      <c r="BE4" s="1412"/>
      <c r="BF4" s="1413"/>
      <c r="BG4" s="405"/>
      <c r="BH4" s="193"/>
      <c r="BI4" s="193"/>
      <c r="BJ4" s="193"/>
      <c r="BK4" s="193"/>
      <c r="BL4" s="193"/>
      <c r="BM4" s="193"/>
      <c r="BN4" s="193"/>
      <c r="BO4" s="415"/>
      <c r="BP4" s="193"/>
      <c r="BQ4" s="193"/>
      <c r="BR4" s="193"/>
      <c r="BS4" s="411"/>
      <c r="BT4" s="193"/>
      <c r="BU4" s="193"/>
      <c r="BV4" s="193"/>
      <c r="BW4" s="406"/>
      <c r="BX4" s="193"/>
      <c r="BY4" s="193"/>
      <c r="BZ4" s="193"/>
      <c r="CA4" s="193"/>
      <c r="CB4" s="193"/>
      <c r="CC4" s="422"/>
      <c r="CD4" s="193"/>
      <c r="CE4" s="193"/>
      <c r="CF4" s="423"/>
      <c r="CG4" s="193"/>
      <c r="CH4" s="408"/>
      <c r="CI4" s="408"/>
      <c r="CJ4" s="193"/>
      <c r="CK4" s="193"/>
      <c r="CL4" s="193"/>
      <c r="CM4" s="193"/>
      <c r="CN4" s="193"/>
      <c r="CO4" s="193"/>
      <c r="CP4" s="193"/>
      <c r="CQ4" s="193"/>
      <c r="CR4" s="193"/>
      <c r="CS4" s="193"/>
      <c r="CT4" s="1420"/>
      <c r="CU4" s="1421"/>
      <c r="CV4" s="1421"/>
      <c r="CW4" s="1421"/>
      <c r="CX4" s="1422"/>
      <c r="CY4" s="1392"/>
      <c r="CZ4" s="1393"/>
      <c r="DA4" s="1393"/>
      <c r="DB4" s="1394"/>
    </row>
    <row r="5" spans="1:148" s="195" customFormat="1" ht="19.5" customHeight="1" x14ac:dyDescent="0.2">
      <c r="A5" s="1395" t="s">
        <v>255</v>
      </c>
      <c r="B5" s="1397" t="s">
        <v>492</v>
      </c>
      <c r="C5" s="1366" t="s">
        <v>493</v>
      </c>
      <c r="D5" s="1430" t="s">
        <v>494</v>
      </c>
      <c r="E5" s="1432" t="s">
        <v>495</v>
      </c>
      <c r="F5" s="1353" t="s">
        <v>496</v>
      </c>
      <c r="G5" s="1354"/>
      <c r="H5" s="1355"/>
      <c r="I5" s="1353" t="s">
        <v>497</v>
      </c>
      <c r="J5" s="1354"/>
      <c r="K5" s="1355"/>
      <c r="L5" s="1353" t="s">
        <v>498</v>
      </c>
      <c r="M5" s="1354"/>
      <c r="N5" s="1355"/>
      <c r="O5" s="1353" t="s">
        <v>499</v>
      </c>
      <c r="P5" s="1354"/>
      <c r="Q5" s="1355"/>
      <c r="R5" s="1353" t="s">
        <v>500</v>
      </c>
      <c r="S5" s="1354"/>
      <c r="T5" s="1355"/>
      <c r="U5" s="1353" t="s">
        <v>501</v>
      </c>
      <c r="V5" s="1354"/>
      <c r="W5" s="1355"/>
      <c r="X5" s="1353" t="s">
        <v>502</v>
      </c>
      <c r="Y5" s="1354"/>
      <c r="Z5" s="1355"/>
      <c r="AA5" s="1353" t="s">
        <v>503</v>
      </c>
      <c r="AB5" s="1354"/>
      <c r="AC5" s="1355"/>
      <c r="AD5" s="1353" t="s">
        <v>504</v>
      </c>
      <c r="AE5" s="1354"/>
      <c r="AF5" s="1355"/>
      <c r="AG5" s="1353" t="s">
        <v>505</v>
      </c>
      <c r="AH5" s="1354"/>
      <c r="AI5" s="1355"/>
      <c r="AJ5" s="1353" t="s">
        <v>506</v>
      </c>
      <c r="AK5" s="1354"/>
      <c r="AL5" s="1355"/>
      <c r="AM5" s="1353" t="s">
        <v>507</v>
      </c>
      <c r="AN5" s="1354"/>
      <c r="AO5" s="1355"/>
      <c r="AP5" s="1353" t="s">
        <v>508</v>
      </c>
      <c r="AQ5" s="1354"/>
      <c r="AR5" s="1355"/>
      <c r="AS5" s="1353" t="s">
        <v>509</v>
      </c>
      <c r="AT5" s="1354"/>
      <c r="AU5" s="1355"/>
      <c r="AV5" s="1353"/>
      <c r="AW5" s="1354"/>
      <c r="AX5" s="1355"/>
      <c r="AY5" s="1353"/>
      <c r="AZ5" s="1354"/>
      <c r="BA5" s="1355"/>
      <c r="BB5" s="1356" t="s">
        <v>510</v>
      </c>
      <c r="BC5" s="1358" t="s">
        <v>511</v>
      </c>
      <c r="BD5" s="1358" t="s">
        <v>512</v>
      </c>
      <c r="BE5" s="1347" t="s">
        <v>22</v>
      </c>
      <c r="BF5" s="1360" t="s">
        <v>513</v>
      </c>
      <c r="BG5" s="1340" t="s">
        <v>514</v>
      </c>
      <c r="BH5" s="1341"/>
      <c r="BI5" s="1342"/>
      <c r="BJ5" s="1340" t="s">
        <v>515</v>
      </c>
      <c r="BK5" s="1341"/>
      <c r="BL5" s="1342"/>
      <c r="BM5" s="1340" t="s">
        <v>516</v>
      </c>
      <c r="BN5" s="1341"/>
      <c r="BO5" s="1342"/>
      <c r="BP5" s="1340" t="s">
        <v>517</v>
      </c>
      <c r="BQ5" s="1341"/>
      <c r="BR5" s="1342"/>
      <c r="BS5" s="1340" t="s">
        <v>518</v>
      </c>
      <c r="BT5" s="1341"/>
      <c r="BU5" s="1342"/>
      <c r="BV5" s="1340" t="s">
        <v>519</v>
      </c>
      <c r="BW5" s="1341"/>
      <c r="BX5" s="1342"/>
      <c r="BY5" s="1340" t="s">
        <v>520</v>
      </c>
      <c r="BZ5" s="1341"/>
      <c r="CA5" s="1342"/>
      <c r="CB5" s="1340" t="s">
        <v>521</v>
      </c>
      <c r="CC5" s="1341"/>
      <c r="CD5" s="1342"/>
      <c r="CE5" s="1340" t="s">
        <v>522</v>
      </c>
      <c r="CF5" s="1341"/>
      <c r="CG5" s="1342"/>
      <c r="CH5" s="1340" t="s">
        <v>523</v>
      </c>
      <c r="CI5" s="1341"/>
      <c r="CJ5" s="1342"/>
      <c r="CK5" s="1340" t="s">
        <v>524</v>
      </c>
      <c r="CL5" s="1341"/>
      <c r="CM5" s="1342"/>
      <c r="CN5" s="1340" t="s">
        <v>525</v>
      </c>
      <c r="CO5" s="1341"/>
      <c r="CP5" s="1342"/>
      <c r="CQ5" s="1340" t="s">
        <v>526</v>
      </c>
      <c r="CR5" s="1341"/>
      <c r="CS5" s="1342"/>
      <c r="CT5" s="1343" t="s">
        <v>510</v>
      </c>
      <c r="CU5" s="1345" t="s">
        <v>511</v>
      </c>
      <c r="CV5" s="1345" t="s">
        <v>512</v>
      </c>
      <c r="CW5" s="1347" t="s">
        <v>22</v>
      </c>
      <c r="CX5" s="1349" t="s">
        <v>513</v>
      </c>
      <c r="CY5" s="1351" t="s">
        <v>256</v>
      </c>
      <c r="CZ5" s="1322" t="s">
        <v>511</v>
      </c>
      <c r="DA5" s="1324" t="s">
        <v>512</v>
      </c>
      <c r="DB5" s="1326" t="s">
        <v>257</v>
      </c>
      <c r="DD5" s="424"/>
      <c r="DE5" s="424"/>
      <c r="DF5" s="424"/>
      <c r="DG5" s="424"/>
      <c r="DH5" s="424"/>
      <c r="DI5" s="424"/>
      <c r="DJ5" s="424"/>
      <c r="DK5" s="424"/>
      <c r="DL5" s="424"/>
      <c r="DM5" s="424"/>
      <c r="DN5" s="424"/>
      <c r="DO5" s="424"/>
      <c r="DP5" s="424"/>
      <c r="DQ5" s="424"/>
      <c r="DR5" s="424"/>
      <c r="DS5" s="424"/>
      <c r="DT5" s="424"/>
      <c r="DU5" s="424"/>
      <c r="DV5" s="424"/>
      <c r="DW5" s="424"/>
      <c r="DX5" s="424"/>
      <c r="DY5" s="424"/>
      <c r="DZ5" s="424"/>
      <c r="EA5" s="424"/>
      <c r="EB5" s="424"/>
      <c r="EC5" s="424"/>
      <c r="ED5" s="424"/>
      <c r="EE5" s="424"/>
      <c r="EF5" s="424"/>
      <c r="EG5" s="424"/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</row>
    <row r="6" spans="1:148" ht="25.5" customHeight="1" thickBot="1" x14ac:dyDescent="0.3">
      <c r="A6" s="1396"/>
      <c r="B6" s="1398"/>
      <c r="C6" s="1367"/>
      <c r="D6" s="1431"/>
      <c r="E6" s="1433"/>
      <c r="F6" s="425" t="s">
        <v>527</v>
      </c>
      <c r="G6" s="426" t="s">
        <v>258</v>
      </c>
      <c r="H6" s="427" t="s">
        <v>528</v>
      </c>
      <c r="I6" s="426" t="s">
        <v>527</v>
      </c>
      <c r="J6" s="426" t="s">
        <v>258</v>
      </c>
      <c r="K6" s="427" t="s">
        <v>528</v>
      </c>
      <c r="L6" s="426" t="s">
        <v>527</v>
      </c>
      <c r="M6" s="426" t="s">
        <v>258</v>
      </c>
      <c r="N6" s="427" t="s">
        <v>528</v>
      </c>
      <c r="O6" s="426" t="s">
        <v>527</v>
      </c>
      <c r="P6" s="426" t="s">
        <v>258</v>
      </c>
      <c r="Q6" s="427" t="s">
        <v>528</v>
      </c>
      <c r="R6" s="426" t="s">
        <v>527</v>
      </c>
      <c r="S6" s="426" t="s">
        <v>258</v>
      </c>
      <c r="T6" s="427" t="s">
        <v>528</v>
      </c>
      <c r="U6" s="426" t="s">
        <v>527</v>
      </c>
      <c r="V6" s="426" t="s">
        <v>258</v>
      </c>
      <c r="W6" s="427" t="s">
        <v>528</v>
      </c>
      <c r="X6" s="426" t="s">
        <v>527</v>
      </c>
      <c r="Y6" s="426" t="s">
        <v>258</v>
      </c>
      <c r="Z6" s="427" t="s">
        <v>528</v>
      </c>
      <c r="AA6" s="426" t="s">
        <v>527</v>
      </c>
      <c r="AB6" s="426" t="s">
        <v>258</v>
      </c>
      <c r="AC6" s="427" t="s">
        <v>528</v>
      </c>
      <c r="AD6" s="426" t="s">
        <v>527</v>
      </c>
      <c r="AE6" s="426" t="s">
        <v>258</v>
      </c>
      <c r="AF6" s="427" t="s">
        <v>528</v>
      </c>
      <c r="AG6" s="426" t="s">
        <v>527</v>
      </c>
      <c r="AH6" s="426" t="s">
        <v>258</v>
      </c>
      <c r="AI6" s="427" t="s">
        <v>528</v>
      </c>
      <c r="AJ6" s="426" t="s">
        <v>527</v>
      </c>
      <c r="AK6" s="426" t="s">
        <v>258</v>
      </c>
      <c r="AL6" s="427" t="s">
        <v>528</v>
      </c>
      <c r="AM6" s="426" t="s">
        <v>527</v>
      </c>
      <c r="AN6" s="426" t="s">
        <v>258</v>
      </c>
      <c r="AO6" s="427" t="s">
        <v>528</v>
      </c>
      <c r="AP6" s="426" t="s">
        <v>527</v>
      </c>
      <c r="AQ6" s="426" t="s">
        <v>258</v>
      </c>
      <c r="AR6" s="427" t="s">
        <v>528</v>
      </c>
      <c r="AS6" s="426" t="s">
        <v>527</v>
      </c>
      <c r="AT6" s="426" t="s">
        <v>258</v>
      </c>
      <c r="AU6" s="427" t="s">
        <v>528</v>
      </c>
      <c r="AV6" s="426" t="s">
        <v>527</v>
      </c>
      <c r="AW6" s="426" t="s">
        <v>258</v>
      </c>
      <c r="AX6" s="427" t="s">
        <v>528</v>
      </c>
      <c r="AY6" s="426" t="s">
        <v>527</v>
      </c>
      <c r="AZ6" s="426" t="s">
        <v>258</v>
      </c>
      <c r="BA6" s="427" t="s">
        <v>528</v>
      </c>
      <c r="BB6" s="1357"/>
      <c r="BC6" s="1359"/>
      <c r="BD6" s="1359"/>
      <c r="BE6" s="1348"/>
      <c r="BF6" s="1361"/>
      <c r="BG6" s="428" t="s">
        <v>527</v>
      </c>
      <c r="BH6" s="428" t="s">
        <v>258</v>
      </c>
      <c r="BI6" s="429" t="s">
        <v>528</v>
      </c>
      <c r="BJ6" s="428" t="s">
        <v>527</v>
      </c>
      <c r="BK6" s="428" t="s">
        <v>258</v>
      </c>
      <c r="BL6" s="429" t="s">
        <v>528</v>
      </c>
      <c r="BM6" s="428" t="s">
        <v>527</v>
      </c>
      <c r="BN6" s="428" t="s">
        <v>258</v>
      </c>
      <c r="BO6" s="429" t="s">
        <v>528</v>
      </c>
      <c r="BP6" s="428" t="s">
        <v>527</v>
      </c>
      <c r="BQ6" s="428" t="s">
        <v>258</v>
      </c>
      <c r="BR6" s="429" t="s">
        <v>528</v>
      </c>
      <c r="BS6" s="428" t="s">
        <v>527</v>
      </c>
      <c r="BT6" s="428" t="s">
        <v>258</v>
      </c>
      <c r="BU6" s="429" t="s">
        <v>528</v>
      </c>
      <c r="BV6" s="428" t="s">
        <v>527</v>
      </c>
      <c r="BW6" s="428" t="s">
        <v>258</v>
      </c>
      <c r="BX6" s="429" t="s">
        <v>528</v>
      </c>
      <c r="BY6" s="428" t="s">
        <v>527</v>
      </c>
      <c r="BZ6" s="428" t="s">
        <v>258</v>
      </c>
      <c r="CA6" s="429" t="s">
        <v>528</v>
      </c>
      <c r="CB6" s="428" t="s">
        <v>527</v>
      </c>
      <c r="CC6" s="428" t="s">
        <v>258</v>
      </c>
      <c r="CD6" s="429" t="s">
        <v>528</v>
      </c>
      <c r="CE6" s="428" t="s">
        <v>527</v>
      </c>
      <c r="CF6" s="428" t="s">
        <v>258</v>
      </c>
      <c r="CG6" s="429" t="s">
        <v>528</v>
      </c>
      <c r="CH6" s="428" t="s">
        <v>527</v>
      </c>
      <c r="CI6" s="428" t="s">
        <v>258</v>
      </c>
      <c r="CJ6" s="429" t="s">
        <v>528</v>
      </c>
      <c r="CK6" s="428" t="s">
        <v>527</v>
      </c>
      <c r="CL6" s="428" t="s">
        <v>258</v>
      </c>
      <c r="CM6" s="429" t="s">
        <v>528</v>
      </c>
      <c r="CN6" s="428" t="s">
        <v>527</v>
      </c>
      <c r="CO6" s="428" t="s">
        <v>258</v>
      </c>
      <c r="CP6" s="429" t="s">
        <v>528</v>
      </c>
      <c r="CQ6" s="428" t="s">
        <v>527</v>
      </c>
      <c r="CR6" s="428" t="s">
        <v>258</v>
      </c>
      <c r="CS6" s="429" t="s">
        <v>528</v>
      </c>
      <c r="CT6" s="1344"/>
      <c r="CU6" s="1346"/>
      <c r="CV6" s="1346"/>
      <c r="CW6" s="1348"/>
      <c r="CX6" s="1350"/>
      <c r="CY6" s="1352"/>
      <c r="CZ6" s="1323"/>
      <c r="DA6" s="1325"/>
      <c r="DB6" s="1327"/>
    </row>
    <row r="7" spans="1:148" ht="15.75" x14ac:dyDescent="0.25">
      <c r="A7" s="454">
        <v>1</v>
      </c>
      <c r="B7" s="1068" t="s">
        <v>37</v>
      </c>
      <c r="C7" s="1083" t="s">
        <v>543</v>
      </c>
      <c r="D7" s="963"/>
      <c r="E7" s="1084"/>
      <c r="F7" s="516">
        <v>10979.37</v>
      </c>
      <c r="G7" s="671">
        <f t="shared" ref="G7:G10" si="0">+F7*0.0065/2</f>
        <v>35.682952499999999</v>
      </c>
      <c r="H7" s="543"/>
      <c r="I7" s="516">
        <v>0</v>
      </c>
      <c r="J7" s="509">
        <f t="shared" ref="J7:J10" si="1">+I7*0.0065/2</f>
        <v>0</v>
      </c>
      <c r="K7" s="514">
        <v>20</v>
      </c>
      <c r="L7" s="516">
        <v>0</v>
      </c>
      <c r="M7" s="509">
        <f t="shared" ref="M7:M10" si="2">+L7*0.0065/2</f>
        <v>0</v>
      </c>
      <c r="N7" s="514">
        <v>20</v>
      </c>
      <c r="O7" s="516">
        <v>0</v>
      </c>
      <c r="P7" s="509">
        <f t="shared" ref="P7:P10" si="3">+O7*0.0065/2</f>
        <v>0</v>
      </c>
      <c r="Q7" s="514">
        <v>20</v>
      </c>
      <c r="R7" s="516">
        <v>9295.34</v>
      </c>
      <c r="S7" s="671">
        <f t="shared" ref="S7:S10" si="4">+R7*0.0065/2</f>
        <v>30.209854999999997</v>
      </c>
      <c r="T7" s="543"/>
      <c r="U7" s="1085">
        <v>8249.23</v>
      </c>
      <c r="V7" s="671">
        <f t="shared" ref="V7:V10" si="5">+U7*0.0065/2</f>
        <v>26.809997499999998</v>
      </c>
      <c r="W7" s="543"/>
      <c r="X7" s="516">
        <v>6976.95</v>
      </c>
      <c r="Y7" s="671">
        <f t="shared" ref="Y7:Y10" si="6">+X7*0.0065/2</f>
        <v>22.6750875</v>
      </c>
      <c r="Z7" s="543"/>
      <c r="AA7" s="516">
        <v>6386.55</v>
      </c>
      <c r="AB7" s="671">
        <f t="shared" ref="AB7:AB10" si="7">+AA7*0.0065/2</f>
        <v>20.756287499999999</v>
      </c>
      <c r="AC7" s="543"/>
      <c r="AD7" s="1085">
        <v>13160.41</v>
      </c>
      <c r="AE7" s="671">
        <f t="shared" ref="AE7:AE10" si="8">+AD7*0.0065/2</f>
        <v>42.7713325</v>
      </c>
      <c r="AF7" s="543"/>
      <c r="AG7" s="516">
        <v>0</v>
      </c>
      <c r="AH7" s="671">
        <f t="shared" ref="AH7:AH10" si="9">+AG7*0.0065/2</f>
        <v>0</v>
      </c>
      <c r="AI7" s="543"/>
      <c r="AJ7" s="516">
        <v>8782.34</v>
      </c>
      <c r="AK7" s="671">
        <f t="shared" ref="AK7:AK10" si="10">+AJ7*0.0065/2</f>
        <v>28.542604999999998</v>
      </c>
      <c r="AL7" s="543"/>
      <c r="AM7" s="516">
        <v>0</v>
      </c>
      <c r="AN7" s="671">
        <f t="shared" ref="AN7:AN10" si="11">+AM7*0.0065/2</f>
        <v>0</v>
      </c>
      <c r="AO7" s="543">
        <v>20</v>
      </c>
      <c r="AP7" s="516">
        <v>0</v>
      </c>
      <c r="AQ7" s="671">
        <f t="shared" ref="AQ7:AQ10" si="12">+AP7*0.0065/2</f>
        <v>0</v>
      </c>
      <c r="AR7" s="543"/>
      <c r="AS7" s="1085">
        <v>9806.09</v>
      </c>
      <c r="AT7" s="671">
        <f t="shared" ref="AT7:AT10" si="13">+AS7*0.0065/2</f>
        <v>31.869792499999999</v>
      </c>
      <c r="AU7" s="514">
        <f>56-AT7</f>
        <v>24.130207500000001</v>
      </c>
      <c r="AV7" s="516"/>
      <c r="AW7" s="671">
        <f t="shared" ref="AW7:AW10" si="14">+AV7*0.0065/2</f>
        <v>0</v>
      </c>
      <c r="AX7" s="543"/>
      <c r="AY7" s="516"/>
      <c r="AZ7" s="671">
        <f t="shared" ref="AZ7:AZ10" si="15">+AY7*0.0065/2</f>
        <v>0</v>
      </c>
      <c r="BA7" s="543"/>
      <c r="BB7" s="735">
        <f t="shared" ref="BB7:BD22" si="16">+F7+I7+L7+O7+R7+U7+X7+AA7+AD7+AG7+AJ7+AM7+AP7+AS7+AV7+AY7</f>
        <v>73636.28</v>
      </c>
      <c r="BC7" s="736">
        <f t="shared" si="16"/>
        <v>239.31791000000001</v>
      </c>
      <c r="BD7" s="737">
        <f t="shared" si="16"/>
        <v>104.1302075</v>
      </c>
      <c r="BE7" s="583"/>
      <c r="BF7" s="584">
        <f t="shared" ref="BF7:BF58" si="17">+BC7+BD7-BE7</f>
        <v>343.44811750000002</v>
      </c>
      <c r="BG7" s="516">
        <v>5590.77</v>
      </c>
      <c r="BH7" s="671">
        <f t="shared" ref="BH7:BH10" si="18">+BG7*0.0065/2</f>
        <v>18.170002499999999</v>
      </c>
      <c r="BI7" s="543"/>
      <c r="BJ7" s="516">
        <v>0</v>
      </c>
      <c r="BK7" s="671">
        <f t="shared" ref="BK7:BK10" si="19">+BJ7*0.0065/2</f>
        <v>0</v>
      </c>
      <c r="BL7" s="543"/>
      <c r="BM7" s="516">
        <v>10544</v>
      </c>
      <c r="BN7" s="671">
        <f t="shared" ref="BN7:BN10" si="20">+BM7*0.0065/2</f>
        <v>34.268000000000001</v>
      </c>
      <c r="BO7" s="543"/>
      <c r="BP7" s="538">
        <v>42210.15</v>
      </c>
      <c r="BQ7" s="509">
        <f>+BP7*0.02/34</f>
        <v>24.829500000000003</v>
      </c>
      <c r="BR7" s="543"/>
      <c r="BS7" s="516">
        <v>3309.85</v>
      </c>
      <c r="BT7" s="671">
        <f t="shared" ref="BT7:BT10" si="21">+BS7*0.0065/2</f>
        <v>10.7570125</v>
      </c>
      <c r="BU7" s="543"/>
      <c r="BV7" s="516">
        <v>8452.5499999999993</v>
      </c>
      <c r="BW7" s="671">
        <f t="shared" ref="BW7:BW10" si="22">+BV7*0.0065/2</f>
        <v>27.470787499999997</v>
      </c>
      <c r="BX7" s="543"/>
      <c r="BY7" s="516">
        <v>1931.09</v>
      </c>
      <c r="BZ7" s="671">
        <f t="shared" ref="BZ7:BZ10" si="23">+BY7*0.0065/2</f>
        <v>6.2760424999999991</v>
      </c>
      <c r="CA7" s="543"/>
      <c r="CB7" s="516">
        <v>0</v>
      </c>
      <c r="CC7" s="671">
        <f t="shared" ref="CC7:CC10" si="24">+CB7*0.0065/2</f>
        <v>0</v>
      </c>
      <c r="CD7" s="543"/>
      <c r="CE7" s="516">
        <v>10973.52</v>
      </c>
      <c r="CF7" s="671">
        <f t="shared" ref="CF7:CF10" si="25">+CE7*0.0065/2</f>
        <v>35.663939999999997</v>
      </c>
      <c r="CG7" s="543"/>
      <c r="CH7" s="516">
        <v>0</v>
      </c>
      <c r="CI7" s="671">
        <f t="shared" ref="CI7:CI10" si="26">+CH7*0.0065/2</f>
        <v>0</v>
      </c>
      <c r="CJ7" s="543"/>
      <c r="CK7" s="516">
        <v>0</v>
      </c>
      <c r="CL7" s="671">
        <f t="shared" ref="CL7:CL10" si="27">+CK7*0.0065/2</f>
        <v>0</v>
      </c>
      <c r="CM7" s="543"/>
      <c r="CN7" s="516">
        <v>0</v>
      </c>
      <c r="CO7" s="671">
        <f t="shared" ref="CO7:CO10" si="28">+CN7*0.0065/2</f>
        <v>0</v>
      </c>
      <c r="CP7" s="543"/>
      <c r="CQ7" s="516">
        <v>0</v>
      </c>
      <c r="CR7" s="671">
        <f t="shared" ref="CR7:CR10" si="29">+CQ7*0.0065/2</f>
        <v>0</v>
      </c>
      <c r="CS7" s="543"/>
      <c r="CT7" s="698">
        <f t="shared" ref="CT7:CU9" si="30">BG7+BJ7+BM7+BP7+BS7+BV7+BY7+CB7+CH7+CK7+CN7+CQ7+CE7</f>
        <v>83011.929999999993</v>
      </c>
      <c r="CU7" s="699">
        <f t="shared" si="30"/>
        <v>157.43528500000002</v>
      </c>
      <c r="CV7" s="700">
        <f t="shared" ref="CV7:CV58" si="31">+BI7+BL7+BO7+BR7+BU7+BX7+CA7+CD7+CG7+CJ7+CM7+CP7+CS7</f>
        <v>0</v>
      </c>
      <c r="CW7" s="583"/>
      <c r="CX7" s="701">
        <f t="shared" ref="CX7:CX58" si="32">+CU7+CV7-CW7</f>
        <v>157.43528500000002</v>
      </c>
      <c r="CY7" s="588">
        <f t="shared" ref="CY7:DA22" si="33">+BB7+CT7</f>
        <v>156648.21</v>
      </c>
      <c r="CZ7" s="589">
        <f t="shared" si="33"/>
        <v>396.75319500000001</v>
      </c>
      <c r="DA7" s="590">
        <f t="shared" si="33"/>
        <v>104.1302075</v>
      </c>
      <c r="DB7" s="591">
        <f t="shared" ref="DB7:DB58" si="34">+CZ7+DA7</f>
        <v>500.88340249999999</v>
      </c>
      <c r="DC7" s="920" t="s">
        <v>737</v>
      </c>
    </row>
    <row r="8" spans="1:148" ht="16.5" thickBot="1" x14ac:dyDescent="0.3">
      <c r="A8" s="454">
        <f t="shared" ref="A8:A28" si="35">+A7+1</f>
        <v>2</v>
      </c>
      <c r="B8" s="928" t="s">
        <v>33</v>
      </c>
      <c r="C8" s="1029" t="s">
        <v>543</v>
      </c>
      <c r="D8" s="1086" t="s">
        <v>738</v>
      </c>
      <c r="E8" s="1087" t="s">
        <v>739</v>
      </c>
      <c r="F8" s="531">
        <v>10422.370000000001</v>
      </c>
      <c r="G8" s="532">
        <f t="shared" si="0"/>
        <v>33.872702500000003</v>
      </c>
      <c r="H8" s="532"/>
      <c r="I8" s="533">
        <v>8366.630000000001</v>
      </c>
      <c r="J8" s="532">
        <f t="shared" si="1"/>
        <v>27.191547500000002</v>
      </c>
      <c r="K8" s="532"/>
      <c r="L8" s="531">
        <v>13995</v>
      </c>
      <c r="M8" s="532">
        <f t="shared" si="2"/>
        <v>45.483750000000001</v>
      </c>
      <c r="N8" s="532"/>
      <c r="O8" s="531">
        <v>0</v>
      </c>
      <c r="P8" s="532">
        <f t="shared" si="3"/>
        <v>0</v>
      </c>
      <c r="Q8" s="532"/>
      <c r="R8" s="531">
        <v>9084.34</v>
      </c>
      <c r="S8" s="532">
        <f t="shared" si="4"/>
        <v>29.524104999999999</v>
      </c>
      <c r="T8" s="532"/>
      <c r="U8" s="531">
        <v>0</v>
      </c>
      <c r="V8" s="532">
        <f t="shared" si="5"/>
        <v>0</v>
      </c>
      <c r="W8" s="532">
        <v>20</v>
      </c>
      <c r="X8" s="531">
        <v>0</v>
      </c>
      <c r="Y8" s="532">
        <f t="shared" si="6"/>
        <v>0</v>
      </c>
      <c r="Z8" s="532">
        <v>20</v>
      </c>
      <c r="AA8" s="531">
        <v>6716.55</v>
      </c>
      <c r="AB8" s="532">
        <f t="shared" si="7"/>
        <v>21.828787500000001</v>
      </c>
      <c r="AC8" s="532"/>
      <c r="AD8" s="533">
        <v>14893.41</v>
      </c>
      <c r="AE8" s="532">
        <f t="shared" si="8"/>
        <v>48.403582499999999</v>
      </c>
      <c r="AF8" s="532"/>
      <c r="AG8" s="531">
        <v>0</v>
      </c>
      <c r="AH8" s="532">
        <f t="shared" si="9"/>
        <v>0</v>
      </c>
      <c r="AI8" s="532"/>
      <c r="AJ8" s="531">
        <v>10850.34</v>
      </c>
      <c r="AK8" s="532">
        <f t="shared" si="10"/>
        <v>35.263604999999998</v>
      </c>
      <c r="AL8" s="532"/>
      <c r="AM8" s="533">
        <v>8256.5400000000009</v>
      </c>
      <c r="AN8" s="532">
        <f t="shared" si="11"/>
        <v>26.833755</v>
      </c>
      <c r="AO8" s="532"/>
      <c r="AP8" s="531">
        <v>0</v>
      </c>
      <c r="AQ8" s="532">
        <f t="shared" si="12"/>
        <v>0</v>
      </c>
      <c r="AR8" s="532"/>
      <c r="AS8" s="533">
        <v>13386.08</v>
      </c>
      <c r="AT8" s="532">
        <f t="shared" si="13"/>
        <v>43.504759999999997</v>
      </c>
      <c r="AU8" s="532"/>
      <c r="AV8" s="531"/>
      <c r="AW8" s="532">
        <f t="shared" si="14"/>
        <v>0</v>
      </c>
      <c r="AX8" s="532"/>
      <c r="AY8" s="531"/>
      <c r="AZ8" s="532">
        <f t="shared" si="15"/>
        <v>0</v>
      </c>
      <c r="BA8" s="532"/>
      <c r="BB8" s="463">
        <f t="shared" si="16"/>
        <v>95971.26</v>
      </c>
      <c r="BC8" s="464">
        <f t="shared" si="16"/>
        <v>311.90659499999998</v>
      </c>
      <c r="BD8" s="465">
        <f t="shared" si="16"/>
        <v>40</v>
      </c>
      <c r="BE8" s="466"/>
      <c r="BF8" s="467">
        <f t="shared" si="17"/>
        <v>351.90659499999998</v>
      </c>
      <c r="BG8" s="531">
        <v>5590.75</v>
      </c>
      <c r="BH8" s="532">
        <f t="shared" si="18"/>
        <v>18.1699375</v>
      </c>
      <c r="BI8" s="532"/>
      <c r="BJ8" s="531">
        <v>0</v>
      </c>
      <c r="BK8" s="532">
        <f t="shared" si="19"/>
        <v>0</v>
      </c>
      <c r="BL8" s="532"/>
      <c r="BM8" s="531">
        <v>7777.15</v>
      </c>
      <c r="BN8" s="532">
        <f t="shared" si="20"/>
        <v>25.275737499999998</v>
      </c>
      <c r="BO8" s="532"/>
      <c r="BP8" s="531">
        <v>7895.73</v>
      </c>
      <c r="BQ8" s="532">
        <f>+BP8*0.0065/2</f>
        <v>25.661122499999998</v>
      </c>
      <c r="BR8" s="532"/>
      <c r="BS8" s="531">
        <v>3309.84</v>
      </c>
      <c r="BT8" s="532">
        <f t="shared" si="21"/>
        <v>10.75698</v>
      </c>
      <c r="BU8" s="532"/>
      <c r="BV8" s="531">
        <v>6079.55</v>
      </c>
      <c r="BW8" s="532">
        <f t="shared" si="22"/>
        <v>19.758537499999999</v>
      </c>
      <c r="BX8" s="532"/>
      <c r="BY8" s="531">
        <v>1931.09</v>
      </c>
      <c r="BZ8" s="532">
        <f t="shared" si="23"/>
        <v>6.2760424999999991</v>
      </c>
      <c r="CA8" s="532"/>
      <c r="CB8" s="531">
        <v>0</v>
      </c>
      <c r="CC8" s="532">
        <f t="shared" si="24"/>
        <v>0</v>
      </c>
      <c r="CD8" s="532"/>
      <c r="CE8" s="531">
        <v>8627.51</v>
      </c>
      <c r="CF8" s="532">
        <f t="shared" si="25"/>
        <v>28.039407499999999</v>
      </c>
      <c r="CG8" s="532"/>
      <c r="CH8" s="531">
        <v>0</v>
      </c>
      <c r="CI8" s="532">
        <f t="shared" si="26"/>
        <v>0</v>
      </c>
      <c r="CJ8" s="532"/>
      <c r="CK8" s="531">
        <v>0</v>
      </c>
      <c r="CL8" s="532">
        <f t="shared" si="27"/>
        <v>0</v>
      </c>
      <c r="CM8" s="532"/>
      <c r="CN8" s="531">
        <v>0</v>
      </c>
      <c r="CO8" s="532">
        <f t="shared" si="28"/>
        <v>0</v>
      </c>
      <c r="CP8" s="532"/>
      <c r="CQ8" s="531">
        <v>0</v>
      </c>
      <c r="CR8" s="532">
        <f t="shared" si="29"/>
        <v>0</v>
      </c>
      <c r="CS8" s="532"/>
      <c r="CT8" s="551">
        <f t="shared" si="30"/>
        <v>41211.619999999995</v>
      </c>
      <c r="CU8" s="552">
        <f t="shared" si="30"/>
        <v>133.93776500000001</v>
      </c>
      <c r="CV8" s="553">
        <f t="shared" si="31"/>
        <v>0</v>
      </c>
      <c r="CW8" s="466"/>
      <c r="CX8" s="554">
        <f t="shared" si="32"/>
        <v>133.93776500000001</v>
      </c>
      <c r="CY8" s="555">
        <f t="shared" si="33"/>
        <v>137182.88</v>
      </c>
      <c r="CZ8" s="556">
        <f t="shared" si="33"/>
        <v>445.84435999999999</v>
      </c>
      <c r="DA8" s="557">
        <f t="shared" si="33"/>
        <v>40</v>
      </c>
      <c r="DB8" s="558">
        <f t="shared" si="34"/>
        <v>485.84435999999999</v>
      </c>
      <c r="DC8" s="920" t="s">
        <v>737</v>
      </c>
    </row>
    <row r="9" spans="1:148" ht="15.75" x14ac:dyDescent="0.25">
      <c r="A9" s="1088">
        <f t="shared" si="35"/>
        <v>3</v>
      </c>
      <c r="B9" s="547" t="s">
        <v>31</v>
      </c>
      <c r="C9" s="1089" t="s">
        <v>543</v>
      </c>
      <c r="D9" s="1090"/>
      <c r="E9" s="458"/>
      <c r="F9" s="459">
        <v>10979.37</v>
      </c>
      <c r="G9" s="461">
        <f t="shared" si="0"/>
        <v>35.682952499999999</v>
      </c>
      <c r="H9" s="461"/>
      <c r="I9" s="545">
        <v>0</v>
      </c>
      <c r="J9" s="546">
        <f t="shared" si="1"/>
        <v>0</v>
      </c>
      <c r="K9" s="546">
        <v>20</v>
      </c>
      <c r="L9" s="545">
        <v>0</v>
      </c>
      <c r="M9" s="546">
        <f t="shared" si="2"/>
        <v>0</v>
      </c>
      <c r="N9" s="546">
        <v>20</v>
      </c>
      <c r="O9" s="545">
        <v>0</v>
      </c>
      <c r="P9" s="546">
        <f t="shared" si="3"/>
        <v>0</v>
      </c>
      <c r="Q9" s="546">
        <v>20</v>
      </c>
      <c r="R9" s="459">
        <v>9295.34</v>
      </c>
      <c r="S9" s="461">
        <f t="shared" si="4"/>
        <v>30.209854999999997</v>
      </c>
      <c r="T9" s="461"/>
      <c r="U9" s="1091">
        <v>8249.23</v>
      </c>
      <c r="V9" s="461">
        <f t="shared" si="5"/>
        <v>26.809997499999998</v>
      </c>
      <c r="W9" s="461"/>
      <c r="X9" s="459">
        <v>0</v>
      </c>
      <c r="Y9" s="461">
        <f t="shared" si="6"/>
        <v>0</v>
      </c>
      <c r="Z9" s="461"/>
      <c r="AA9" s="459">
        <v>6386.55</v>
      </c>
      <c r="AB9" s="461">
        <f t="shared" si="7"/>
        <v>20.756287499999999</v>
      </c>
      <c r="AC9" s="461"/>
      <c r="AD9" s="1091">
        <v>13160.41</v>
      </c>
      <c r="AE9" s="461">
        <f t="shared" si="8"/>
        <v>42.7713325</v>
      </c>
      <c r="AF9" s="461"/>
      <c r="AG9" s="459">
        <v>0</v>
      </c>
      <c r="AH9" s="461">
        <f t="shared" si="9"/>
        <v>0</v>
      </c>
      <c r="AI9" s="461"/>
      <c r="AJ9" s="459">
        <v>8782.34</v>
      </c>
      <c r="AK9" s="461">
        <f t="shared" si="10"/>
        <v>28.542604999999998</v>
      </c>
      <c r="AL9" s="461"/>
      <c r="AM9" s="459">
        <v>0</v>
      </c>
      <c r="AN9" s="461">
        <f t="shared" si="11"/>
        <v>0</v>
      </c>
      <c r="AO9" s="461">
        <v>20</v>
      </c>
      <c r="AP9" s="459">
        <v>0</v>
      </c>
      <c r="AQ9" s="461">
        <f t="shared" si="12"/>
        <v>0</v>
      </c>
      <c r="AR9" s="461">
        <v>20</v>
      </c>
      <c r="AS9" s="1091">
        <v>9806.09</v>
      </c>
      <c r="AT9" s="461">
        <f t="shared" si="13"/>
        <v>31.869792499999999</v>
      </c>
      <c r="AU9" s="460">
        <f>56-AT9</f>
        <v>24.130207500000001</v>
      </c>
      <c r="AV9" s="459"/>
      <c r="AW9" s="461">
        <f t="shared" si="14"/>
        <v>0</v>
      </c>
      <c r="AX9" s="461"/>
      <c r="AY9" s="459"/>
      <c r="AZ9" s="461">
        <f t="shared" si="15"/>
        <v>0</v>
      </c>
      <c r="BA9" s="461"/>
      <c r="BB9" s="985">
        <f t="shared" si="16"/>
        <v>66659.329999999987</v>
      </c>
      <c r="BC9" s="986">
        <f t="shared" si="16"/>
        <v>216.64282249999999</v>
      </c>
      <c r="BD9" s="987">
        <f t="shared" si="16"/>
        <v>124.1302075</v>
      </c>
      <c r="BE9" s="472"/>
      <c r="BF9" s="1092">
        <f t="shared" si="17"/>
        <v>340.77303000000001</v>
      </c>
      <c r="BG9" s="459">
        <v>5590.77</v>
      </c>
      <c r="BH9" s="461">
        <f t="shared" si="18"/>
        <v>18.170002499999999</v>
      </c>
      <c r="BI9" s="461"/>
      <c r="BJ9" s="459">
        <v>0</v>
      </c>
      <c r="BK9" s="461">
        <f t="shared" si="19"/>
        <v>0</v>
      </c>
      <c r="BL9" s="461"/>
      <c r="BM9" s="459">
        <v>10544</v>
      </c>
      <c r="BN9" s="461">
        <f>+BM9*0.0065/2</f>
        <v>34.268000000000001</v>
      </c>
      <c r="BO9" s="461"/>
      <c r="BP9" s="1093">
        <v>42210.15</v>
      </c>
      <c r="BQ9" s="546">
        <f>+BP9*0.02/34</f>
        <v>24.829500000000003</v>
      </c>
      <c r="BR9" s="461"/>
      <c r="BS9" s="459">
        <v>3309.85</v>
      </c>
      <c r="BT9" s="461">
        <f>+BS9*0.0065/2</f>
        <v>10.7570125</v>
      </c>
      <c r="BU9" s="461"/>
      <c r="BV9" s="459">
        <v>8452.5499999999993</v>
      </c>
      <c r="BW9" s="461">
        <f t="shared" si="22"/>
        <v>27.470787499999997</v>
      </c>
      <c r="BX9" s="461"/>
      <c r="BY9" s="459">
        <v>1931.09</v>
      </c>
      <c r="BZ9" s="461">
        <f t="shared" si="23"/>
        <v>6.2760424999999991</v>
      </c>
      <c r="CA9" s="461"/>
      <c r="CB9" s="459">
        <v>0</v>
      </c>
      <c r="CC9" s="461">
        <f t="shared" si="24"/>
        <v>0</v>
      </c>
      <c r="CD9" s="461"/>
      <c r="CE9" s="459">
        <v>10973.52</v>
      </c>
      <c r="CF9" s="461">
        <f t="shared" si="25"/>
        <v>35.663939999999997</v>
      </c>
      <c r="CG9" s="461"/>
      <c r="CH9" s="459">
        <v>0</v>
      </c>
      <c r="CI9" s="461">
        <f t="shared" si="26"/>
        <v>0</v>
      </c>
      <c r="CJ9" s="461"/>
      <c r="CK9" s="459">
        <v>0</v>
      </c>
      <c r="CL9" s="461">
        <f t="shared" si="27"/>
        <v>0</v>
      </c>
      <c r="CM9" s="461"/>
      <c r="CN9" s="459">
        <v>0</v>
      </c>
      <c r="CO9" s="461">
        <f t="shared" si="28"/>
        <v>0</v>
      </c>
      <c r="CP9" s="461"/>
      <c r="CQ9" s="459">
        <v>0</v>
      </c>
      <c r="CR9" s="461">
        <f t="shared" si="29"/>
        <v>0</v>
      </c>
      <c r="CS9" s="461"/>
      <c r="CT9" s="1094">
        <f t="shared" si="30"/>
        <v>83011.929999999993</v>
      </c>
      <c r="CU9" s="1095">
        <f t="shared" si="30"/>
        <v>157.43528500000002</v>
      </c>
      <c r="CV9" s="1096">
        <f t="shared" si="31"/>
        <v>0</v>
      </c>
      <c r="CW9" s="472"/>
      <c r="CX9" s="1097">
        <f t="shared" si="32"/>
        <v>157.43528500000002</v>
      </c>
      <c r="CY9" s="1098">
        <f t="shared" si="33"/>
        <v>149671.25999999998</v>
      </c>
      <c r="CZ9" s="1099">
        <f t="shared" si="33"/>
        <v>374.07810749999999</v>
      </c>
      <c r="DA9" s="1100">
        <f t="shared" si="33"/>
        <v>124.1302075</v>
      </c>
      <c r="DB9" s="1101">
        <f t="shared" si="34"/>
        <v>498.20831499999997</v>
      </c>
      <c r="DC9" s="920" t="s">
        <v>737</v>
      </c>
    </row>
    <row r="10" spans="1:148" s="971" customFormat="1" ht="16.5" thickBot="1" x14ac:dyDescent="0.3">
      <c r="A10" s="1102">
        <f t="shared" si="35"/>
        <v>4</v>
      </c>
      <c r="B10" s="922" t="s">
        <v>39</v>
      </c>
      <c r="C10" s="1006" t="s">
        <v>543</v>
      </c>
      <c r="D10" s="536"/>
      <c r="E10" s="530"/>
      <c r="F10" s="482">
        <v>11821.35</v>
      </c>
      <c r="G10" s="923">
        <f t="shared" si="0"/>
        <v>38.419387499999999</v>
      </c>
      <c r="H10" s="1103"/>
      <c r="I10" s="924">
        <v>7931.62</v>
      </c>
      <c r="J10" s="923">
        <f t="shared" si="1"/>
        <v>25.777764999999999</v>
      </c>
      <c r="K10" s="1103"/>
      <c r="L10" s="482">
        <v>13425</v>
      </c>
      <c r="M10" s="923">
        <f t="shared" si="2"/>
        <v>43.631250000000001</v>
      </c>
      <c r="N10" s="1103"/>
      <c r="O10" s="482">
        <v>0</v>
      </c>
      <c r="P10" s="923">
        <f t="shared" si="3"/>
        <v>0</v>
      </c>
      <c r="Q10" s="1103"/>
      <c r="R10" s="482">
        <v>0</v>
      </c>
      <c r="S10" s="923">
        <f t="shared" si="4"/>
        <v>0</v>
      </c>
      <c r="T10" s="1104">
        <v>20</v>
      </c>
      <c r="U10" s="924">
        <v>6185.23</v>
      </c>
      <c r="V10" s="923">
        <f t="shared" si="5"/>
        <v>20.101997499999996</v>
      </c>
      <c r="W10" s="1103"/>
      <c r="X10" s="1104">
        <v>6192.95</v>
      </c>
      <c r="Y10" s="923">
        <f t="shared" si="6"/>
        <v>20.127087499999998</v>
      </c>
      <c r="Z10" s="1103"/>
      <c r="AA10" s="482">
        <v>0</v>
      </c>
      <c r="AB10" s="923">
        <f t="shared" si="7"/>
        <v>0</v>
      </c>
      <c r="AC10" s="1103">
        <v>20</v>
      </c>
      <c r="AD10" s="482">
        <v>15688.41</v>
      </c>
      <c r="AE10" s="923">
        <f t="shared" si="8"/>
        <v>50.987332499999994</v>
      </c>
      <c r="AF10" s="1103"/>
      <c r="AG10" s="482">
        <v>0</v>
      </c>
      <c r="AH10" s="923">
        <f t="shared" si="9"/>
        <v>0</v>
      </c>
      <c r="AI10" s="1103"/>
      <c r="AJ10" s="482">
        <v>10228.34</v>
      </c>
      <c r="AK10" s="923">
        <f t="shared" si="10"/>
        <v>33.242105000000002</v>
      </c>
      <c r="AL10" s="1103"/>
      <c r="AM10" s="482">
        <v>0</v>
      </c>
      <c r="AN10" s="923">
        <f t="shared" si="11"/>
        <v>0</v>
      </c>
      <c r="AO10" s="1103">
        <v>20</v>
      </c>
      <c r="AP10" s="482">
        <v>0</v>
      </c>
      <c r="AQ10" s="923">
        <f t="shared" si="12"/>
        <v>0</v>
      </c>
      <c r="AR10" s="1103"/>
      <c r="AS10" s="924">
        <v>14577.08</v>
      </c>
      <c r="AT10" s="923">
        <f t="shared" si="13"/>
        <v>47.375509999999998</v>
      </c>
      <c r="AU10" s="1103"/>
      <c r="AV10" s="482"/>
      <c r="AW10" s="923">
        <f t="shared" si="14"/>
        <v>0</v>
      </c>
      <c r="AX10" s="1103"/>
      <c r="AY10" s="482"/>
      <c r="AZ10" s="923">
        <f t="shared" si="15"/>
        <v>0</v>
      </c>
      <c r="BA10" s="1103"/>
      <c r="BB10" s="486">
        <f t="shared" si="16"/>
        <v>86049.98</v>
      </c>
      <c r="BC10" s="487">
        <f t="shared" si="16"/>
        <v>279.66243500000002</v>
      </c>
      <c r="BD10" s="488">
        <f t="shared" si="16"/>
        <v>60</v>
      </c>
      <c r="BE10" s="646"/>
      <c r="BF10" s="647">
        <f t="shared" si="17"/>
        <v>339.66243500000002</v>
      </c>
      <c r="BG10" s="482">
        <v>0</v>
      </c>
      <c r="BH10" s="923">
        <f t="shared" si="18"/>
        <v>0</v>
      </c>
      <c r="BI10" s="1103">
        <v>20</v>
      </c>
      <c r="BJ10" s="482">
        <v>0</v>
      </c>
      <c r="BK10" s="923">
        <f t="shared" si="19"/>
        <v>0</v>
      </c>
      <c r="BL10" s="1103"/>
      <c r="BM10" s="482">
        <v>10923</v>
      </c>
      <c r="BN10" s="923">
        <f t="shared" si="20"/>
        <v>35.499749999999999</v>
      </c>
      <c r="BO10" s="1103"/>
      <c r="BP10" s="482">
        <v>8533.73</v>
      </c>
      <c r="BQ10" s="923">
        <f>+BP10*0.0065/2</f>
        <v>27.734622499999997</v>
      </c>
      <c r="BR10" s="1103"/>
      <c r="BS10" s="482">
        <v>3309.84</v>
      </c>
      <c r="BT10" s="923">
        <f t="shared" si="21"/>
        <v>10.75698</v>
      </c>
      <c r="BU10" s="1103"/>
      <c r="BV10" s="482">
        <v>0</v>
      </c>
      <c r="BW10" s="923">
        <f t="shared" si="22"/>
        <v>0</v>
      </c>
      <c r="BX10" s="1103">
        <v>20</v>
      </c>
      <c r="BY10" s="482">
        <v>0</v>
      </c>
      <c r="BZ10" s="923">
        <f t="shared" si="23"/>
        <v>0</v>
      </c>
      <c r="CA10" s="1103">
        <v>20</v>
      </c>
      <c r="CB10" s="482">
        <v>0</v>
      </c>
      <c r="CC10" s="923">
        <f t="shared" si="24"/>
        <v>0</v>
      </c>
      <c r="CD10" s="1103"/>
      <c r="CE10" s="482">
        <v>8301.51</v>
      </c>
      <c r="CF10" s="923">
        <f t="shared" si="25"/>
        <v>26.979907499999999</v>
      </c>
      <c r="CG10" s="1103"/>
      <c r="CH10" s="482">
        <v>0</v>
      </c>
      <c r="CI10" s="923">
        <f t="shared" si="26"/>
        <v>0</v>
      </c>
      <c r="CJ10" s="1103"/>
      <c r="CK10" s="482">
        <v>0</v>
      </c>
      <c r="CL10" s="923">
        <f t="shared" si="27"/>
        <v>0</v>
      </c>
      <c r="CM10" s="1103"/>
      <c r="CN10" s="482">
        <v>0</v>
      </c>
      <c r="CO10" s="923">
        <f t="shared" si="28"/>
        <v>0</v>
      </c>
      <c r="CP10" s="1103"/>
      <c r="CQ10" s="482">
        <v>0</v>
      </c>
      <c r="CR10" s="923">
        <f t="shared" si="29"/>
        <v>0</v>
      </c>
      <c r="CS10" s="1103"/>
      <c r="CT10" s="495">
        <f>BG10+BJ10+BM10+BP10+BS10+BV10+BY10+CB10+CH10+CK10+CN10+CQ10+CE10</f>
        <v>31068.080000000002</v>
      </c>
      <c r="CU10" s="496">
        <f>BH10+BK10+BN10+BQ10+BT10+BW10+BZ10+CC10+CI10+CL10+CO10+CR10+CF10</f>
        <v>100.97125999999999</v>
      </c>
      <c r="CV10" s="497">
        <f t="shared" si="31"/>
        <v>60</v>
      </c>
      <c r="CW10" s="646"/>
      <c r="CX10" s="498">
        <f t="shared" si="32"/>
        <v>160.97125999999997</v>
      </c>
      <c r="CY10" s="499">
        <f t="shared" si="33"/>
        <v>117118.06</v>
      </c>
      <c r="CZ10" s="500">
        <f t="shared" si="33"/>
        <v>380.63369499999999</v>
      </c>
      <c r="DA10" s="501">
        <f t="shared" si="33"/>
        <v>120</v>
      </c>
      <c r="DB10" s="502">
        <f t="shared" si="34"/>
        <v>500.63369499999999</v>
      </c>
      <c r="DC10" s="920" t="s">
        <v>737</v>
      </c>
      <c r="DD10" s="970"/>
      <c r="DE10" s="970">
        <f>+CZ7+CZ8+CZ9+CZ10+CZ77+CZ78+CZ79+CZ80</f>
        <v>3337.7679414390986</v>
      </c>
      <c r="DF10" s="970">
        <f>+DA7+DA8+DA9+DA10+DA77+DA78+DA79+DA80</f>
        <v>706.41989375000003</v>
      </c>
      <c r="DG10" s="970">
        <f>+DB7+DB8+DB9+DB10+DB77+DB78+DB79+DB80</f>
        <v>4044.1878351890991</v>
      </c>
      <c r="DH10" s="970"/>
      <c r="DI10" s="970"/>
      <c r="DJ10" s="970"/>
      <c r="DK10" s="970"/>
      <c r="DL10" s="970"/>
      <c r="DM10" s="970"/>
      <c r="DN10" s="970"/>
      <c r="DO10" s="970"/>
      <c r="DP10" s="970"/>
      <c r="DQ10" s="970"/>
      <c r="DR10" s="970"/>
      <c r="DS10" s="970"/>
      <c r="DT10" s="970"/>
      <c r="DU10" s="970"/>
      <c r="DV10" s="970"/>
      <c r="DW10" s="970"/>
      <c r="DX10" s="970"/>
      <c r="DY10" s="970"/>
      <c r="DZ10" s="970"/>
      <c r="EA10" s="970"/>
      <c r="EB10" s="970"/>
      <c r="EC10" s="970"/>
      <c r="ED10" s="970"/>
      <c r="EE10" s="970"/>
      <c r="EF10" s="970"/>
      <c r="EG10" s="970"/>
      <c r="EH10" s="970"/>
      <c r="EI10" s="970"/>
      <c r="EJ10" s="970"/>
      <c r="EK10" s="970"/>
      <c r="EL10" s="970"/>
      <c r="EM10" s="970"/>
      <c r="EN10" s="970"/>
      <c r="EO10" s="970"/>
      <c r="EP10" s="970"/>
      <c r="EQ10" s="970"/>
      <c r="ER10" s="970"/>
    </row>
    <row r="11" spans="1:148" ht="15.75" x14ac:dyDescent="0.25">
      <c r="A11" s="1105">
        <f t="shared" si="35"/>
        <v>5</v>
      </c>
      <c r="B11" s="1106" t="s">
        <v>186</v>
      </c>
      <c r="C11" s="928" t="s">
        <v>704</v>
      </c>
      <c r="D11" s="883"/>
      <c r="E11" s="884"/>
      <c r="F11" s="520">
        <v>0</v>
      </c>
      <c r="G11" s="671">
        <f>+F11*0.02/40</f>
        <v>0</v>
      </c>
      <c r="H11" s="671">
        <v>20</v>
      </c>
      <c r="I11" s="520">
        <v>0</v>
      </c>
      <c r="J11" s="671">
        <f>+I11*0.02/40</f>
        <v>0</v>
      </c>
      <c r="K11" s="671">
        <v>20</v>
      </c>
      <c r="L11" s="520">
        <v>0</v>
      </c>
      <c r="M11" s="671">
        <f>+L11*0.02/40</f>
        <v>0</v>
      </c>
      <c r="N11" s="671">
        <v>20</v>
      </c>
      <c r="O11" s="520">
        <v>0</v>
      </c>
      <c r="P11" s="671">
        <f t="shared" ref="P11" si="36">+O11*0.02/40</f>
        <v>0</v>
      </c>
      <c r="Q11" s="671">
        <v>20</v>
      </c>
      <c r="R11" s="520">
        <v>57726.71</v>
      </c>
      <c r="S11" s="671">
        <f t="shared" ref="S11:S21" si="37">+R11*0.02/28</f>
        <v>41.233364285714288</v>
      </c>
      <c r="T11" s="671"/>
      <c r="U11" s="520">
        <v>34380.17</v>
      </c>
      <c r="V11" s="671">
        <f>+U11*0.02/32</f>
        <v>21.487606249999999</v>
      </c>
      <c r="W11" s="671"/>
      <c r="X11" s="516">
        <v>6976.95</v>
      </c>
      <c r="Y11" s="671">
        <f>+X11*0.0065/2</f>
        <v>22.6750875</v>
      </c>
      <c r="Z11" s="671"/>
      <c r="AA11" s="520">
        <v>30759.91</v>
      </c>
      <c r="AB11" s="671">
        <f>+AA11*0.02/30</f>
        <v>20.506606666666666</v>
      </c>
      <c r="AC11" s="671"/>
      <c r="AD11" s="520">
        <v>87477.440000000002</v>
      </c>
      <c r="AE11" s="671">
        <f>+AD11*0.02/34</f>
        <v>51.457317647058822</v>
      </c>
      <c r="AF11" s="671"/>
      <c r="AG11" s="520">
        <v>0</v>
      </c>
      <c r="AH11" s="671">
        <f t="shared" ref="AH11:AH23" si="38">+AG11*0.02/40</f>
        <v>0</v>
      </c>
      <c r="AI11" s="671"/>
      <c r="AJ11" s="520">
        <v>63104.04</v>
      </c>
      <c r="AK11" s="671">
        <f>+AJ11*0.02/34</f>
        <v>37.12002352941176</v>
      </c>
      <c r="AL11" s="671"/>
      <c r="AM11" s="520">
        <v>0</v>
      </c>
      <c r="AN11" s="671">
        <f t="shared" ref="AN11:AN12" si="39">+AM11*0.02/40</f>
        <v>0</v>
      </c>
      <c r="AO11" s="671">
        <v>20</v>
      </c>
      <c r="AP11" s="520">
        <v>0</v>
      </c>
      <c r="AQ11" s="671">
        <f t="shared" ref="AQ11:AQ23" si="40">+AP11*0.02/40</f>
        <v>0</v>
      </c>
      <c r="AR11" s="671">
        <v>20</v>
      </c>
      <c r="AS11" s="520">
        <v>87069.49</v>
      </c>
      <c r="AT11" s="671">
        <f t="shared" ref="AT11:AT19" si="41">+AS11*0.02/31</f>
        <v>56.173864516129036</v>
      </c>
      <c r="AU11" s="671"/>
      <c r="AV11" s="520"/>
      <c r="AW11" s="671">
        <f t="shared" ref="AW11:AW23" si="42">+AV11*0.02/40</f>
        <v>0</v>
      </c>
      <c r="AX11" s="671"/>
      <c r="AY11" s="520"/>
      <c r="AZ11" s="671">
        <f t="shared" ref="AZ11:AZ23" si="43">+AY11*0.02/40</f>
        <v>0</v>
      </c>
      <c r="BA11" s="671"/>
      <c r="BB11" s="735">
        <f t="shared" si="16"/>
        <v>367494.70999999996</v>
      </c>
      <c r="BC11" s="736">
        <f t="shared" si="16"/>
        <v>250.65387039498057</v>
      </c>
      <c r="BD11" s="737">
        <f t="shared" si="16"/>
        <v>120</v>
      </c>
      <c r="BE11" s="759"/>
      <c r="BF11" s="760">
        <f t="shared" si="17"/>
        <v>370.65387039498057</v>
      </c>
      <c r="BG11" s="520">
        <v>28163.83</v>
      </c>
      <c r="BH11" s="671">
        <f>+BG11*0.02/31</f>
        <v>18.170212903225806</v>
      </c>
      <c r="BI11" s="671"/>
      <c r="BJ11" s="520">
        <v>0</v>
      </c>
      <c r="BK11" s="671">
        <f t="shared" ref="BK11:BK23" si="44">+BJ11*0.02/40</f>
        <v>0</v>
      </c>
      <c r="BL11" s="671"/>
      <c r="BM11" s="520">
        <v>37108.31</v>
      </c>
      <c r="BN11" s="671">
        <f t="shared" ref="BN11:BN18" si="45">+BM11*0.02/29</f>
        <v>25.591937931034483</v>
      </c>
      <c r="BO11" s="671"/>
      <c r="BP11" s="520">
        <v>42210.15</v>
      </c>
      <c r="BQ11" s="671">
        <f>+BP11*0.02/34</f>
        <v>24.829500000000003</v>
      </c>
      <c r="BR11" s="671"/>
      <c r="BS11" s="520">
        <v>16489.21</v>
      </c>
      <c r="BT11" s="671">
        <f>+BS11*0.02/32</f>
        <v>10.30575625</v>
      </c>
      <c r="BU11" s="520">
        <f>15-BT11</f>
        <v>4.69424375</v>
      </c>
      <c r="BV11" s="520">
        <v>37405.74</v>
      </c>
      <c r="BW11" s="671">
        <f>+BV11*0.02/31</f>
        <v>24.132735483870967</v>
      </c>
      <c r="BX11" s="520"/>
      <c r="BY11" s="520">
        <v>8646.86</v>
      </c>
      <c r="BZ11" s="671">
        <f>+BY11*0.02/30</f>
        <v>5.7645733333333338</v>
      </c>
      <c r="CA11" s="671">
        <f>20-BZ11</f>
        <v>14.235426666666665</v>
      </c>
      <c r="CB11" s="520">
        <v>0</v>
      </c>
      <c r="CC11" s="671">
        <f t="shared" ref="CC11:CC23" si="46">+CB11*0.02/40</f>
        <v>0</v>
      </c>
      <c r="CD11" s="671"/>
      <c r="CE11" s="520">
        <v>44429.56</v>
      </c>
      <c r="CF11" s="671">
        <f>+CE11*0.02/31</f>
        <v>28.664232258064516</v>
      </c>
      <c r="CG11" s="671"/>
      <c r="CH11" s="520">
        <v>0</v>
      </c>
      <c r="CI11" s="671">
        <f t="shared" ref="CI11:CI23" si="47">+CH11*0.02/40</f>
        <v>0</v>
      </c>
      <c r="CJ11" s="671">
        <v>20</v>
      </c>
      <c r="CK11" s="520">
        <v>0</v>
      </c>
      <c r="CL11" s="671">
        <f t="shared" ref="CL11:CL23" si="48">+CK11*0.02/40</f>
        <v>0</v>
      </c>
      <c r="CM11" s="671"/>
      <c r="CN11" s="520">
        <v>0</v>
      </c>
      <c r="CO11" s="671">
        <f t="shared" ref="CO11:CO23" si="49">+CN11*0.02/40</f>
        <v>0</v>
      </c>
      <c r="CP11" s="671"/>
      <c r="CQ11" s="520">
        <v>0</v>
      </c>
      <c r="CR11" s="671">
        <f t="shared" ref="CR11:CR23" si="50">+CQ11*0.02/40</f>
        <v>0</v>
      </c>
      <c r="CS11" s="671"/>
      <c r="CT11" s="698">
        <f t="shared" ref="CT11:CU26" si="51">BG11+BJ11+BM11+BP11+BS11+BV11+BY11+CB11+CH11+CK11+CN11+CQ11+CE11</f>
        <v>214453.65999999997</v>
      </c>
      <c r="CU11" s="699">
        <f t="shared" si="51"/>
        <v>137.45894815952909</v>
      </c>
      <c r="CV11" s="700">
        <f t="shared" si="31"/>
        <v>38.929670416666667</v>
      </c>
      <c r="CW11" s="759"/>
      <c r="CX11" s="701">
        <f t="shared" si="32"/>
        <v>176.38861857619577</v>
      </c>
      <c r="CY11" s="588">
        <f t="shared" si="33"/>
        <v>581948.36999999988</v>
      </c>
      <c r="CZ11" s="589">
        <f t="shared" si="33"/>
        <v>388.11281855450966</v>
      </c>
      <c r="DA11" s="590">
        <f t="shared" si="33"/>
        <v>158.92967041666668</v>
      </c>
      <c r="DB11" s="591">
        <f t="shared" si="34"/>
        <v>547.04248897117634</v>
      </c>
      <c r="DC11" s="920" t="s">
        <v>740</v>
      </c>
    </row>
    <row r="12" spans="1:148" ht="15.75" x14ac:dyDescent="0.25">
      <c r="A12" s="454">
        <f t="shared" si="35"/>
        <v>6</v>
      </c>
      <c r="B12" s="1106" t="s">
        <v>176</v>
      </c>
      <c r="C12" s="918" t="s">
        <v>704</v>
      </c>
      <c r="D12" s="848"/>
      <c r="E12" s="849"/>
      <c r="F12" s="534">
        <v>44451.46</v>
      </c>
      <c r="G12" s="517">
        <f>+F12*0.02/27</f>
        <v>32.927007407407409</v>
      </c>
      <c r="H12" s="517"/>
      <c r="I12" s="534">
        <v>39749.550000000003</v>
      </c>
      <c r="J12" s="517">
        <f>+I12*0.02/29</f>
        <v>27.413482758620692</v>
      </c>
      <c r="K12" s="517"/>
      <c r="L12" s="534">
        <v>39966.589999999997</v>
      </c>
      <c r="M12" s="517">
        <f>+L12*0.02/22</f>
        <v>36.333263636363633</v>
      </c>
      <c r="N12" s="517"/>
      <c r="O12" s="534">
        <v>0</v>
      </c>
      <c r="P12" s="517">
        <f>+O12*0.02/40</f>
        <v>0</v>
      </c>
      <c r="Q12" s="517"/>
      <c r="R12" s="534">
        <v>57726.71</v>
      </c>
      <c r="S12" s="517">
        <f t="shared" si="37"/>
        <v>41.233364285714288</v>
      </c>
      <c r="T12" s="517"/>
      <c r="U12" s="534">
        <v>34380.17</v>
      </c>
      <c r="V12" s="517">
        <f t="shared" ref="V12:V24" si="52">+U12*0.02/32</f>
        <v>21.487606249999999</v>
      </c>
      <c r="W12" s="517"/>
      <c r="X12" s="534">
        <v>0</v>
      </c>
      <c r="Y12" s="517">
        <f>+X12*0.02/40</f>
        <v>0</v>
      </c>
      <c r="Z12" s="517"/>
      <c r="AA12" s="534">
        <v>30759.91</v>
      </c>
      <c r="AB12" s="517">
        <f t="shared" ref="AB12:AB23" si="53">+AA12*0.02/30</f>
        <v>20.506606666666666</v>
      </c>
      <c r="AC12" s="517"/>
      <c r="AD12" s="534">
        <v>87477.440000000002</v>
      </c>
      <c r="AE12" s="517">
        <f t="shared" ref="AE12:AE24" si="54">+AD12*0.02/34</f>
        <v>51.457317647058822</v>
      </c>
      <c r="AF12" s="517"/>
      <c r="AG12" s="534">
        <v>0</v>
      </c>
      <c r="AH12" s="517">
        <f t="shared" si="38"/>
        <v>0</v>
      </c>
      <c r="AI12" s="517"/>
      <c r="AJ12" s="520">
        <v>63104.04</v>
      </c>
      <c r="AK12" s="517">
        <f t="shared" ref="AK12:AK24" si="55">+AJ12*0.02/34</f>
        <v>37.12002352941176</v>
      </c>
      <c r="AL12" s="517"/>
      <c r="AM12" s="534">
        <v>0</v>
      </c>
      <c r="AN12" s="517">
        <f t="shared" si="39"/>
        <v>0</v>
      </c>
      <c r="AO12" s="517"/>
      <c r="AP12" s="534">
        <v>0</v>
      </c>
      <c r="AQ12" s="517">
        <f t="shared" si="40"/>
        <v>0</v>
      </c>
      <c r="AR12" s="517"/>
      <c r="AS12" s="534">
        <v>87069.49</v>
      </c>
      <c r="AT12" s="517">
        <f t="shared" si="41"/>
        <v>56.173864516129036</v>
      </c>
      <c r="AU12" s="517"/>
      <c r="AV12" s="534"/>
      <c r="AW12" s="517">
        <f t="shared" si="42"/>
        <v>0</v>
      </c>
      <c r="AX12" s="517"/>
      <c r="AY12" s="534"/>
      <c r="AZ12" s="517">
        <f t="shared" si="43"/>
        <v>0</v>
      </c>
      <c r="BA12" s="517"/>
      <c r="BB12" s="463">
        <f t="shared" si="16"/>
        <v>484685.35999999993</v>
      </c>
      <c r="BC12" s="464">
        <f t="shared" si="16"/>
        <v>324.65253669737228</v>
      </c>
      <c r="BD12" s="465">
        <f t="shared" si="16"/>
        <v>0</v>
      </c>
      <c r="BE12" s="466"/>
      <c r="BF12" s="467">
        <f t="shared" si="17"/>
        <v>324.65253669737228</v>
      </c>
      <c r="BG12" s="520">
        <v>28163.83</v>
      </c>
      <c r="BH12" s="517">
        <f t="shared" ref="BH12:BH24" si="56">+BG12*0.02/31</f>
        <v>18.170212903225806</v>
      </c>
      <c r="BI12" s="517"/>
      <c r="BJ12" s="534">
        <v>0</v>
      </c>
      <c r="BK12" s="517">
        <f t="shared" si="44"/>
        <v>0</v>
      </c>
      <c r="BL12" s="517"/>
      <c r="BM12" s="534">
        <v>37108.31</v>
      </c>
      <c r="BN12" s="517">
        <f t="shared" si="45"/>
        <v>25.591937931034483</v>
      </c>
      <c r="BO12" s="517"/>
      <c r="BP12" s="520">
        <v>42210.15</v>
      </c>
      <c r="BQ12" s="517">
        <f t="shared" ref="BQ12:BQ24" si="57">+BP12*0.02/34</f>
        <v>24.829500000000003</v>
      </c>
      <c r="BR12" s="517"/>
      <c r="BS12" s="534">
        <v>16489.21</v>
      </c>
      <c r="BT12" s="517">
        <f t="shared" ref="BT12:BT24" si="58">+BS12*0.02/32</f>
        <v>10.30575625</v>
      </c>
      <c r="BU12" s="520">
        <f t="shared" ref="BU12:BU24" si="59">15-BT12</f>
        <v>4.69424375</v>
      </c>
      <c r="BV12" s="534">
        <v>37405.74</v>
      </c>
      <c r="BW12" s="517">
        <f t="shared" ref="BW12:BW24" si="60">+BV12*0.02/31</f>
        <v>24.132735483870967</v>
      </c>
      <c r="BX12" s="534"/>
      <c r="BY12" s="520">
        <v>8646.86</v>
      </c>
      <c r="BZ12" s="517">
        <f t="shared" ref="BZ12:BZ24" si="61">+BY12*0.02/30</f>
        <v>5.7645733333333338</v>
      </c>
      <c r="CA12" s="517">
        <f t="shared" ref="CA12:CA24" si="62">20-BZ12</f>
        <v>14.235426666666665</v>
      </c>
      <c r="CB12" s="534">
        <v>0</v>
      </c>
      <c r="CC12" s="517">
        <f t="shared" si="46"/>
        <v>0</v>
      </c>
      <c r="CD12" s="517"/>
      <c r="CE12" s="520">
        <v>44429.56</v>
      </c>
      <c r="CF12" s="517">
        <f t="shared" ref="CF12:CF24" si="63">+CE12*0.02/31</f>
        <v>28.664232258064516</v>
      </c>
      <c r="CG12" s="517"/>
      <c r="CH12" s="534">
        <v>0</v>
      </c>
      <c r="CI12" s="517">
        <f t="shared" si="47"/>
        <v>0</v>
      </c>
      <c r="CJ12" s="517"/>
      <c r="CK12" s="534">
        <v>0</v>
      </c>
      <c r="CL12" s="517">
        <f t="shared" si="48"/>
        <v>0</v>
      </c>
      <c r="CM12" s="517"/>
      <c r="CN12" s="534">
        <v>0</v>
      </c>
      <c r="CO12" s="517">
        <f t="shared" si="49"/>
        <v>0</v>
      </c>
      <c r="CP12" s="517"/>
      <c r="CQ12" s="534">
        <v>0</v>
      </c>
      <c r="CR12" s="517">
        <f t="shared" si="50"/>
        <v>0</v>
      </c>
      <c r="CS12" s="517"/>
      <c r="CT12" s="551">
        <f t="shared" si="51"/>
        <v>214453.65999999997</v>
      </c>
      <c r="CU12" s="552">
        <f t="shared" si="51"/>
        <v>137.45894815952909</v>
      </c>
      <c r="CV12" s="553">
        <f t="shared" si="31"/>
        <v>18.929670416666667</v>
      </c>
      <c r="CW12" s="466"/>
      <c r="CX12" s="554">
        <f t="shared" si="32"/>
        <v>156.38861857619577</v>
      </c>
      <c r="CY12" s="588">
        <f t="shared" si="33"/>
        <v>699139.0199999999</v>
      </c>
      <c r="CZ12" s="589">
        <f t="shared" si="33"/>
        <v>462.11148485690137</v>
      </c>
      <c r="DA12" s="590">
        <f t="shared" si="33"/>
        <v>18.929670416666667</v>
      </c>
      <c r="DB12" s="591">
        <f t="shared" si="34"/>
        <v>481.04115527356805</v>
      </c>
      <c r="DC12" s="920" t="s">
        <v>741</v>
      </c>
    </row>
    <row r="13" spans="1:148" ht="15.75" x14ac:dyDescent="0.25">
      <c r="A13" s="454">
        <f t="shared" si="35"/>
        <v>7</v>
      </c>
      <c r="B13" s="1107" t="s">
        <v>188</v>
      </c>
      <c r="C13" s="918" t="s">
        <v>704</v>
      </c>
      <c r="D13" s="848"/>
      <c r="E13" s="860"/>
      <c r="F13" s="534">
        <v>44451.46</v>
      </c>
      <c r="G13" s="517">
        <f t="shared" ref="G13:G18" si="64">+F13*0.02/27</f>
        <v>32.927007407407409</v>
      </c>
      <c r="H13" s="517"/>
      <c r="I13" s="534">
        <v>39749.550000000003</v>
      </c>
      <c r="J13" s="517">
        <f t="shared" ref="J13:J18" si="65">+I13*0.02/29</f>
        <v>27.413482758620692</v>
      </c>
      <c r="K13" s="517"/>
      <c r="L13" s="534">
        <v>39966.589999999997</v>
      </c>
      <c r="M13" s="517">
        <f t="shared" ref="M13:M18" si="66">+L13*0.02/22</f>
        <v>36.333263636363633</v>
      </c>
      <c r="N13" s="517"/>
      <c r="O13" s="534">
        <v>0</v>
      </c>
      <c r="P13" s="517">
        <f>+O13*0.02/40</f>
        <v>0</v>
      </c>
      <c r="Q13" s="517"/>
      <c r="R13" s="534">
        <v>57726.71</v>
      </c>
      <c r="S13" s="517">
        <f t="shared" si="37"/>
        <v>41.233364285714288</v>
      </c>
      <c r="T13" s="517"/>
      <c r="U13" s="534">
        <v>34380.17</v>
      </c>
      <c r="V13" s="517">
        <f t="shared" si="52"/>
        <v>21.487606249999999</v>
      </c>
      <c r="W13" s="517"/>
      <c r="X13" s="534">
        <v>29736.53</v>
      </c>
      <c r="Y13" s="517">
        <f>+X13*0.02/25</f>
        <v>23.789224000000001</v>
      </c>
      <c r="Z13" s="517"/>
      <c r="AA13" s="534">
        <v>30759.91</v>
      </c>
      <c r="AB13" s="517">
        <f t="shared" si="53"/>
        <v>20.506606666666666</v>
      </c>
      <c r="AC13" s="517"/>
      <c r="AD13" s="534">
        <v>87477.440000000002</v>
      </c>
      <c r="AE13" s="517">
        <f t="shared" si="54"/>
        <v>51.457317647058822</v>
      </c>
      <c r="AF13" s="517"/>
      <c r="AG13" s="534">
        <v>0</v>
      </c>
      <c r="AH13" s="517">
        <f t="shared" si="38"/>
        <v>0</v>
      </c>
      <c r="AI13" s="517"/>
      <c r="AJ13" s="520">
        <v>63104.04</v>
      </c>
      <c r="AK13" s="517">
        <f t="shared" si="55"/>
        <v>37.12002352941176</v>
      </c>
      <c r="AL13" s="517"/>
      <c r="AM13" s="520">
        <v>37050.14</v>
      </c>
      <c r="AN13" s="517">
        <f t="shared" ref="AN13:AN21" si="67">+AM13*0.02/27</f>
        <v>27.444548148148147</v>
      </c>
      <c r="AO13" s="517"/>
      <c r="AP13" s="534">
        <v>0</v>
      </c>
      <c r="AQ13" s="517">
        <f t="shared" si="40"/>
        <v>0</v>
      </c>
      <c r="AR13" s="517"/>
      <c r="AS13" s="534">
        <v>87069.49</v>
      </c>
      <c r="AT13" s="517">
        <f t="shared" si="41"/>
        <v>56.173864516129036</v>
      </c>
      <c r="AU13" s="517"/>
      <c r="AV13" s="534"/>
      <c r="AW13" s="517">
        <f t="shared" si="42"/>
        <v>0</v>
      </c>
      <c r="AX13" s="517"/>
      <c r="AY13" s="534"/>
      <c r="AZ13" s="517">
        <f t="shared" si="43"/>
        <v>0</v>
      </c>
      <c r="BA13" s="517"/>
      <c r="BB13" s="463">
        <f t="shared" si="16"/>
        <v>551472.03</v>
      </c>
      <c r="BC13" s="464">
        <f t="shared" si="16"/>
        <v>375.88630884552043</v>
      </c>
      <c r="BD13" s="465">
        <f t="shared" si="16"/>
        <v>0</v>
      </c>
      <c r="BE13" s="466"/>
      <c r="BF13" s="467">
        <f t="shared" si="17"/>
        <v>375.88630884552043</v>
      </c>
      <c r="BG13" s="520">
        <v>28163.83</v>
      </c>
      <c r="BH13" s="517">
        <f t="shared" si="56"/>
        <v>18.170212903225806</v>
      </c>
      <c r="BI13" s="517"/>
      <c r="BJ13" s="534">
        <v>0</v>
      </c>
      <c r="BK13" s="517">
        <f t="shared" si="44"/>
        <v>0</v>
      </c>
      <c r="BL13" s="517"/>
      <c r="BM13" s="534">
        <v>37108.31</v>
      </c>
      <c r="BN13" s="517">
        <f t="shared" si="45"/>
        <v>25.591937931034483</v>
      </c>
      <c r="BO13" s="517"/>
      <c r="BP13" s="520">
        <v>42210.15</v>
      </c>
      <c r="BQ13" s="517">
        <f t="shared" si="57"/>
        <v>24.829500000000003</v>
      </c>
      <c r="BR13" s="517"/>
      <c r="BS13" s="534">
        <v>16489.21</v>
      </c>
      <c r="BT13" s="517">
        <f t="shared" si="58"/>
        <v>10.30575625</v>
      </c>
      <c r="BU13" s="520">
        <f t="shared" si="59"/>
        <v>4.69424375</v>
      </c>
      <c r="BV13" s="534">
        <v>0</v>
      </c>
      <c r="BW13" s="517">
        <f t="shared" si="60"/>
        <v>0</v>
      </c>
      <c r="BX13" s="534">
        <v>20</v>
      </c>
      <c r="BY13" s="534">
        <v>0</v>
      </c>
      <c r="BZ13" s="517">
        <f>+BY13*0.02/31</f>
        <v>0</v>
      </c>
      <c r="CA13" s="534">
        <v>20</v>
      </c>
      <c r="CB13" s="534">
        <v>0</v>
      </c>
      <c r="CC13" s="517">
        <f t="shared" si="46"/>
        <v>0</v>
      </c>
      <c r="CD13" s="517"/>
      <c r="CE13" s="520">
        <v>44429.56</v>
      </c>
      <c r="CF13" s="517">
        <f t="shared" si="63"/>
        <v>28.664232258064516</v>
      </c>
      <c r="CG13" s="517"/>
      <c r="CH13" s="520">
        <v>0</v>
      </c>
      <c r="CI13" s="671">
        <f t="shared" si="47"/>
        <v>0</v>
      </c>
      <c r="CJ13" s="517">
        <v>20</v>
      </c>
      <c r="CK13" s="534">
        <v>0</v>
      </c>
      <c r="CL13" s="517">
        <f t="shared" si="48"/>
        <v>0</v>
      </c>
      <c r="CM13" s="517"/>
      <c r="CN13" s="534">
        <v>0</v>
      </c>
      <c r="CO13" s="517">
        <f t="shared" si="49"/>
        <v>0</v>
      </c>
      <c r="CP13" s="517"/>
      <c r="CQ13" s="534">
        <v>0</v>
      </c>
      <c r="CR13" s="517">
        <f t="shared" si="50"/>
        <v>0</v>
      </c>
      <c r="CS13" s="517"/>
      <c r="CT13" s="551">
        <f t="shared" si="51"/>
        <v>168401.06</v>
      </c>
      <c r="CU13" s="552">
        <f t="shared" si="51"/>
        <v>107.56163934232481</v>
      </c>
      <c r="CV13" s="553">
        <f t="shared" si="31"/>
        <v>64.694243749999998</v>
      </c>
      <c r="CW13" s="466"/>
      <c r="CX13" s="554">
        <f t="shared" si="32"/>
        <v>172.25588309232481</v>
      </c>
      <c r="CY13" s="588">
        <f t="shared" si="33"/>
        <v>719873.09000000008</v>
      </c>
      <c r="CZ13" s="589">
        <f t="shared" si="33"/>
        <v>483.44794818784521</v>
      </c>
      <c r="DA13" s="590">
        <f t="shared" si="33"/>
        <v>64.694243749999998</v>
      </c>
      <c r="DB13" s="591">
        <f t="shared" si="34"/>
        <v>548.14219193784515</v>
      </c>
      <c r="DC13" s="920" t="s">
        <v>740</v>
      </c>
    </row>
    <row r="14" spans="1:148" ht="15.75" x14ac:dyDescent="0.25">
      <c r="A14" s="454">
        <f t="shared" si="35"/>
        <v>8</v>
      </c>
      <c r="B14" s="1106" t="s">
        <v>172</v>
      </c>
      <c r="C14" s="918" t="s">
        <v>704</v>
      </c>
      <c r="D14" s="848"/>
      <c r="E14" s="849"/>
      <c r="F14" s="534">
        <v>44451.46</v>
      </c>
      <c r="G14" s="517">
        <f t="shared" si="64"/>
        <v>32.927007407407409</v>
      </c>
      <c r="H14" s="517"/>
      <c r="I14" s="534">
        <v>39749.550000000003</v>
      </c>
      <c r="J14" s="517">
        <f t="shared" si="65"/>
        <v>27.413482758620692</v>
      </c>
      <c r="K14" s="517"/>
      <c r="L14" s="534">
        <v>39966.589999999997</v>
      </c>
      <c r="M14" s="517">
        <f t="shared" si="66"/>
        <v>36.333263636363633</v>
      </c>
      <c r="N14" s="517"/>
      <c r="O14" s="534">
        <v>0</v>
      </c>
      <c r="P14" s="517">
        <f>+O14*0.02/40</f>
        <v>0</v>
      </c>
      <c r="Q14" s="517"/>
      <c r="R14" s="534">
        <v>57726.71</v>
      </c>
      <c r="S14" s="517">
        <f t="shared" si="37"/>
        <v>41.233364285714288</v>
      </c>
      <c r="T14" s="517"/>
      <c r="U14" s="534">
        <v>34380.17</v>
      </c>
      <c r="V14" s="517">
        <f t="shared" si="52"/>
        <v>21.487606249999999</v>
      </c>
      <c r="W14" s="517"/>
      <c r="X14" s="534">
        <v>29736.53</v>
      </c>
      <c r="Y14" s="517">
        <f>+X14*0.02/25</f>
        <v>23.789224000000001</v>
      </c>
      <c r="Z14" s="517"/>
      <c r="AA14" s="534">
        <v>30759.91</v>
      </c>
      <c r="AB14" s="517">
        <f t="shared" si="53"/>
        <v>20.506606666666666</v>
      </c>
      <c r="AC14" s="517"/>
      <c r="AD14" s="534">
        <v>87477.440000000002</v>
      </c>
      <c r="AE14" s="517">
        <f t="shared" si="54"/>
        <v>51.457317647058822</v>
      </c>
      <c r="AF14" s="517"/>
      <c r="AG14" s="534">
        <v>0</v>
      </c>
      <c r="AH14" s="517">
        <f t="shared" si="38"/>
        <v>0</v>
      </c>
      <c r="AI14" s="517"/>
      <c r="AJ14" s="520">
        <v>63104.04</v>
      </c>
      <c r="AK14" s="517">
        <f t="shared" si="55"/>
        <v>37.12002352941176</v>
      </c>
      <c r="AL14" s="517"/>
      <c r="AM14" s="520">
        <v>37050.14</v>
      </c>
      <c r="AN14" s="517">
        <f t="shared" si="67"/>
        <v>27.444548148148147</v>
      </c>
      <c r="AO14" s="517"/>
      <c r="AP14" s="534">
        <v>0</v>
      </c>
      <c r="AQ14" s="517">
        <f t="shared" si="40"/>
        <v>0</v>
      </c>
      <c r="AR14" s="517"/>
      <c r="AS14" s="534">
        <v>87069.49</v>
      </c>
      <c r="AT14" s="517">
        <f t="shared" si="41"/>
        <v>56.173864516129036</v>
      </c>
      <c r="AU14" s="517"/>
      <c r="AV14" s="534"/>
      <c r="AW14" s="517">
        <f t="shared" si="42"/>
        <v>0</v>
      </c>
      <c r="AX14" s="517"/>
      <c r="AY14" s="534"/>
      <c r="AZ14" s="517">
        <f t="shared" si="43"/>
        <v>0</v>
      </c>
      <c r="BA14" s="517"/>
      <c r="BB14" s="463">
        <f t="shared" si="16"/>
        <v>551472.03</v>
      </c>
      <c r="BC14" s="464">
        <f t="shared" si="16"/>
        <v>375.88630884552043</v>
      </c>
      <c r="BD14" s="465">
        <f t="shared" si="16"/>
        <v>0</v>
      </c>
      <c r="BE14" s="466"/>
      <c r="BF14" s="467">
        <f t="shared" si="17"/>
        <v>375.88630884552043</v>
      </c>
      <c r="BG14" s="520">
        <v>28163.83</v>
      </c>
      <c r="BH14" s="517">
        <f t="shared" si="56"/>
        <v>18.170212903225806</v>
      </c>
      <c r="BI14" s="517"/>
      <c r="BJ14" s="534">
        <v>0</v>
      </c>
      <c r="BK14" s="517">
        <f t="shared" si="44"/>
        <v>0</v>
      </c>
      <c r="BL14" s="517"/>
      <c r="BM14" s="534">
        <v>37108.31</v>
      </c>
      <c r="BN14" s="517">
        <f t="shared" si="45"/>
        <v>25.591937931034483</v>
      </c>
      <c r="BO14" s="517"/>
      <c r="BP14" s="520">
        <v>42210.15</v>
      </c>
      <c r="BQ14" s="517">
        <f t="shared" si="57"/>
        <v>24.829500000000003</v>
      </c>
      <c r="BR14" s="517"/>
      <c r="BS14" s="534">
        <v>16489.21</v>
      </c>
      <c r="BT14" s="517">
        <f t="shared" si="58"/>
        <v>10.30575625</v>
      </c>
      <c r="BU14" s="520">
        <f t="shared" si="59"/>
        <v>4.69424375</v>
      </c>
      <c r="BV14" s="534">
        <v>37405.74</v>
      </c>
      <c r="BW14" s="517">
        <f t="shared" si="60"/>
        <v>24.132735483870967</v>
      </c>
      <c r="BX14" s="534"/>
      <c r="BY14" s="520">
        <v>8646.86</v>
      </c>
      <c r="BZ14" s="517">
        <f t="shared" si="61"/>
        <v>5.7645733333333338</v>
      </c>
      <c r="CA14" s="517">
        <f t="shared" si="62"/>
        <v>14.235426666666665</v>
      </c>
      <c r="CB14" s="534">
        <v>0</v>
      </c>
      <c r="CC14" s="517">
        <f t="shared" si="46"/>
        <v>0</v>
      </c>
      <c r="CD14" s="517"/>
      <c r="CE14" s="520">
        <v>44429.56</v>
      </c>
      <c r="CF14" s="517">
        <f t="shared" si="63"/>
        <v>28.664232258064516</v>
      </c>
      <c r="CG14" s="517"/>
      <c r="CH14" s="534">
        <v>0</v>
      </c>
      <c r="CI14" s="517">
        <f t="shared" si="47"/>
        <v>0</v>
      </c>
      <c r="CJ14" s="517"/>
      <c r="CK14" s="534">
        <v>0</v>
      </c>
      <c r="CL14" s="517">
        <f t="shared" si="48"/>
        <v>0</v>
      </c>
      <c r="CM14" s="517"/>
      <c r="CN14" s="534">
        <v>0</v>
      </c>
      <c r="CO14" s="517">
        <f t="shared" si="49"/>
        <v>0</v>
      </c>
      <c r="CP14" s="517"/>
      <c r="CQ14" s="534">
        <v>0</v>
      </c>
      <c r="CR14" s="517">
        <f t="shared" si="50"/>
        <v>0</v>
      </c>
      <c r="CS14" s="517"/>
      <c r="CT14" s="551">
        <f t="shared" si="51"/>
        <v>214453.65999999997</v>
      </c>
      <c r="CU14" s="552">
        <f t="shared" si="51"/>
        <v>137.45894815952909</v>
      </c>
      <c r="CV14" s="553">
        <f t="shared" si="31"/>
        <v>18.929670416666667</v>
      </c>
      <c r="CW14" s="466"/>
      <c r="CX14" s="554">
        <f t="shared" si="32"/>
        <v>156.38861857619577</v>
      </c>
      <c r="CY14" s="588">
        <f t="shared" si="33"/>
        <v>765925.69</v>
      </c>
      <c r="CZ14" s="589">
        <f t="shared" si="33"/>
        <v>513.34525700504946</v>
      </c>
      <c r="DA14" s="590">
        <f t="shared" si="33"/>
        <v>18.929670416666667</v>
      </c>
      <c r="DB14" s="591">
        <f t="shared" si="34"/>
        <v>532.27492742171614</v>
      </c>
      <c r="DC14" s="920" t="s">
        <v>737</v>
      </c>
    </row>
    <row r="15" spans="1:148" ht="15.75" x14ac:dyDescent="0.25">
      <c r="A15" s="454">
        <f t="shared" si="35"/>
        <v>9</v>
      </c>
      <c r="B15" s="926" t="s">
        <v>198</v>
      </c>
      <c r="C15" s="918" t="s">
        <v>704</v>
      </c>
      <c r="D15" s="848"/>
      <c r="E15" s="860"/>
      <c r="F15" s="534">
        <v>44451.46</v>
      </c>
      <c r="G15" s="517">
        <f t="shared" si="64"/>
        <v>32.927007407407409</v>
      </c>
      <c r="H15" s="517"/>
      <c r="I15" s="534">
        <v>39749.550000000003</v>
      </c>
      <c r="J15" s="517">
        <f t="shared" si="65"/>
        <v>27.413482758620692</v>
      </c>
      <c r="K15" s="517"/>
      <c r="L15" s="534">
        <v>39966.589999999997</v>
      </c>
      <c r="M15" s="517">
        <f t="shared" si="66"/>
        <v>36.333263636363633</v>
      </c>
      <c r="N15" s="517"/>
      <c r="O15" s="534">
        <v>0</v>
      </c>
      <c r="P15" s="517">
        <f>+O15*0.02/40</f>
        <v>0</v>
      </c>
      <c r="Q15" s="517"/>
      <c r="R15" s="534">
        <v>57726.71</v>
      </c>
      <c r="S15" s="517">
        <f t="shared" si="37"/>
        <v>41.233364285714288</v>
      </c>
      <c r="T15" s="517"/>
      <c r="U15" s="534">
        <v>34380.17</v>
      </c>
      <c r="V15" s="517">
        <f t="shared" si="52"/>
        <v>21.487606249999999</v>
      </c>
      <c r="W15" s="517"/>
      <c r="X15" s="534">
        <v>29736.53</v>
      </c>
      <c r="Y15" s="517">
        <f>+X15*0.02/25</f>
        <v>23.789224000000001</v>
      </c>
      <c r="Z15" s="517"/>
      <c r="AA15" s="534">
        <v>30759.91</v>
      </c>
      <c r="AB15" s="517">
        <f t="shared" si="53"/>
        <v>20.506606666666666</v>
      </c>
      <c r="AC15" s="517"/>
      <c r="AD15" s="534">
        <v>87477.440000000002</v>
      </c>
      <c r="AE15" s="517">
        <f t="shared" si="54"/>
        <v>51.457317647058822</v>
      </c>
      <c r="AF15" s="517"/>
      <c r="AG15" s="534">
        <v>0</v>
      </c>
      <c r="AH15" s="517">
        <f t="shared" si="38"/>
        <v>0</v>
      </c>
      <c r="AI15" s="517"/>
      <c r="AJ15" s="520">
        <v>63104.04</v>
      </c>
      <c r="AK15" s="517">
        <f t="shared" si="55"/>
        <v>37.12002352941176</v>
      </c>
      <c r="AL15" s="517"/>
      <c r="AM15" s="520">
        <v>37050.14</v>
      </c>
      <c r="AN15" s="517">
        <f t="shared" si="67"/>
        <v>27.444548148148147</v>
      </c>
      <c r="AO15" s="517"/>
      <c r="AP15" s="534">
        <v>0</v>
      </c>
      <c r="AQ15" s="517">
        <f t="shared" si="40"/>
        <v>0</v>
      </c>
      <c r="AR15" s="517"/>
      <c r="AS15" s="534">
        <v>87069.49</v>
      </c>
      <c r="AT15" s="517">
        <f t="shared" si="41"/>
        <v>56.173864516129036</v>
      </c>
      <c r="AU15" s="517"/>
      <c r="AV15" s="534"/>
      <c r="AW15" s="517">
        <f t="shared" si="42"/>
        <v>0</v>
      </c>
      <c r="AX15" s="517"/>
      <c r="AY15" s="534"/>
      <c r="AZ15" s="517">
        <f t="shared" si="43"/>
        <v>0</v>
      </c>
      <c r="BA15" s="517"/>
      <c r="BB15" s="463">
        <f t="shared" si="16"/>
        <v>551472.03</v>
      </c>
      <c r="BC15" s="464">
        <f t="shared" si="16"/>
        <v>375.88630884552043</v>
      </c>
      <c r="BD15" s="465">
        <f t="shared" si="16"/>
        <v>0</v>
      </c>
      <c r="BE15" s="466"/>
      <c r="BF15" s="467">
        <f t="shared" si="17"/>
        <v>375.88630884552043</v>
      </c>
      <c r="BG15" s="520">
        <v>28163.83</v>
      </c>
      <c r="BH15" s="517">
        <f t="shared" si="56"/>
        <v>18.170212903225806</v>
      </c>
      <c r="BI15" s="517"/>
      <c r="BJ15" s="534">
        <v>0</v>
      </c>
      <c r="BK15" s="517">
        <f t="shared" si="44"/>
        <v>0</v>
      </c>
      <c r="BL15" s="517"/>
      <c r="BM15" s="534">
        <v>37108.31</v>
      </c>
      <c r="BN15" s="517">
        <f t="shared" si="45"/>
        <v>25.591937931034483</v>
      </c>
      <c r="BO15" s="517"/>
      <c r="BP15" s="520">
        <v>42210.15</v>
      </c>
      <c r="BQ15" s="517">
        <f t="shared" si="57"/>
        <v>24.829500000000003</v>
      </c>
      <c r="BR15" s="517"/>
      <c r="BS15" s="534">
        <v>16489.21</v>
      </c>
      <c r="BT15" s="517">
        <f t="shared" si="58"/>
        <v>10.30575625</v>
      </c>
      <c r="BU15" s="520">
        <f t="shared" si="59"/>
        <v>4.69424375</v>
      </c>
      <c r="BV15" s="534">
        <v>37405.74</v>
      </c>
      <c r="BW15" s="517">
        <f t="shared" si="60"/>
        <v>24.132735483870967</v>
      </c>
      <c r="BX15" s="534"/>
      <c r="BY15" s="520">
        <v>8646.86</v>
      </c>
      <c r="BZ15" s="517">
        <f t="shared" si="61"/>
        <v>5.7645733333333338</v>
      </c>
      <c r="CA15" s="517">
        <f t="shared" si="62"/>
        <v>14.235426666666665</v>
      </c>
      <c r="CB15" s="534">
        <v>0</v>
      </c>
      <c r="CC15" s="517">
        <f t="shared" si="46"/>
        <v>0</v>
      </c>
      <c r="CD15" s="517"/>
      <c r="CE15" s="520">
        <v>44429.56</v>
      </c>
      <c r="CF15" s="517">
        <f t="shared" si="63"/>
        <v>28.664232258064516</v>
      </c>
      <c r="CG15" s="517"/>
      <c r="CH15" s="534">
        <v>0</v>
      </c>
      <c r="CI15" s="517">
        <f t="shared" si="47"/>
        <v>0</v>
      </c>
      <c r="CJ15" s="517"/>
      <c r="CK15" s="534">
        <v>0</v>
      </c>
      <c r="CL15" s="517">
        <f t="shared" si="48"/>
        <v>0</v>
      </c>
      <c r="CM15" s="517"/>
      <c r="CN15" s="534">
        <v>0</v>
      </c>
      <c r="CO15" s="517">
        <f t="shared" si="49"/>
        <v>0</v>
      </c>
      <c r="CP15" s="517"/>
      <c r="CQ15" s="534">
        <v>0</v>
      </c>
      <c r="CR15" s="517">
        <f t="shared" si="50"/>
        <v>0</v>
      </c>
      <c r="CS15" s="517"/>
      <c r="CT15" s="551">
        <f t="shared" si="51"/>
        <v>214453.65999999997</v>
      </c>
      <c r="CU15" s="552">
        <f t="shared" si="51"/>
        <v>137.45894815952909</v>
      </c>
      <c r="CV15" s="553">
        <f t="shared" si="31"/>
        <v>18.929670416666667</v>
      </c>
      <c r="CW15" s="466"/>
      <c r="CX15" s="554">
        <f t="shared" si="32"/>
        <v>156.38861857619577</v>
      </c>
      <c r="CY15" s="588">
        <f t="shared" si="33"/>
        <v>765925.69</v>
      </c>
      <c r="CZ15" s="589">
        <f t="shared" si="33"/>
        <v>513.34525700504946</v>
      </c>
      <c r="DA15" s="590">
        <f t="shared" si="33"/>
        <v>18.929670416666667</v>
      </c>
      <c r="DB15" s="591">
        <f t="shared" si="34"/>
        <v>532.27492742171614</v>
      </c>
      <c r="DC15" s="920" t="s">
        <v>737</v>
      </c>
    </row>
    <row r="16" spans="1:148" ht="15.75" x14ac:dyDescent="0.25">
      <c r="A16" s="721">
        <f t="shared" si="35"/>
        <v>10</v>
      </c>
      <c r="B16" s="926" t="s">
        <v>177</v>
      </c>
      <c r="C16" s="918" t="s">
        <v>704</v>
      </c>
      <c r="D16" s="848"/>
      <c r="E16" s="849"/>
      <c r="F16" s="534">
        <v>44451.46</v>
      </c>
      <c r="G16" s="517">
        <f t="shared" si="64"/>
        <v>32.927007407407409</v>
      </c>
      <c r="H16" s="543"/>
      <c r="I16" s="534">
        <v>39749.550000000003</v>
      </c>
      <c r="J16" s="517">
        <f t="shared" si="65"/>
        <v>27.413482758620692</v>
      </c>
      <c r="K16" s="543"/>
      <c r="L16" s="534">
        <v>5610.59</v>
      </c>
      <c r="M16" s="517">
        <f>+L16*0.0065/2</f>
        <v>18.234417499999999</v>
      </c>
      <c r="N16" s="514">
        <f>36.33-M16</f>
        <v>18.095582499999999</v>
      </c>
      <c r="O16" s="534">
        <v>0</v>
      </c>
      <c r="P16" s="517">
        <f>+O16*0.0065/2</f>
        <v>0</v>
      </c>
      <c r="Q16" s="543"/>
      <c r="R16" s="534">
        <v>57726.71</v>
      </c>
      <c r="S16" s="517">
        <f>+R16*0.02/28</f>
        <v>41.233364285714288</v>
      </c>
      <c r="T16" s="543"/>
      <c r="U16" s="534">
        <v>34380.17</v>
      </c>
      <c r="V16" s="517">
        <f t="shared" si="52"/>
        <v>21.487606249999999</v>
      </c>
      <c r="W16" s="543"/>
      <c r="X16" s="534">
        <v>29736.53</v>
      </c>
      <c r="Y16" s="517">
        <f>+X16*0.02/25</f>
        <v>23.789224000000001</v>
      </c>
      <c r="Z16" s="543"/>
      <c r="AA16" s="534">
        <v>30759.91</v>
      </c>
      <c r="AB16" s="517">
        <f t="shared" si="53"/>
        <v>20.506606666666666</v>
      </c>
      <c r="AC16" s="543"/>
      <c r="AD16" s="534">
        <v>87477.440000000002</v>
      </c>
      <c r="AE16" s="517">
        <f t="shared" si="54"/>
        <v>51.457317647058822</v>
      </c>
      <c r="AF16" s="543"/>
      <c r="AG16" s="516">
        <v>0</v>
      </c>
      <c r="AH16" s="517">
        <f>+AG16*0.0065/2</f>
        <v>0</v>
      </c>
      <c r="AI16" s="543"/>
      <c r="AJ16" s="520">
        <v>63104.04</v>
      </c>
      <c r="AK16" s="517">
        <f t="shared" si="55"/>
        <v>37.12002352941176</v>
      </c>
      <c r="AL16" s="543"/>
      <c r="AM16" s="520">
        <v>37050.14</v>
      </c>
      <c r="AN16" s="517">
        <f t="shared" si="67"/>
        <v>27.444548148148147</v>
      </c>
      <c r="AO16" s="543"/>
      <c r="AP16" s="534">
        <v>0</v>
      </c>
      <c r="AQ16" s="517">
        <f>+AP16*0.0065/2</f>
        <v>0</v>
      </c>
      <c r="AR16" s="543"/>
      <c r="AS16" s="534">
        <v>87069.49</v>
      </c>
      <c r="AT16" s="517">
        <f t="shared" si="41"/>
        <v>56.173864516129036</v>
      </c>
      <c r="AU16" s="543"/>
      <c r="AV16" s="516"/>
      <c r="AW16" s="517">
        <f>+AV16*0.0065/2</f>
        <v>0</v>
      </c>
      <c r="AX16" s="543"/>
      <c r="AY16" s="516"/>
      <c r="AZ16" s="517">
        <f>+AY16*0.0065/2</f>
        <v>0</v>
      </c>
      <c r="BA16" s="543"/>
      <c r="BB16" s="463">
        <f t="shared" si="16"/>
        <v>517116.02999999997</v>
      </c>
      <c r="BC16" s="464">
        <f t="shared" si="16"/>
        <v>357.78746270915684</v>
      </c>
      <c r="BD16" s="465">
        <f t="shared" si="16"/>
        <v>18.095582499999999</v>
      </c>
      <c r="BE16" s="466"/>
      <c r="BF16" s="467">
        <f t="shared" si="17"/>
        <v>375.88304520915682</v>
      </c>
      <c r="BG16" s="520">
        <v>28163.83</v>
      </c>
      <c r="BH16" s="517">
        <f t="shared" si="56"/>
        <v>18.170212903225806</v>
      </c>
      <c r="BI16" s="543"/>
      <c r="BJ16" s="534">
        <v>0</v>
      </c>
      <c r="BK16" s="517">
        <f>+BJ16*0.0065/2</f>
        <v>0</v>
      </c>
      <c r="BL16" s="543"/>
      <c r="BM16" s="534">
        <v>37108.31</v>
      </c>
      <c r="BN16" s="517">
        <f t="shared" si="45"/>
        <v>25.591937931034483</v>
      </c>
      <c r="BO16" s="543"/>
      <c r="BP16" s="520">
        <v>42210.15</v>
      </c>
      <c r="BQ16" s="517">
        <f t="shared" si="57"/>
        <v>24.829500000000003</v>
      </c>
      <c r="BR16" s="543"/>
      <c r="BS16" s="534">
        <v>16489.21</v>
      </c>
      <c r="BT16" s="517">
        <f t="shared" si="58"/>
        <v>10.30575625</v>
      </c>
      <c r="BU16" s="520">
        <f t="shared" si="59"/>
        <v>4.69424375</v>
      </c>
      <c r="BV16" s="534">
        <v>37405.74</v>
      </c>
      <c r="BW16" s="517">
        <f t="shared" si="60"/>
        <v>24.132735483870967</v>
      </c>
      <c r="BX16" s="516"/>
      <c r="BY16" s="520">
        <v>8646.86</v>
      </c>
      <c r="BZ16" s="517">
        <f t="shared" si="61"/>
        <v>5.7645733333333338</v>
      </c>
      <c r="CA16" s="517">
        <f t="shared" si="62"/>
        <v>14.235426666666665</v>
      </c>
      <c r="CB16" s="516">
        <v>0</v>
      </c>
      <c r="CC16" s="517">
        <f>+CB16*0.0065/2</f>
        <v>0</v>
      </c>
      <c r="CD16" s="543"/>
      <c r="CE16" s="520">
        <v>44429.56</v>
      </c>
      <c r="CF16" s="517">
        <f>+CE16*0.02/31</f>
        <v>28.664232258064516</v>
      </c>
      <c r="CG16" s="543"/>
      <c r="CH16" s="516">
        <v>0</v>
      </c>
      <c r="CI16" s="517">
        <f>+CH16*0.0065/2</f>
        <v>0</v>
      </c>
      <c r="CJ16" s="543"/>
      <c r="CK16" s="516">
        <v>0</v>
      </c>
      <c r="CL16" s="517">
        <f>+CK16*0.0065/2</f>
        <v>0</v>
      </c>
      <c r="CM16" s="543"/>
      <c r="CN16" s="534">
        <v>0</v>
      </c>
      <c r="CO16" s="517">
        <f>+CN16*0.0065/2</f>
        <v>0</v>
      </c>
      <c r="CP16" s="543"/>
      <c r="CQ16" s="534">
        <v>0</v>
      </c>
      <c r="CR16" s="517">
        <f>+CQ16*0.0065/2</f>
        <v>0</v>
      </c>
      <c r="CS16" s="543"/>
      <c r="CT16" s="551">
        <f t="shared" si="51"/>
        <v>214453.65999999997</v>
      </c>
      <c r="CU16" s="552">
        <f t="shared" si="51"/>
        <v>137.45894815952909</v>
      </c>
      <c r="CV16" s="553">
        <f t="shared" si="31"/>
        <v>18.929670416666667</v>
      </c>
      <c r="CW16" s="466"/>
      <c r="CX16" s="554">
        <f t="shared" si="32"/>
        <v>156.38861857619577</v>
      </c>
      <c r="CY16" s="588">
        <f t="shared" si="33"/>
        <v>731569.69</v>
      </c>
      <c r="CZ16" s="589">
        <f t="shared" si="33"/>
        <v>495.24641086868593</v>
      </c>
      <c r="DA16" s="590">
        <f t="shared" si="33"/>
        <v>37.025252916666666</v>
      </c>
      <c r="DB16" s="591">
        <f t="shared" si="34"/>
        <v>532.27166378535264</v>
      </c>
      <c r="DC16" s="920" t="s">
        <v>861</v>
      </c>
    </row>
    <row r="17" spans="1:170" ht="15.75" x14ac:dyDescent="0.25">
      <c r="A17" s="721">
        <f t="shared" si="35"/>
        <v>11</v>
      </c>
      <c r="B17" s="925" t="s">
        <v>266</v>
      </c>
      <c r="C17" s="918" t="s">
        <v>704</v>
      </c>
      <c r="D17" s="848"/>
      <c r="E17" s="860"/>
      <c r="F17" s="534">
        <v>44451.46</v>
      </c>
      <c r="G17" s="517">
        <f t="shared" si="64"/>
        <v>32.927007407407409</v>
      </c>
      <c r="H17" s="517"/>
      <c r="I17" s="534">
        <v>39749.550000000003</v>
      </c>
      <c r="J17" s="517">
        <f t="shared" si="65"/>
        <v>27.413482758620692</v>
      </c>
      <c r="K17" s="517"/>
      <c r="L17" s="534">
        <v>39966.589999999997</v>
      </c>
      <c r="M17" s="517">
        <f t="shared" si="66"/>
        <v>36.333263636363633</v>
      </c>
      <c r="N17" s="517"/>
      <c r="O17" s="534">
        <v>0</v>
      </c>
      <c r="P17" s="517">
        <f t="shared" ref="P17:P24" si="68">+O17*0.02/40</f>
        <v>0</v>
      </c>
      <c r="Q17" s="517"/>
      <c r="R17" s="534">
        <v>57726.71</v>
      </c>
      <c r="S17" s="517">
        <f t="shared" si="37"/>
        <v>41.233364285714288</v>
      </c>
      <c r="T17" s="517"/>
      <c r="U17" s="534">
        <v>34380.17</v>
      </c>
      <c r="V17" s="517">
        <f t="shared" si="52"/>
        <v>21.487606249999999</v>
      </c>
      <c r="W17" s="517"/>
      <c r="X17" s="534">
        <v>29736.53</v>
      </c>
      <c r="Y17" s="517">
        <f t="shared" ref="Y17:Y24" si="69">+X17*0.02/25</f>
        <v>23.789224000000001</v>
      </c>
      <c r="Z17" s="517"/>
      <c r="AA17" s="534">
        <v>30759.91</v>
      </c>
      <c r="AB17" s="517">
        <f t="shared" si="53"/>
        <v>20.506606666666666</v>
      </c>
      <c r="AC17" s="517"/>
      <c r="AD17" s="534">
        <v>87477.440000000002</v>
      </c>
      <c r="AE17" s="517">
        <f t="shared" si="54"/>
        <v>51.457317647058822</v>
      </c>
      <c r="AF17" s="517"/>
      <c r="AG17" s="534">
        <v>0</v>
      </c>
      <c r="AH17" s="517">
        <f t="shared" si="38"/>
        <v>0</v>
      </c>
      <c r="AI17" s="517"/>
      <c r="AJ17" s="520">
        <v>63104.04</v>
      </c>
      <c r="AK17" s="517">
        <f t="shared" si="55"/>
        <v>37.12002352941176</v>
      </c>
      <c r="AL17" s="517"/>
      <c r="AM17" s="520">
        <v>37050.14</v>
      </c>
      <c r="AN17" s="517">
        <f t="shared" si="67"/>
        <v>27.444548148148147</v>
      </c>
      <c r="AO17" s="517"/>
      <c r="AP17" s="534">
        <v>0</v>
      </c>
      <c r="AQ17" s="517">
        <f t="shared" si="40"/>
        <v>0</v>
      </c>
      <c r="AR17" s="517"/>
      <c r="AS17" s="534">
        <v>87069.49</v>
      </c>
      <c r="AT17" s="517">
        <f t="shared" si="41"/>
        <v>56.173864516129036</v>
      </c>
      <c r="AU17" s="517"/>
      <c r="AV17" s="534"/>
      <c r="AW17" s="517">
        <f t="shared" si="42"/>
        <v>0</v>
      </c>
      <c r="AX17" s="517"/>
      <c r="AY17" s="534"/>
      <c r="AZ17" s="517">
        <f t="shared" si="43"/>
        <v>0</v>
      </c>
      <c r="BA17" s="517"/>
      <c r="BB17" s="463">
        <f t="shared" si="16"/>
        <v>551472.03</v>
      </c>
      <c r="BC17" s="464">
        <f t="shared" si="16"/>
        <v>375.88630884552043</v>
      </c>
      <c r="BD17" s="465">
        <f t="shared" si="16"/>
        <v>0</v>
      </c>
      <c r="BE17" s="466"/>
      <c r="BF17" s="467">
        <f t="shared" si="17"/>
        <v>375.88630884552043</v>
      </c>
      <c r="BG17" s="520">
        <v>28163.83</v>
      </c>
      <c r="BH17" s="517">
        <f t="shared" si="56"/>
        <v>18.170212903225806</v>
      </c>
      <c r="BI17" s="517"/>
      <c r="BJ17" s="534">
        <v>0</v>
      </c>
      <c r="BK17" s="517">
        <f t="shared" si="44"/>
        <v>0</v>
      </c>
      <c r="BL17" s="517"/>
      <c r="BM17" s="534">
        <v>37108.31</v>
      </c>
      <c r="BN17" s="517">
        <f t="shared" si="45"/>
        <v>25.591937931034483</v>
      </c>
      <c r="BO17" s="517"/>
      <c r="BP17" s="520">
        <v>42210.15</v>
      </c>
      <c r="BQ17" s="517">
        <f t="shared" si="57"/>
        <v>24.829500000000003</v>
      </c>
      <c r="BR17" s="517"/>
      <c r="BS17" s="534">
        <v>16489.21</v>
      </c>
      <c r="BT17" s="517">
        <f t="shared" si="58"/>
        <v>10.30575625</v>
      </c>
      <c r="BU17" s="520">
        <f t="shared" si="59"/>
        <v>4.69424375</v>
      </c>
      <c r="BV17" s="534">
        <v>37405.74</v>
      </c>
      <c r="BW17" s="517">
        <f t="shared" si="60"/>
        <v>24.132735483870967</v>
      </c>
      <c r="BX17" s="534"/>
      <c r="BY17" s="520">
        <v>8646.86</v>
      </c>
      <c r="BZ17" s="517">
        <f t="shared" si="61"/>
        <v>5.7645733333333338</v>
      </c>
      <c r="CA17" s="517">
        <f t="shared" si="62"/>
        <v>14.235426666666665</v>
      </c>
      <c r="CB17" s="534">
        <v>0</v>
      </c>
      <c r="CC17" s="517">
        <f t="shared" si="46"/>
        <v>0</v>
      </c>
      <c r="CD17" s="517"/>
      <c r="CE17" s="520">
        <v>44429.56</v>
      </c>
      <c r="CF17" s="517">
        <f t="shared" si="63"/>
        <v>28.664232258064516</v>
      </c>
      <c r="CG17" s="517"/>
      <c r="CH17" s="534">
        <v>0</v>
      </c>
      <c r="CI17" s="517">
        <f t="shared" si="47"/>
        <v>0</v>
      </c>
      <c r="CJ17" s="517"/>
      <c r="CK17" s="534">
        <v>0</v>
      </c>
      <c r="CL17" s="517">
        <f t="shared" si="48"/>
        <v>0</v>
      </c>
      <c r="CM17" s="517"/>
      <c r="CN17" s="534">
        <v>0</v>
      </c>
      <c r="CO17" s="517">
        <f t="shared" si="49"/>
        <v>0</v>
      </c>
      <c r="CP17" s="517"/>
      <c r="CQ17" s="534">
        <v>0</v>
      </c>
      <c r="CR17" s="517">
        <f t="shared" si="50"/>
        <v>0</v>
      </c>
      <c r="CS17" s="517"/>
      <c r="CT17" s="551">
        <f t="shared" si="51"/>
        <v>214453.65999999997</v>
      </c>
      <c r="CU17" s="552">
        <f t="shared" si="51"/>
        <v>137.45894815952909</v>
      </c>
      <c r="CV17" s="553">
        <f t="shared" si="31"/>
        <v>18.929670416666667</v>
      </c>
      <c r="CW17" s="466"/>
      <c r="CX17" s="554">
        <f t="shared" si="32"/>
        <v>156.38861857619577</v>
      </c>
      <c r="CY17" s="588">
        <f t="shared" si="33"/>
        <v>765925.69</v>
      </c>
      <c r="CZ17" s="589">
        <f t="shared" si="33"/>
        <v>513.34525700504946</v>
      </c>
      <c r="DA17" s="590">
        <f t="shared" si="33"/>
        <v>18.929670416666667</v>
      </c>
      <c r="DB17" s="591">
        <f t="shared" si="34"/>
        <v>532.27492742171614</v>
      </c>
      <c r="DC17" s="920" t="s">
        <v>862</v>
      </c>
      <c r="EX17" s="535"/>
      <c r="EY17" s="535"/>
      <c r="EZ17" s="535"/>
      <c r="FA17" s="535"/>
      <c r="FB17" s="535"/>
      <c r="FC17" s="535"/>
      <c r="FD17" s="535"/>
      <c r="FE17" s="535"/>
      <c r="FF17" s="535"/>
      <c r="FG17" s="535"/>
      <c r="FH17" s="535"/>
      <c r="FI17" s="535"/>
      <c r="FJ17" s="535"/>
      <c r="FK17" s="535"/>
      <c r="FL17" s="535"/>
      <c r="FM17" s="535"/>
      <c r="FN17" s="535"/>
    </row>
    <row r="18" spans="1:170" ht="15.75" x14ac:dyDescent="0.25">
      <c r="A18" s="721">
        <f t="shared" si="35"/>
        <v>12</v>
      </c>
      <c r="B18" s="1106" t="s">
        <v>194</v>
      </c>
      <c r="C18" s="918" t="s">
        <v>704</v>
      </c>
      <c r="D18" s="848"/>
      <c r="E18" s="860"/>
      <c r="F18" s="534">
        <v>44451.46</v>
      </c>
      <c r="G18" s="517">
        <f t="shared" si="64"/>
        <v>32.927007407407409</v>
      </c>
      <c r="H18" s="517"/>
      <c r="I18" s="534">
        <v>39749.550000000003</v>
      </c>
      <c r="J18" s="517">
        <f t="shared" si="65"/>
        <v>27.413482758620692</v>
      </c>
      <c r="K18" s="517"/>
      <c r="L18" s="534">
        <v>39966.589999999997</v>
      </c>
      <c r="M18" s="517">
        <f t="shared" si="66"/>
        <v>36.333263636363633</v>
      </c>
      <c r="N18" s="517"/>
      <c r="O18" s="534">
        <v>0</v>
      </c>
      <c r="P18" s="517">
        <f t="shared" si="68"/>
        <v>0</v>
      </c>
      <c r="Q18" s="517"/>
      <c r="R18" s="534">
        <v>57726.71</v>
      </c>
      <c r="S18" s="517">
        <f t="shared" si="37"/>
        <v>41.233364285714288</v>
      </c>
      <c r="T18" s="517"/>
      <c r="U18" s="534">
        <v>34380.17</v>
      </c>
      <c r="V18" s="517">
        <f t="shared" si="52"/>
        <v>21.487606249999999</v>
      </c>
      <c r="W18" s="517"/>
      <c r="X18" s="534">
        <v>29736.53</v>
      </c>
      <c r="Y18" s="517">
        <f t="shared" si="69"/>
        <v>23.789224000000001</v>
      </c>
      <c r="Z18" s="517"/>
      <c r="AA18" s="534">
        <v>30759.91</v>
      </c>
      <c r="AB18" s="517">
        <f t="shared" si="53"/>
        <v>20.506606666666666</v>
      </c>
      <c r="AC18" s="517"/>
      <c r="AD18" s="534">
        <v>87477.440000000002</v>
      </c>
      <c r="AE18" s="517">
        <f t="shared" si="54"/>
        <v>51.457317647058822</v>
      </c>
      <c r="AF18" s="517"/>
      <c r="AG18" s="534">
        <v>0</v>
      </c>
      <c r="AH18" s="517">
        <f t="shared" si="38"/>
        <v>0</v>
      </c>
      <c r="AI18" s="517"/>
      <c r="AJ18" s="520">
        <v>63104.04</v>
      </c>
      <c r="AK18" s="517">
        <f t="shared" si="55"/>
        <v>37.12002352941176</v>
      </c>
      <c r="AL18" s="517"/>
      <c r="AM18" s="520">
        <v>37050.14</v>
      </c>
      <c r="AN18" s="517">
        <f t="shared" si="67"/>
        <v>27.444548148148147</v>
      </c>
      <c r="AO18" s="517"/>
      <c r="AP18" s="534">
        <v>0</v>
      </c>
      <c r="AQ18" s="517">
        <f t="shared" si="40"/>
        <v>0</v>
      </c>
      <c r="AR18" s="517"/>
      <c r="AS18" s="534">
        <v>87069.49</v>
      </c>
      <c r="AT18" s="517">
        <f t="shared" si="41"/>
        <v>56.173864516129036</v>
      </c>
      <c r="AU18" s="517"/>
      <c r="AV18" s="534"/>
      <c r="AW18" s="517">
        <f t="shared" si="42"/>
        <v>0</v>
      </c>
      <c r="AX18" s="517"/>
      <c r="AY18" s="534"/>
      <c r="AZ18" s="517">
        <f t="shared" si="43"/>
        <v>0</v>
      </c>
      <c r="BA18" s="517"/>
      <c r="BB18" s="463">
        <f t="shared" si="16"/>
        <v>551472.03</v>
      </c>
      <c r="BC18" s="464">
        <f t="shared" si="16"/>
        <v>375.88630884552043</v>
      </c>
      <c r="BD18" s="465">
        <f t="shared" si="16"/>
        <v>0</v>
      </c>
      <c r="BE18" s="466"/>
      <c r="BF18" s="467">
        <f t="shared" si="17"/>
        <v>375.88630884552043</v>
      </c>
      <c r="BG18" s="520">
        <v>28163.83</v>
      </c>
      <c r="BH18" s="517">
        <f t="shared" si="56"/>
        <v>18.170212903225806</v>
      </c>
      <c r="BI18" s="517"/>
      <c r="BJ18" s="534">
        <v>0</v>
      </c>
      <c r="BK18" s="517">
        <f t="shared" si="44"/>
        <v>0</v>
      </c>
      <c r="BL18" s="517"/>
      <c r="BM18" s="534">
        <v>37108.31</v>
      </c>
      <c r="BN18" s="517">
        <f t="shared" si="45"/>
        <v>25.591937931034483</v>
      </c>
      <c r="BO18" s="517"/>
      <c r="BP18" s="520">
        <v>42210.15</v>
      </c>
      <c r="BQ18" s="517">
        <f t="shared" si="57"/>
        <v>24.829500000000003</v>
      </c>
      <c r="BR18" s="517"/>
      <c r="BS18" s="534">
        <v>16489.21</v>
      </c>
      <c r="BT18" s="517">
        <f t="shared" si="58"/>
        <v>10.30575625</v>
      </c>
      <c r="BU18" s="520">
        <f t="shared" si="59"/>
        <v>4.69424375</v>
      </c>
      <c r="BV18" s="534">
        <v>37405.74</v>
      </c>
      <c r="BW18" s="517">
        <f t="shared" si="60"/>
        <v>24.132735483870967</v>
      </c>
      <c r="BX18" s="534"/>
      <c r="BY18" s="520">
        <v>8646.86</v>
      </c>
      <c r="BZ18" s="517">
        <f t="shared" si="61"/>
        <v>5.7645733333333338</v>
      </c>
      <c r="CA18" s="517">
        <f t="shared" si="62"/>
        <v>14.235426666666665</v>
      </c>
      <c r="CB18" s="534">
        <v>0</v>
      </c>
      <c r="CC18" s="517">
        <f t="shared" si="46"/>
        <v>0</v>
      </c>
      <c r="CD18" s="517"/>
      <c r="CE18" s="520">
        <v>44429.56</v>
      </c>
      <c r="CF18" s="517">
        <f t="shared" si="63"/>
        <v>28.664232258064516</v>
      </c>
      <c r="CG18" s="517"/>
      <c r="CH18" s="534">
        <v>0</v>
      </c>
      <c r="CI18" s="517">
        <f t="shared" si="47"/>
        <v>0</v>
      </c>
      <c r="CJ18" s="517"/>
      <c r="CK18" s="534">
        <v>0</v>
      </c>
      <c r="CL18" s="517">
        <f t="shared" si="48"/>
        <v>0</v>
      </c>
      <c r="CM18" s="517"/>
      <c r="CN18" s="534">
        <v>0</v>
      </c>
      <c r="CO18" s="517">
        <f t="shared" si="49"/>
        <v>0</v>
      </c>
      <c r="CP18" s="517"/>
      <c r="CQ18" s="534">
        <v>0</v>
      </c>
      <c r="CR18" s="517">
        <f t="shared" si="50"/>
        <v>0</v>
      </c>
      <c r="CS18" s="517"/>
      <c r="CT18" s="551">
        <f t="shared" si="51"/>
        <v>214453.65999999997</v>
      </c>
      <c r="CU18" s="552">
        <f t="shared" si="51"/>
        <v>137.45894815952909</v>
      </c>
      <c r="CV18" s="553">
        <f t="shared" si="31"/>
        <v>18.929670416666667</v>
      </c>
      <c r="CW18" s="466"/>
      <c r="CX18" s="554">
        <f t="shared" si="32"/>
        <v>156.38861857619577</v>
      </c>
      <c r="CY18" s="588">
        <f t="shared" si="33"/>
        <v>765925.69</v>
      </c>
      <c r="CZ18" s="589">
        <f t="shared" si="33"/>
        <v>513.34525700504946</v>
      </c>
      <c r="DA18" s="590">
        <f t="shared" si="33"/>
        <v>18.929670416666667</v>
      </c>
      <c r="DB18" s="591">
        <f t="shared" si="34"/>
        <v>532.27492742171614</v>
      </c>
      <c r="DC18" s="920" t="s">
        <v>737</v>
      </c>
      <c r="DE18" s="1074"/>
    </row>
    <row r="19" spans="1:170" ht="15.75" x14ac:dyDescent="0.25">
      <c r="A19" s="721">
        <f t="shared" si="35"/>
        <v>13</v>
      </c>
      <c r="B19" s="1107" t="s">
        <v>171</v>
      </c>
      <c r="C19" s="918" t="s">
        <v>704</v>
      </c>
      <c r="D19" s="848"/>
      <c r="E19" s="849"/>
      <c r="F19" s="534">
        <v>44451.46</v>
      </c>
      <c r="G19" s="517">
        <f>+F19*0.02/27</f>
        <v>32.927007407407409</v>
      </c>
      <c r="H19" s="517"/>
      <c r="I19" s="534">
        <v>39749.550000000003</v>
      </c>
      <c r="J19" s="517">
        <f>+I19*0.02/29</f>
        <v>27.413482758620692</v>
      </c>
      <c r="K19" s="517"/>
      <c r="L19" s="534">
        <v>16898</v>
      </c>
      <c r="M19" s="517">
        <f>+L19*0.02/6</f>
        <v>56.326666666666661</v>
      </c>
      <c r="N19" s="517"/>
      <c r="O19" s="534">
        <v>0</v>
      </c>
      <c r="P19" s="517">
        <f>+O19*0.02/40</f>
        <v>0</v>
      </c>
      <c r="Q19" s="517"/>
      <c r="R19" s="534">
        <v>57726.71</v>
      </c>
      <c r="S19" s="517">
        <f t="shared" si="37"/>
        <v>41.233364285714288</v>
      </c>
      <c r="T19" s="517"/>
      <c r="U19" s="534">
        <v>34380.17</v>
      </c>
      <c r="V19" s="517">
        <f>+U19*0.02/32</f>
        <v>21.487606249999999</v>
      </c>
      <c r="W19" s="517"/>
      <c r="X19" s="534">
        <v>29736.53</v>
      </c>
      <c r="Y19" s="517">
        <f>+X19*0.02/25</f>
        <v>23.789224000000001</v>
      </c>
      <c r="Z19" s="517"/>
      <c r="AA19" s="534">
        <v>30759.91</v>
      </c>
      <c r="AB19" s="517">
        <f>+AA19*0.02/30</f>
        <v>20.506606666666666</v>
      </c>
      <c r="AC19" s="517"/>
      <c r="AD19" s="534">
        <v>87477.440000000002</v>
      </c>
      <c r="AE19" s="517">
        <f>+AD19*0.02/34</f>
        <v>51.457317647058822</v>
      </c>
      <c r="AF19" s="517"/>
      <c r="AG19" s="534">
        <v>0</v>
      </c>
      <c r="AH19" s="517">
        <f>+AG19*0.02/40</f>
        <v>0</v>
      </c>
      <c r="AI19" s="517"/>
      <c r="AJ19" s="520">
        <v>63104.04</v>
      </c>
      <c r="AK19" s="517">
        <f>+AJ19*0.02/34</f>
        <v>37.12002352941176</v>
      </c>
      <c r="AL19" s="517"/>
      <c r="AM19" s="520">
        <v>37050.14</v>
      </c>
      <c r="AN19" s="517">
        <f t="shared" si="67"/>
        <v>27.444548148148147</v>
      </c>
      <c r="AO19" s="517"/>
      <c r="AP19" s="534">
        <v>0</v>
      </c>
      <c r="AQ19" s="517">
        <f>+AP19*0.02/40</f>
        <v>0</v>
      </c>
      <c r="AR19" s="517"/>
      <c r="AS19" s="534">
        <v>87069.49</v>
      </c>
      <c r="AT19" s="517">
        <f t="shared" si="41"/>
        <v>56.173864516129036</v>
      </c>
      <c r="AU19" s="517"/>
      <c r="AV19" s="534"/>
      <c r="AW19" s="517">
        <f>+AV19*0.02/40</f>
        <v>0</v>
      </c>
      <c r="AX19" s="517"/>
      <c r="AY19" s="534"/>
      <c r="AZ19" s="517">
        <f>+AY19*0.02/40</f>
        <v>0</v>
      </c>
      <c r="BA19" s="517"/>
      <c r="BB19" s="463">
        <f>+F19+I19+L19+O19+R19+U19+X19+AA19+AD19+AG19+AJ19+AM19+AP19+AS19+AV19+AY19</f>
        <v>528403.44000000006</v>
      </c>
      <c r="BC19" s="464">
        <f>+G19+J19+M19+P19+S19+V19+Y19+AB19+AE19+AH19+AK19+AN19+AQ19+AT19+AW19+AZ19</f>
        <v>395.87971187582343</v>
      </c>
      <c r="BD19" s="465">
        <f>+H19+K19+N19+Q19+T19+W19+Z19+AC19+AF19+AI19+AL19+AO19+AR19+AU19+AX19+BA19</f>
        <v>0</v>
      </c>
      <c r="BE19" s="466"/>
      <c r="BF19" s="467">
        <f>+BC19+BD19-BE19</f>
        <v>395.87971187582343</v>
      </c>
      <c r="BG19" s="520">
        <v>28163.83</v>
      </c>
      <c r="BH19" s="517">
        <f>+BG19*0.02/31</f>
        <v>18.170212903225806</v>
      </c>
      <c r="BI19" s="517"/>
      <c r="BJ19" s="534">
        <v>0</v>
      </c>
      <c r="BK19" s="517">
        <f>+BJ19*0.02/40</f>
        <v>0</v>
      </c>
      <c r="BL19" s="517"/>
      <c r="BM19" s="534">
        <v>13678</v>
      </c>
      <c r="BN19" s="517">
        <f>+BM19*0.02/6</f>
        <v>45.593333333333334</v>
      </c>
      <c r="BO19" s="517"/>
      <c r="BP19" s="520">
        <v>42210.15</v>
      </c>
      <c r="BQ19" s="517">
        <f>+BP19*0.02/34</f>
        <v>24.829500000000003</v>
      </c>
      <c r="BR19" s="517"/>
      <c r="BS19" s="534">
        <v>16489.21</v>
      </c>
      <c r="BT19" s="517">
        <f>+BS19*0.02/32</f>
        <v>10.30575625</v>
      </c>
      <c r="BU19" s="520">
        <f>15-BT19</f>
        <v>4.69424375</v>
      </c>
      <c r="BV19" s="534">
        <v>37405.74</v>
      </c>
      <c r="BW19" s="517">
        <f>+BV19*0.02/31</f>
        <v>24.132735483870967</v>
      </c>
      <c r="BX19" s="534"/>
      <c r="BY19" s="520">
        <v>8646.86</v>
      </c>
      <c r="BZ19" s="517">
        <f>+BY19*0.02/30</f>
        <v>5.7645733333333338</v>
      </c>
      <c r="CA19" s="517">
        <f>20-BZ19</f>
        <v>14.235426666666665</v>
      </c>
      <c r="CB19" s="534">
        <v>0</v>
      </c>
      <c r="CC19" s="517">
        <f>+CB19*0.02/40</f>
        <v>0</v>
      </c>
      <c r="CD19" s="517"/>
      <c r="CE19" s="520">
        <v>44429.56</v>
      </c>
      <c r="CF19" s="517">
        <f>+CE19*0.02/31</f>
        <v>28.664232258064516</v>
      </c>
      <c r="CG19" s="517"/>
      <c r="CH19" s="534">
        <v>0</v>
      </c>
      <c r="CI19" s="517">
        <f>+CH19*0.02/40</f>
        <v>0</v>
      </c>
      <c r="CJ19" s="517"/>
      <c r="CK19" s="534">
        <v>0</v>
      </c>
      <c r="CL19" s="517">
        <f>+CK19*0.02/40</f>
        <v>0</v>
      </c>
      <c r="CM19" s="517"/>
      <c r="CN19" s="534">
        <v>0</v>
      </c>
      <c r="CO19" s="517">
        <f>+CN19*0.02/40</f>
        <v>0</v>
      </c>
      <c r="CP19" s="517"/>
      <c r="CQ19" s="534">
        <v>0</v>
      </c>
      <c r="CR19" s="517">
        <f>+CQ19*0.02/40</f>
        <v>0</v>
      </c>
      <c r="CS19" s="517"/>
      <c r="CT19" s="551">
        <f>BG19+BJ19+BM19+BP19+BS19+BV19+BY19+CB19+CH19+CK19+CN19+CQ19+CE19</f>
        <v>191023.34999999998</v>
      </c>
      <c r="CU19" s="552">
        <f>BH19+BK19+BN19+BQ19+BT19+BW19+BZ19+CC19+CI19+CL19+CO19+CR19+CF19</f>
        <v>157.46034356182795</v>
      </c>
      <c r="CV19" s="553">
        <f>+BI19+BL19+BO19+BR19+BU19+BX19+CA19+CD19+CG19+CJ19+CM19+CP19+CS19</f>
        <v>18.929670416666667</v>
      </c>
      <c r="CW19" s="466"/>
      <c r="CX19" s="554">
        <f>+CU19+CV19-CW19</f>
        <v>176.39001397849461</v>
      </c>
      <c r="CY19" s="588">
        <f>+BB19+CT19</f>
        <v>719426.79</v>
      </c>
      <c r="CZ19" s="589">
        <f>+BC19+CU19</f>
        <v>553.34005543765136</v>
      </c>
      <c r="DA19" s="590">
        <f>+BD19+CV19</f>
        <v>18.929670416666667</v>
      </c>
      <c r="DB19" s="591">
        <f>+CZ19+DA19</f>
        <v>572.26972585431804</v>
      </c>
      <c r="DC19" s="920" t="s">
        <v>737</v>
      </c>
    </row>
    <row r="20" spans="1:170" ht="15.75" x14ac:dyDescent="0.25">
      <c r="A20" s="721">
        <f t="shared" si="35"/>
        <v>14</v>
      </c>
      <c r="B20" s="1106" t="s">
        <v>168</v>
      </c>
      <c r="C20" s="918" t="s">
        <v>704</v>
      </c>
      <c r="D20" s="848"/>
      <c r="E20" s="849"/>
      <c r="F20" s="534">
        <v>0</v>
      </c>
      <c r="G20" s="517">
        <f>+F20*0.02/40</f>
        <v>0</v>
      </c>
      <c r="H20" s="517">
        <v>20</v>
      </c>
      <c r="I20" s="534">
        <v>0</v>
      </c>
      <c r="J20" s="517">
        <f>+I20*0.02/40</f>
        <v>0</v>
      </c>
      <c r="K20" s="517">
        <v>20</v>
      </c>
      <c r="L20" s="534">
        <v>0</v>
      </c>
      <c r="M20" s="517">
        <f>+L20*0.02/40</f>
        <v>0</v>
      </c>
      <c r="N20" s="517">
        <v>20</v>
      </c>
      <c r="O20" s="534">
        <v>0</v>
      </c>
      <c r="P20" s="517">
        <f t="shared" si="68"/>
        <v>0</v>
      </c>
      <c r="Q20" s="517">
        <v>20</v>
      </c>
      <c r="R20" s="534">
        <v>57726.71</v>
      </c>
      <c r="S20" s="517">
        <f t="shared" si="37"/>
        <v>41.233364285714288</v>
      </c>
      <c r="T20" s="517"/>
      <c r="U20" s="534">
        <v>34380.17</v>
      </c>
      <c r="V20" s="517">
        <f t="shared" si="52"/>
        <v>21.487606249999999</v>
      </c>
      <c r="W20" s="517"/>
      <c r="X20" s="534">
        <v>0</v>
      </c>
      <c r="Y20" s="517">
        <f t="shared" si="69"/>
        <v>0</v>
      </c>
      <c r="Z20" s="517">
        <v>20</v>
      </c>
      <c r="AA20" s="534">
        <v>30759.91</v>
      </c>
      <c r="AB20" s="517">
        <f t="shared" si="53"/>
        <v>20.506606666666666</v>
      </c>
      <c r="AC20" s="517"/>
      <c r="AD20" s="534">
        <v>87477.440000000002</v>
      </c>
      <c r="AE20" s="517">
        <f t="shared" si="54"/>
        <v>51.457317647058822</v>
      </c>
      <c r="AF20" s="517"/>
      <c r="AG20" s="534">
        <v>0</v>
      </c>
      <c r="AH20" s="517">
        <f t="shared" si="38"/>
        <v>0</v>
      </c>
      <c r="AI20" s="517"/>
      <c r="AJ20" s="520">
        <v>63104.04</v>
      </c>
      <c r="AK20" s="517">
        <f t="shared" si="55"/>
        <v>37.12002352941176</v>
      </c>
      <c r="AL20" s="517"/>
      <c r="AM20" s="520">
        <v>37050.14</v>
      </c>
      <c r="AN20" s="517">
        <f t="shared" si="67"/>
        <v>27.444548148148147</v>
      </c>
      <c r="AO20" s="517"/>
      <c r="AP20" s="534">
        <v>0</v>
      </c>
      <c r="AQ20" s="517">
        <f t="shared" si="40"/>
        <v>0</v>
      </c>
      <c r="AR20" s="517">
        <v>20</v>
      </c>
      <c r="AS20" s="534">
        <v>0</v>
      </c>
      <c r="AT20" s="517">
        <f>+AS20*0.02/40</f>
        <v>0</v>
      </c>
      <c r="AU20" s="517"/>
      <c r="AV20" s="534"/>
      <c r="AW20" s="517">
        <f t="shared" si="42"/>
        <v>0</v>
      </c>
      <c r="AX20" s="517"/>
      <c r="AY20" s="534"/>
      <c r="AZ20" s="517">
        <f t="shared" si="43"/>
        <v>0</v>
      </c>
      <c r="BA20" s="517"/>
      <c r="BB20" s="463">
        <f t="shared" si="16"/>
        <v>310498.41000000003</v>
      </c>
      <c r="BC20" s="464">
        <f t="shared" si="16"/>
        <v>199.2494665269997</v>
      </c>
      <c r="BD20" s="465">
        <f t="shared" si="16"/>
        <v>120</v>
      </c>
      <c r="BE20" s="466"/>
      <c r="BF20" s="467">
        <f t="shared" si="17"/>
        <v>319.2494665269997</v>
      </c>
      <c r="BG20" s="520">
        <v>28163.83</v>
      </c>
      <c r="BH20" s="517">
        <f t="shared" si="56"/>
        <v>18.170212903225806</v>
      </c>
      <c r="BI20" s="517"/>
      <c r="BJ20" s="534">
        <v>0</v>
      </c>
      <c r="BK20" s="517">
        <f t="shared" si="44"/>
        <v>0</v>
      </c>
      <c r="BL20" s="517"/>
      <c r="BM20" s="534">
        <v>37108.31</v>
      </c>
      <c r="BN20" s="517">
        <f>+BM20*0.02/29</f>
        <v>25.591937931034483</v>
      </c>
      <c r="BO20" s="517"/>
      <c r="BP20" s="520">
        <v>42210.15</v>
      </c>
      <c r="BQ20" s="517">
        <f t="shared" si="57"/>
        <v>24.829500000000003</v>
      </c>
      <c r="BR20" s="517"/>
      <c r="BS20" s="534">
        <v>16489.21</v>
      </c>
      <c r="BT20" s="517">
        <f t="shared" si="58"/>
        <v>10.30575625</v>
      </c>
      <c r="BU20" s="520">
        <f t="shared" si="59"/>
        <v>4.69424375</v>
      </c>
      <c r="BV20" s="534">
        <v>37405.74</v>
      </c>
      <c r="BW20" s="517">
        <f t="shared" si="60"/>
        <v>24.132735483870967</v>
      </c>
      <c r="BX20" s="534"/>
      <c r="BY20" s="520">
        <v>8646.86</v>
      </c>
      <c r="BZ20" s="517">
        <f t="shared" si="61"/>
        <v>5.7645733333333338</v>
      </c>
      <c r="CA20" s="517">
        <f t="shared" si="62"/>
        <v>14.235426666666665</v>
      </c>
      <c r="CB20" s="534">
        <v>0</v>
      </c>
      <c r="CC20" s="517">
        <f t="shared" si="46"/>
        <v>0</v>
      </c>
      <c r="CD20" s="517"/>
      <c r="CE20" s="520">
        <v>44429.56</v>
      </c>
      <c r="CF20" s="517">
        <f t="shared" si="63"/>
        <v>28.664232258064516</v>
      </c>
      <c r="CG20" s="517"/>
      <c r="CH20" s="534">
        <v>0</v>
      </c>
      <c r="CI20" s="517">
        <f t="shared" si="47"/>
        <v>0</v>
      </c>
      <c r="CJ20" s="517"/>
      <c r="CK20" s="534">
        <v>0</v>
      </c>
      <c r="CL20" s="517">
        <f t="shared" si="48"/>
        <v>0</v>
      </c>
      <c r="CM20" s="517"/>
      <c r="CN20" s="534">
        <v>0</v>
      </c>
      <c r="CO20" s="517">
        <f t="shared" si="49"/>
        <v>0</v>
      </c>
      <c r="CP20" s="517"/>
      <c r="CQ20" s="534">
        <v>0</v>
      </c>
      <c r="CR20" s="517">
        <f t="shared" si="50"/>
        <v>0</v>
      </c>
      <c r="CS20" s="517"/>
      <c r="CT20" s="551">
        <f t="shared" si="51"/>
        <v>214453.65999999997</v>
      </c>
      <c r="CU20" s="552">
        <f t="shared" si="51"/>
        <v>137.45894815952909</v>
      </c>
      <c r="CV20" s="553">
        <f t="shared" si="31"/>
        <v>18.929670416666667</v>
      </c>
      <c r="CW20" s="466"/>
      <c r="CX20" s="554">
        <f t="shared" si="32"/>
        <v>156.38861857619577</v>
      </c>
      <c r="CY20" s="588">
        <f t="shared" si="33"/>
        <v>524952.07000000007</v>
      </c>
      <c r="CZ20" s="589">
        <f t="shared" si="33"/>
        <v>336.70841468652878</v>
      </c>
      <c r="DA20" s="590">
        <f t="shared" si="33"/>
        <v>138.92967041666668</v>
      </c>
      <c r="DB20" s="591">
        <f t="shared" si="34"/>
        <v>475.63808510319546</v>
      </c>
      <c r="DC20" s="920" t="s">
        <v>744</v>
      </c>
    </row>
    <row r="21" spans="1:170" ht="15.75" x14ac:dyDescent="0.25">
      <c r="A21" s="721">
        <f t="shared" si="35"/>
        <v>15</v>
      </c>
      <c r="B21" s="925" t="s">
        <v>190</v>
      </c>
      <c r="C21" s="918" t="s">
        <v>704</v>
      </c>
      <c r="D21" s="848"/>
      <c r="E21" s="860"/>
      <c r="F21" s="534">
        <v>44451.46</v>
      </c>
      <c r="G21" s="517">
        <f>+F21*0.02/27</f>
        <v>32.927007407407409</v>
      </c>
      <c r="H21" s="517"/>
      <c r="I21" s="534">
        <v>39749.550000000003</v>
      </c>
      <c r="J21" s="517">
        <f>+I21*0.02/29</f>
        <v>27.413482758620692</v>
      </c>
      <c r="K21" s="517"/>
      <c r="L21" s="534">
        <v>39966.589999999997</v>
      </c>
      <c r="M21" s="517">
        <f>+L21*0.02/22</f>
        <v>36.333263636363633</v>
      </c>
      <c r="N21" s="517"/>
      <c r="O21" s="534">
        <v>0</v>
      </c>
      <c r="P21" s="517">
        <f t="shared" si="68"/>
        <v>0</v>
      </c>
      <c r="Q21" s="517"/>
      <c r="R21" s="534">
        <v>57726.71</v>
      </c>
      <c r="S21" s="517">
        <f t="shared" si="37"/>
        <v>41.233364285714288</v>
      </c>
      <c r="T21" s="517"/>
      <c r="U21" s="534">
        <v>34380.17</v>
      </c>
      <c r="V21" s="517">
        <f t="shared" si="52"/>
        <v>21.487606249999999</v>
      </c>
      <c r="W21" s="517"/>
      <c r="X21" s="534">
        <v>29736.53</v>
      </c>
      <c r="Y21" s="517">
        <f t="shared" si="69"/>
        <v>23.789224000000001</v>
      </c>
      <c r="Z21" s="517"/>
      <c r="AA21" s="534">
        <v>30759.91</v>
      </c>
      <c r="AB21" s="517">
        <f t="shared" si="53"/>
        <v>20.506606666666666</v>
      </c>
      <c r="AC21" s="517"/>
      <c r="AD21" s="534">
        <v>87477.440000000002</v>
      </c>
      <c r="AE21" s="517">
        <f t="shared" si="54"/>
        <v>51.457317647058822</v>
      </c>
      <c r="AF21" s="517"/>
      <c r="AG21" s="534">
        <v>0</v>
      </c>
      <c r="AH21" s="517">
        <f t="shared" si="38"/>
        <v>0</v>
      </c>
      <c r="AI21" s="517"/>
      <c r="AJ21" s="520">
        <v>63104.04</v>
      </c>
      <c r="AK21" s="517">
        <f t="shared" si="55"/>
        <v>37.12002352941176</v>
      </c>
      <c r="AL21" s="517"/>
      <c r="AM21" s="520">
        <v>37050.14</v>
      </c>
      <c r="AN21" s="517">
        <f t="shared" si="67"/>
        <v>27.444548148148147</v>
      </c>
      <c r="AO21" s="517"/>
      <c r="AP21" s="534">
        <v>0</v>
      </c>
      <c r="AQ21" s="517">
        <f t="shared" si="40"/>
        <v>0</v>
      </c>
      <c r="AR21" s="517"/>
      <c r="AS21" s="534">
        <v>87069.49</v>
      </c>
      <c r="AT21" s="517">
        <f>+AS21*0.02/31</f>
        <v>56.173864516129036</v>
      </c>
      <c r="AU21" s="517"/>
      <c r="AV21" s="534"/>
      <c r="AW21" s="517">
        <f t="shared" si="42"/>
        <v>0</v>
      </c>
      <c r="AX21" s="517"/>
      <c r="AY21" s="534"/>
      <c r="AZ21" s="517">
        <f t="shared" si="43"/>
        <v>0</v>
      </c>
      <c r="BA21" s="517"/>
      <c r="BB21" s="463">
        <f t="shared" si="16"/>
        <v>551472.03</v>
      </c>
      <c r="BC21" s="464">
        <f t="shared" si="16"/>
        <v>375.88630884552043</v>
      </c>
      <c r="BD21" s="465">
        <f t="shared" si="16"/>
        <v>0</v>
      </c>
      <c r="BE21" s="466"/>
      <c r="BF21" s="467">
        <f t="shared" si="17"/>
        <v>375.88630884552043</v>
      </c>
      <c r="BG21" s="520">
        <v>28163.83</v>
      </c>
      <c r="BH21" s="517">
        <f t="shared" si="56"/>
        <v>18.170212903225806</v>
      </c>
      <c r="BI21" s="517"/>
      <c r="BJ21" s="534">
        <v>0</v>
      </c>
      <c r="BK21" s="517">
        <f t="shared" si="44"/>
        <v>0</v>
      </c>
      <c r="BL21" s="517"/>
      <c r="BM21" s="534">
        <v>37108.31</v>
      </c>
      <c r="BN21" s="517">
        <f>+BM21*0.02/29</f>
        <v>25.591937931034483</v>
      </c>
      <c r="BO21" s="517"/>
      <c r="BP21" s="520">
        <v>42210.15</v>
      </c>
      <c r="BQ21" s="517">
        <f t="shared" si="57"/>
        <v>24.829500000000003</v>
      </c>
      <c r="BR21" s="517"/>
      <c r="BS21" s="534">
        <v>16489.21</v>
      </c>
      <c r="BT21" s="517">
        <f t="shared" si="58"/>
        <v>10.30575625</v>
      </c>
      <c r="BU21" s="520">
        <f t="shared" si="59"/>
        <v>4.69424375</v>
      </c>
      <c r="BV21" s="534">
        <v>37405.74</v>
      </c>
      <c r="BW21" s="517">
        <f t="shared" si="60"/>
        <v>24.132735483870967</v>
      </c>
      <c r="BX21" s="534"/>
      <c r="BY21" s="520">
        <v>8646.86</v>
      </c>
      <c r="BZ21" s="517">
        <f t="shared" si="61"/>
        <v>5.7645733333333338</v>
      </c>
      <c r="CA21" s="517">
        <f t="shared" si="62"/>
        <v>14.235426666666665</v>
      </c>
      <c r="CB21" s="534">
        <v>0</v>
      </c>
      <c r="CC21" s="517">
        <f t="shared" si="46"/>
        <v>0</v>
      </c>
      <c r="CD21" s="517"/>
      <c r="CE21" s="520">
        <v>44429.56</v>
      </c>
      <c r="CF21" s="517">
        <f t="shared" si="63"/>
        <v>28.664232258064516</v>
      </c>
      <c r="CG21" s="517"/>
      <c r="CH21" s="534">
        <v>0</v>
      </c>
      <c r="CI21" s="517">
        <f t="shared" si="47"/>
        <v>0</v>
      </c>
      <c r="CJ21" s="517"/>
      <c r="CK21" s="534">
        <v>0</v>
      </c>
      <c r="CL21" s="517">
        <f t="shared" si="48"/>
        <v>0</v>
      </c>
      <c r="CM21" s="517"/>
      <c r="CN21" s="534">
        <v>0</v>
      </c>
      <c r="CO21" s="517">
        <f t="shared" si="49"/>
        <v>0</v>
      </c>
      <c r="CP21" s="517"/>
      <c r="CQ21" s="534">
        <v>0</v>
      </c>
      <c r="CR21" s="517">
        <f t="shared" si="50"/>
        <v>0</v>
      </c>
      <c r="CS21" s="517"/>
      <c r="CT21" s="551">
        <f t="shared" si="51"/>
        <v>214453.65999999997</v>
      </c>
      <c r="CU21" s="552">
        <f t="shared" si="51"/>
        <v>137.45894815952909</v>
      </c>
      <c r="CV21" s="553">
        <f t="shared" si="31"/>
        <v>18.929670416666667</v>
      </c>
      <c r="CW21" s="466"/>
      <c r="CX21" s="554">
        <f t="shared" si="32"/>
        <v>156.38861857619577</v>
      </c>
      <c r="CY21" s="588">
        <f t="shared" si="33"/>
        <v>765925.69</v>
      </c>
      <c r="CZ21" s="589">
        <f t="shared" si="33"/>
        <v>513.34525700504946</v>
      </c>
      <c r="DA21" s="590">
        <f t="shared" si="33"/>
        <v>18.929670416666667</v>
      </c>
      <c r="DB21" s="591">
        <f t="shared" si="34"/>
        <v>532.27492742171614</v>
      </c>
      <c r="DC21" s="920" t="s">
        <v>737</v>
      </c>
    </row>
    <row r="22" spans="1:170" ht="15.75" customHeight="1" x14ac:dyDescent="0.25">
      <c r="A22" s="721">
        <f t="shared" si="35"/>
        <v>16</v>
      </c>
      <c r="B22" s="926" t="s">
        <v>43</v>
      </c>
      <c r="C22" s="918" t="s">
        <v>704</v>
      </c>
      <c r="D22" s="848" t="s">
        <v>745</v>
      </c>
      <c r="E22" s="858" t="s">
        <v>746</v>
      </c>
      <c r="F22" s="534">
        <v>0</v>
      </c>
      <c r="G22" s="517">
        <f>+F22*0.02/40</f>
        <v>0</v>
      </c>
      <c r="H22" s="517">
        <v>20</v>
      </c>
      <c r="I22" s="534">
        <v>0</v>
      </c>
      <c r="J22" s="517">
        <f>+I22*0.02/40</f>
        <v>0</v>
      </c>
      <c r="K22" s="517">
        <v>20</v>
      </c>
      <c r="L22" s="534">
        <v>0</v>
      </c>
      <c r="M22" s="517">
        <f>+L22*0.02/40</f>
        <v>0</v>
      </c>
      <c r="N22" s="517">
        <v>20</v>
      </c>
      <c r="O22" s="534">
        <v>0</v>
      </c>
      <c r="P22" s="517">
        <f t="shared" si="68"/>
        <v>0</v>
      </c>
      <c r="Q22" s="517">
        <v>20</v>
      </c>
      <c r="R22" s="534">
        <v>0</v>
      </c>
      <c r="S22" s="517">
        <f>+R22*0.02/40</f>
        <v>0</v>
      </c>
      <c r="T22" s="517">
        <v>20</v>
      </c>
      <c r="U22" s="534">
        <v>34380.17</v>
      </c>
      <c r="V22" s="517">
        <f t="shared" si="52"/>
        <v>21.487606249999999</v>
      </c>
      <c r="W22" s="517"/>
      <c r="X22" s="534">
        <v>0</v>
      </c>
      <c r="Y22" s="517">
        <f t="shared" si="69"/>
        <v>0</v>
      </c>
      <c r="Z22" s="517">
        <v>20</v>
      </c>
      <c r="AA22" s="534">
        <v>0</v>
      </c>
      <c r="AB22" s="517">
        <f>+AA22*0.02/40</f>
        <v>0</v>
      </c>
      <c r="AC22" s="517">
        <v>20</v>
      </c>
      <c r="AD22" s="534">
        <v>87477.440000000002</v>
      </c>
      <c r="AE22" s="517">
        <f t="shared" si="54"/>
        <v>51.457317647058822</v>
      </c>
      <c r="AF22" s="517"/>
      <c r="AG22" s="534">
        <v>0</v>
      </c>
      <c r="AH22" s="517">
        <f t="shared" si="38"/>
        <v>0</v>
      </c>
      <c r="AI22" s="517"/>
      <c r="AJ22" s="520">
        <v>63104.04</v>
      </c>
      <c r="AK22" s="517">
        <f t="shared" si="55"/>
        <v>37.12002352941176</v>
      </c>
      <c r="AL22" s="517"/>
      <c r="AM22" s="493">
        <v>7440.54</v>
      </c>
      <c r="AN22" s="517">
        <f>+AM22*0.0065/2</f>
        <v>24.181754999999999</v>
      </c>
      <c r="AO22" s="517"/>
      <c r="AP22" s="534">
        <v>0</v>
      </c>
      <c r="AQ22" s="517">
        <f t="shared" si="40"/>
        <v>0</v>
      </c>
      <c r="AR22" s="517">
        <v>20</v>
      </c>
      <c r="AS22" s="534">
        <v>87069.49</v>
      </c>
      <c r="AT22" s="517">
        <f>+AS22*0.02/31</f>
        <v>56.173864516129036</v>
      </c>
      <c r="AU22" s="517"/>
      <c r="AV22" s="534"/>
      <c r="AW22" s="517">
        <f t="shared" si="42"/>
        <v>0</v>
      </c>
      <c r="AX22" s="517"/>
      <c r="AY22" s="534"/>
      <c r="AZ22" s="517">
        <f t="shared" si="43"/>
        <v>0</v>
      </c>
      <c r="BA22" s="517"/>
      <c r="BB22" s="463">
        <f t="shared" si="16"/>
        <v>279471.68</v>
      </c>
      <c r="BC22" s="464">
        <f t="shared" si="16"/>
        <v>190.42056694259963</v>
      </c>
      <c r="BD22" s="465">
        <f t="shared" si="16"/>
        <v>160</v>
      </c>
      <c r="BE22" s="466"/>
      <c r="BF22" s="467">
        <f t="shared" si="17"/>
        <v>350.42056694259963</v>
      </c>
      <c r="BG22" s="520">
        <v>28163.83</v>
      </c>
      <c r="BH22" s="517">
        <f t="shared" si="56"/>
        <v>18.170212903225806</v>
      </c>
      <c r="BI22" s="517"/>
      <c r="BJ22" s="534">
        <v>0</v>
      </c>
      <c r="BK22" s="517">
        <f t="shared" si="44"/>
        <v>0</v>
      </c>
      <c r="BL22" s="517"/>
      <c r="BM22" s="534">
        <v>37108.31</v>
      </c>
      <c r="BN22" s="517">
        <f>+BM22*0.02/29</f>
        <v>25.591937931034483</v>
      </c>
      <c r="BO22" s="517"/>
      <c r="BP22" s="520">
        <v>42210.15</v>
      </c>
      <c r="BQ22" s="517">
        <f t="shared" si="57"/>
        <v>24.829500000000003</v>
      </c>
      <c r="BR22" s="517"/>
      <c r="BS22" s="534">
        <v>16489.21</v>
      </c>
      <c r="BT22" s="517">
        <f t="shared" si="58"/>
        <v>10.30575625</v>
      </c>
      <c r="BU22" s="520">
        <f t="shared" si="59"/>
        <v>4.69424375</v>
      </c>
      <c r="BV22" s="534">
        <v>37405.74</v>
      </c>
      <c r="BW22" s="517">
        <f t="shared" si="60"/>
        <v>24.132735483870967</v>
      </c>
      <c r="BX22" s="534"/>
      <c r="BY22" s="520">
        <v>8646.86</v>
      </c>
      <c r="BZ22" s="517">
        <f t="shared" si="61"/>
        <v>5.7645733333333338</v>
      </c>
      <c r="CA22" s="517">
        <f t="shared" si="62"/>
        <v>14.235426666666665</v>
      </c>
      <c r="CB22" s="534">
        <v>0</v>
      </c>
      <c r="CC22" s="517">
        <f t="shared" si="46"/>
        <v>0</v>
      </c>
      <c r="CD22" s="517"/>
      <c r="CE22" s="520">
        <v>44429.56</v>
      </c>
      <c r="CF22" s="517">
        <f t="shared" si="63"/>
        <v>28.664232258064516</v>
      </c>
      <c r="CG22" s="517"/>
      <c r="CH22" s="520">
        <v>0</v>
      </c>
      <c r="CI22" s="671">
        <f>+CH22*0.02/40</f>
        <v>0</v>
      </c>
      <c r="CJ22" s="517">
        <v>20</v>
      </c>
      <c r="CK22" s="534">
        <v>0</v>
      </c>
      <c r="CL22" s="517">
        <f t="shared" si="48"/>
        <v>0</v>
      </c>
      <c r="CM22" s="517">
        <v>20</v>
      </c>
      <c r="CN22" s="534">
        <v>0</v>
      </c>
      <c r="CO22" s="517">
        <f t="shared" si="49"/>
        <v>0</v>
      </c>
      <c r="CP22" s="517">
        <v>20</v>
      </c>
      <c r="CQ22" s="534">
        <v>0</v>
      </c>
      <c r="CR22" s="517">
        <f t="shared" si="50"/>
        <v>0</v>
      </c>
      <c r="CS22" s="517"/>
      <c r="CT22" s="551">
        <f t="shared" si="51"/>
        <v>214453.65999999997</v>
      </c>
      <c r="CU22" s="552">
        <f t="shared" si="51"/>
        <v>137.45894815952909</v>
      </c>
      <c r="CV22" s="553">
        <f t="shared" si="31"/>
        <v>78.929670416666667</v>
      </c>
      <c r="CW22" s="466"/>
      <c r="CX22" s="554">
        <f t="shared" si="32"/>
        <v>216.38861857619577</v>
      </c>
      <c r="CY22" s="588">
        <f t="shared" si="33"/>
        <v>493925.33999999997</v>
      </c>
      <c r="CZ22" s="589">
        <f t="shared" si="33"/>
        <v>327.87951510212872</v>
      </c>
      <c r="DA22" s="590">
        <f t="shared" si="33"/>
        <v>238.92967041666668</v>
      </c>
      <c r="DB22" s="591">
        <f t="shared" si="34"/>
        <v>566.8091855187954</v>
      </c>
      <c r="DC22" s="920" t="s">
        <v>747</v>
      </c>
    </row>
    <row r="23" spans="1:170" ht="15.75" x14ac:dyDescent="0.25">
      <c r="A23" s="721">
        <f t="shared" si="35"/>
        <v>17</v>
      </c>
      <c r="B23" s="926" t="s">
        <v>201</v>
      </c>
      <c r="C23" s="918" t="s">
        <v>704</v>
      </c>
      <c r="D23" s="848" t="s">
        <v>748</v>
      </c>
      <c r="E23" s="858" t="s">
        <v>749</v>
      </c>
      <c r="F23" s="534">
        <v>0</v>
      </c>
      <c r="G23" s="517">
        <f>+F23*0.02/40</f>
        <v>0</v>
      </c>
      <c r="H23" s="517">
        <v>20</v>
      </c>
      <c r="I23" s="534">
        <v>0</v>
      </c>
      <c r="J23" s="517">
        <f>+I23*0.02/40</f>
        <v>0</v>
      </c>
      <c r="K23" s="517">
        <v>20</v>
      </c>
      <c r="L23" s="534">
        <v>0</v>
      </c>
      <c r="M23" s="517">
        <f>+L23*0.02/40</f>
        <v>0</v>
      </c>
      <c r="N23" s="517">
        <v>20</v>
      </c>
      <c r="O23" s="534">
        <v>0</v>
      </c>
      <c r="P23" s="517">
        <f t="shared" si="68"/>
        <v>0</v>
      </c>
      <c r="Q23" s="517">
        <v>20</v>
      </c>
      <c r="R23" s="534">
        <v>57726.71</v>
      </c>
      <c r="S23" s="517">
        <f>+R23*0.02/28</f>
        <v>41.233364285714288</v>
      </c>
      <c r="T23" s="517"/>
      <c r="U23" s="534">
        <v>34380.17</v>
      </c>
      <c r="V23" s="517">
        <f t="shared" si="52"/>
        <v>21.487606249999999</v>
      </c>
      <c r="W23" s="517"/>
      <c r="X23" s="534">
        <v>29736.53</v>
      </c>
      <c r="Y23" s="517">
        <f t="shared" si="69"/>
        <v>23.789224000000001</v>
      </c>
      <c r="Z23" s="517"/>
      <c r="AA23" s="534">
        <v>30759.91</v>
      </c>
      <c r="AB23" s="517">
        <f t="shared" si="53"/>
        <v>20.506606666666666</v>
      </c>
      <c r="AC23" s="517"/>
      <c r="AD23" s="534">
        <v>87477.440000000002</v>
      </c>
      <c r="AE23" s="517">
        <f t="shared" si="54"/>
        <v>51.457317647058822</v>
      </c>
      <c r="AF23" s="517"/>
      <c r="AG23" s="534">
        <v>0</v>
      </c>
      <c r="AH23" s="517">
        <f t="shared" si="38"/>
        <v>0</v>
      </c>
      <c r="AI23" s="517"/>
      <c r="AJ23" s="520">
        <v>63104.04</v>
      </c>
      <c r="AK23" s="517">
        <f t="shared" si="55"/>
        <v>37.12002352941176</v>
      </c>
      <c r="AL23" s="517"/>
      <c r="AM23" s="520">
        <v>37050.14</v>
      </c>
      <c r="AN23" s="517">
        <f>+AM23*0.02/27</f>
        <v>27.444548148148147</v>
      </c>
      <c r="AO23" s="517"/>
      <c r="AP23" s="534">
        <v>0</v>
      </c>
      <c r="AQ23" s="517">
        <f t="shared" si="40"/>
        <v>0</v>
      </c>
      <c r="AR23" s="517"/>
      <c r="AS23" s="534">
        <v>87069.49</v>
      </c>
      <c r="AT23" s="517">
        <f>+AS23*0.02/31</f>
        <v>56.173864516129036</v>
      </c>
      <c r="AU23" s="517"/>
      <c r="AV23" s="534"/>
      <c r="AW23" s="517">
        <f t="shared" si="42"/>
        <v>0</v>
      </c>
      <c r="AX23" s="517"/>
      <c r="AY23" s="534"/>
      <c r="AZ23" s="517">
        <f t="shared" si="43"/>
        <v>0</v>
      </c>
      <c r="BA23" s="517"/>
      <c r="BB23" s="463">
        <f t="shared" ref="BB23:BD56" si="70">+F23+I23+L23+O23+R23+U23+X23+AA23+AD23+AG23+AJ23+AM23+AP23+AS23+AV23+AY23</f>
        <v>427304.43</v>
      </c>
      <c r="BC23" s="464">
        <f t="shared" si="70"/>
        <v>279.2125550431287</v>
      </c>
      <c r="BD23" s="465">
        <f t="shared" si="70"/>
        <v>80</v>
      </c>
      <c r="BE23" s="466"/>
      <c r="BF23" s="467">
        <f t="shared" si="17"/>
        <v>359.2125550431287</v>
      </c>
      <c r="BG23" s="520">
        <v>28163.83</v>
      </c>
      <c r="BH23" s="517">
        <f t="shared" si="56"/>
        <v>18.170212903225806</v>
      </c>
      <c r="BI23" s="517"/>
      <c r="BJ23" s="534">
        <v>0</v>
      </c>
      <c r="BK23" s="517">
        <f t="shared" si="44"/>
        <v>0</v>
      </c>
      <c r="BL23" s="517"/>
      <c r="BM23" s="534">
        <v>37108.31</v>
      </c>
      <c r="BN23" s="517">
        <f>+BM23*0.02/29</f>
        <v>25.591937931034483</v>
      </c>
      <c r="BO23" s="517"/>
      <c r="BP23" s="520">
        <v>42210.15</v>
      </c>
      <c r="BQ23" s="517">
        <f t="shared" si="57"/>
        <v>24.829500000000003</v>
      </c>
      <c r="BR23" s="517"/>
      <c r="BS23" s="534">
        <v>16489.21</v>
      </c>
      <c r="BT23" s="517">
        <f t="shared" si="58"/>
        <v>10.30575625</v>
      </c>
      <c r="BU23" s="520">
        <f t="shared" si="59"/>
        <v>4.69424375</v>
      </c>
      <c r="BV23" s="534">
        <v>37405.74</v>
      </c>
      <c r="BW23" s="517">
        <f t="shared" si="60"/>
        <v>24.132735483870967</v>
      </c>
      <c r="BX23" s="534"/>
      <c r="BY23" s="520">
        <v>8646.86</v>
      </c>
      <c r="BZ23" s="517">
        <f t="shared" si="61"/>
        <v>5.7645733333333338</v>
      </c>
      <c r="CA23" s="517">
        <f t="shared" si="62"/>
        <v>14.235426666666665</v>
      </c>
      <c r="CB23" s="534">
        <v>0</v>
      </c>
      <c r="CC23" s="517">
        <f t="shared" si="46"/>
        <v>0</v>
      </c>
      <c r="CD23" s="517"/>
      <c r="CE23" s="520">
        <v>44429.56</v>
      </c>
      <c r="CF23" s="517">
        <f t="shared" si="63"/>
        <v>28.664232258064516</v>
      </c>
      <c r="CG23" s="517"/>
      <c r="CH23" s="534">
        <v>0</v>
      </c>
      <c r="CI23" s="517">
        <f t="shared" si="47"/>
        <v>0</v>
      </c>
      <c r="CJ23" s="517"/>
      <c r="CK23" s="534">
        <v>0</v>
      </c>
      <c r="CL23" s="517">
        <f t="shared" si="48"/>
        <v>0</v>
      </c>
      <c r="CM23" s="517"/>
      <c r="CN23" s="534">
        <v>0</v>
      </c>
      <c r="CO23" s="517">
        <f t="shared" si="49"/>
        <v>0</v>
      </c>
      <c r="CP23" s="517"/>
      <c r="CQ23" s="534">
        <v>0</v>
      </c>
      <c r="CR23" s="517">
        <f t="shared" si="50"/>
        <v>0</v>
      </c>
      <c r="CS23" s="517"/>
      <c r="CT23" s="551">
        <f t="shared" si="51"/>
        <v>214453.65999999997</v>
      </c>
      <c r="CU23" s="552">
        <f t="shared" si="51"/>
        <v>137.45894815952909</v>
      </c>
      <c r="CV23" s="553">
        <f t="shared" si="31"/>
        <v>18.929670416666667</v>
      </c>
      <c r="CW23" s="466"/>
      <c r="CX23" s="554">
        <f t="shared" si="32"/>
        <v>156.38861857619577</v>
      </c>
      <c r="CY23" s="588">
        <f t="shared" ref="CY23:DA56" si="71">+BB23+CT23</f>
        <v>641758.09</v>
      </c>
      <c r="CZ23" s="589">
        <f t="shared" si="71"/>
        <v>416.67150320265779</v>
      </c>
      <c r="DA23" s="590">
        <f t="shared" si="71"/>
        <v>98.929670416666667</v>
      </c>
      <c r="DB23" s="591">
        <f t="shared" si="34"/>
        <v>515.60117361932441</v>
      </c>
      <c r="DC23" s="920" t="s">
        <v>737</v>
      </c>
    </row>
    <row r="24" spans="1:170" ht="15.75" x14ac:dyDescent="0.25">
      <c r="A24" s="721">
        <f t="shared" si="35"/>
        <v>18</v>
      </c>
      <c r="B24" s="929" t="s">
        <v>42</v>
      </c>
      <c r="C24" s="918" t="s">
        <v>704</v>
      </c>
      <c r="D24" s="1108" t="s">
        <v>750</v>
      </c>
      <c r="E24" s="851" t="s">
        <v>751</v>
      </c>
      <c r="F24" s="534">
        <v>0</v>
      </c>
      <c r="G24" s="517">
        <f>+F24*0.02/40</f>
        <v>0</v>
      </c>
      <c r="H24" s="517">
        <v>20</v>
      </c>
      <c r="I24" s="534">
        <v>0</v>
      </c>
      <c r="J24" s="517">
        <f>+I24*0.02/40</f>
        <v>0</v>
      </c>
      <c r="K24" s="517">
        <v>20</v>
      </c>
      <c r="L24" s="534">
        <v>0</v>
      </c>
      <c r="M24" s="517">
        <f>+L24*0.02/40</f>
        <v>0</v>
      </c>
      <c r="N24" s="517">
        <v>20</v>
      </c>
      <c r="O24" s="534">
        <v>0</v>
      </c>
      <c r="P24" s="517">
        <f t="shared" si="68"/>
        <v>0</v>
      </c>
      <c r="Q24" s="517">
        <v>20</v>
      </c>
      <c r="R24" s="493">
        <v>0</v>
      </c>
      <c r="S24" s="517">
        <f>+R24*0.0065/2</f>
        <v>0</v>
      </c>
      <c r="T24" s="517">
        <v>20</v>
      </c>
      <c r="U24" s="534">
        <v>34380.17</v>
      </c>
      <c r="V24" s="517">
        <f t="shared" si="52"/>
        <v>21.487606249999999</v>
      </c>
      <c r="W24" s="517"/>
      <c r="X24" s="534">
        <v>0</v>
      </c>
      <c r="Y24" s="517">
        <f t="shared" si="69"/>
        <v>0</v>
      </c>
      <c r="Z24" s="517">
        <v>20</v>
      </c>
      <c r="AA24" s="493">
        <v>0</v>
      </c>
      <c r="AB24" s="517">
        <f>+AA24*0.0065/2</f>
        <v>0</v>
      </c>
      <c r="AC24" s="517">
        <v>20</v>
      </c>
      <c r="AD24" s="534">
        <v>87477.440000000002</v>
      </c>
      <c r="AE24" s="517">
        <f t="shared" si="54"/>
        <v>51.457317647058822</v>
      </c>
      <c r="AF24" s="517"/>
      <c r="AG24" s="493">
        <v>0</v>
      </c>
      <c r="AH24" s="517">
        <f>+AG24*0.0065/2</f>
        <v>0</v>
      </c>
      <c r="AI24" s="517"/>
      <c r="AJ24" s="520">
        <v>63104.04</v>
      </c>
      <c r="AK24" s="517">
        <f t="shared" si="55"/>
        <v>37.12002352941176</v>
      </c>
      <c r="AL24" s="517"/>
      <c r="AM24" s="493">
        <v>0</v>
      </c>
      <c r="AN24" s="517">
        <f>+AM24*0.0065/2</f>
        <v>0</v>
      </c>
      <c r="AO24" s="517">
        <v>20</v>
      </c>
      <c r="AP24" s="534">
        <v>0</v>
      </c>
      <c r="AQ24" s="517">
        <f>+AP24*0.0065/2</f>
        <v>0</v>
      </c>
      <c r="AR24" s="517">
        <v>20</v>
      </c>
      <c r="AS24" s="534">
        <v>87069.49</v>
      </c>
      <c r="AT24" s="517">
        <f>+AS24*0.02/31</f>
        <v>56.173864516129036</v>
      </c>
      <c r="AU24" s="517"/>
      <c r="AV24" s="493"/>
      <c r="AW24" s="517">
        <f>+AV24*0.0065/2</f>
        <v>0</v>
      </c>
      <c r="AX24" s="517"/>
      <c r="AY24" s="493"/>
      <c r="AZ24" s="517">
        <f>+AY24*0.0065/2</f>
        <v>0</v>
      </c>
      <c r="BA24" s="517"/>
      <c r="BB24" s="463">
        <f t="shared" si="70"/>
        <v>272031.14</v>
      </c>
      <c r="BC24" s="464">
        <f t="shared" si="70"/>
        <v>166.23881194259963</v>
      </c>
      <c r="BD24" s="465">
        <f t="shared" si="70"/>
        <v>180</v>
      </c>
      <c r="BE24" s="466"/>
      <c r="BF24" s="467">
        <f t="shared" si="17"/>
        <v>346.23881194259963</v>
      </c>
      <c r="BG24" s="520">
        <v>28163.83</v>
      </c>
      <c r="BH24" s="517">
        <f t="shared" si="56"/>
        <v>18.170212903225806</v>
      </c>
      <c r="BI24" s="517"/>
      <c r="BJ24" s="534">
        <v>0</v>
      </c>
      <c r="BK24" s="517">
        <f>+BJ24*0.0065/2</f>
        <v>0</v>
      </c>
      <c r="BL24" s="517"/>
      <c r="BM24" s="534">
        <v>37108.31</v>
      </c>
      <c r="BN24" s="517">
        <f>+BM24*0.02/29</f>
        <v>25.591937931034483</v>
      </c>
      <c r="BO24" s="517"/>
      <c r="BP24" s="520">
        <v>42210.15</v>
      </c>
      <c r="BQ24" s="517">
        <f t="shared" si="57"/>
        <v>24.829500000000003</v>
      </c>
      <c r="BR24" s="517"/>
      <c r="BS24" s="534">
        <v>16489.21</v>
      </c>
      <c r="BT24" s="517">
        <f t="shared" si="58"/>
        <v>10.30575625</v>
      </c>
      <c r="BU24" s="520">
        <f t="shared" si="59"/>
        <v>4.69424375</v>
      </c>
      <c r="BV24" s="534">
        <v>37405.74</v>
      </c>
      <c r="BW24" s="517">
        <f t="shared" si="60"/>
        <v>24.132735483870967</v>
      </c>
      <c r="BX24" s="493"/>
      <c r="BY24" s="520">
        <v>8646.86</v>
      </c>
      <c r="BZ24" s="517">
        <f t="shared" si="61"/>
        <v>5.7645733333333338</v>
      </c>
      <c r="CA24" s="517">
        <f t="shared" si="62"/>
        <v>14.235426666666665</v>
      </c>
      <c r="CB24" s="493">
        <v>0</v>
      </c>
      <c r="CC24" s="517">
        <f>+CB24*0.0065/2</f>
        <v>0</v>
      </c>
      <c r="CD24" s="517"/>
      <c r="CE24" s="520">
        <v>44429.56</v>
      </c>
      <c r="CF24" s="517">
        <f t="shared" si="63"/>
        <v>28.664232258064516</v>
      </c>
      <c r="CG24" s="517"/>
      <c r="CH24" s="493">
        <v>0</v>
      </c>
      <c r="CI24" s="517">
        <f>+CH24*0.0065/2</f>
        <v>0</v>
      </c>
      <c r="CJ24" s="517"/>
      <c r="CK24" s="493">
        <v>0</v>
      </c>
      <c r="CL24" s="517">
        <f>+CK24*0.0065/2</f>
        <v>0</v>
      </c>
      <c r="CM24" s="517"/>
      <c r="CN24" s="534">
        <v>0</v>
      </c>
      <c r="CO24" s="517">
        <f>+CN24*0.0065/2</f>
        <v>0</v>
      </c>
      <c r="CP24" s="517"/>
      <c r="CQ24" s="534">
        <v>0</v>
      </c>
      <c r="CR24" s="517">
        <f>+CQ24*0.0065/2</f>
        <v>0</v>
      </c>
      <c r="CS24" s="517"/>
      <c r="CT24" s="551">
        <f t="shared" si="51"/>
        <v>214453.65999999997</v>
      </c>
      <c r="CU24" s="552">
        <f t="shared" si="51"/>
        <v>137.45894815952909</v>
      </c>
      <c r="CV24" s="553">
        <f t="shared" si="31"/>
        <v>18.929670416666667</v>
      </c>
      <c r="CW24" s="466"/>
      <c r="CX24" s="554">
        <f t="shared" si="32"/>
        <v>156.38861857619577</v>
      </c>
      <c r="CY24" s="555">
        <f t="shared" si="71"/>
        <v>486484.8</v>
      </c>
      <c r="CZ24" s="556">
        <f t="shared" si="71"/>
        <v>303.69776010212871</v>
      </c>
      <c r="DA24" s="557">
        <f t="shared" si="71"/>
        <v>198.92967041666668</v>
      </c>
      <c r="DB24" s="558">
        <f t="shared" si="34"/>
        <v>502.62743051879539</v>
      </c>
      <c r="DC24" s="920" t="s">
        <v>737</v>
      </c>
    </row>
    <row r="25" spans="1:170" ht="15.75" x14ac:dyDescent="0.25">
      <c r="A25" s="721">
        <f t="shared" si="35"/>
        <v>19</v>
      </c>
      <c r="B25" s="1109" t="s">
        <v>164</v>
      </c>
      <c r="C25" s="1110" t="s">
        <v>704</v>
      </c>
      <c r="D25" s="1111"/>
      <c r="E25" s="1112"/>
      <c r="F25" s="935">
        <v>44451.46</v>
      </c>
      <c r="G25" s="936">
        <f>+F25*0.02/27</f>
        <v>32.927007407407409</v>
      </c>
      <c r="H25" s="936"/>
      <c r="I25" s="935">
        <v>39749.550000000003</v>
      </c>
      <c r="J25" s="936">
        <f>+I25*0.02/29</f>
        <v>27.413482758620692</v>
      </c>
      <c r="K25" s="936"/>
      <c r="L25" s="935">
        <v>16898</v>
      </c>
      <c r="M25" s="936">
        <f>+L25*0.02/6</f>
        <v>56.326666666666661</v>
      </c>
      <c r="N25" s="936"/>
      <c r="O25" s="935">
        <v>0</v>
      </c>
      <c r="P25" s="936">
        <f>+O25*0.02/40</f>
        <v>0</v>
      </c>
      <c r="Q25" s="936"/>
      <c r="R25" s="935">
        <v>57726.71</v>
      </c>
      <c r="S25" s="936">
        <f>+R25*0.02/28</f>
        <v>41.233364285714288</v>
      </c>
      <c r="T25" s="936"/>
      <c r="U25" s="935">
        <v>34380.17</v>
      </c>
      <c r="V25" s="936">
        <f>+U25*0.02/32</f>
        <v>21.487606249999999</v>
      </c>
      <c r="W25" s="936"/>
      <c r="X25" s="935">
        <v>29736.53</v>
      </c>
      <c r="Y25" s="936">
        <f>+X25*0.02/25</f>
        <v>23.789224000000001</v>
      </c>
      <c r="Z25" s="936"/>
      <c r="AA25" s="935">
        <v>30759.91</v>
      </c>
      <c r="AB25" s="936">
        <f>+AA25*0.02/30</f>
        <v>20.506606666666666</v>
      </c>
      <c r="AC25" s="936"/>
      <c r="AD25" s="935">
        <v>87477.440000000002</v>
      </c>
      <c r="AE25" s="936">
        <f>+AD25*0.02/34</f>
        <v>51.457317647058822</v>
      </c>
      <c r="AF25" s="936"/>
      <c r="AG25" s="935">
        <v>0</v>
      </c>
      <c r="AH25" s="936">
        <f>+AG25*0.02/40</f>
        <v>0</v>
      </c>
      <c r="AI25" s="936"/>
      <c r="AJ25" s="935">
        <v>0</v>
      </c>
      <c r="AK25" s="936">
        <f>+AJ25*0.02/40</f>
        <v>0</v>
      </c>
      <c r="AL25" s="936"/>
      <c r="AM25" s="935">
        <v>0</v>
      </c>
      <c r="AN25" s="936">
        <f>+AM25*0.02/40</f>
        <v>0</v>
      </c>
      <c r="AO25" s="936"/>
      <c r="AP25" s="935">
        <v>0</v>
      </c>
      <c r="AQ25" s="936">
        <f>+AP25*0.02/40</f>
        <v>0</v>
      </c>
      <c r="AR25" s="936"/>
      <c r="AS25" s="935">
        <v>87069.49</v>
      </c>
      <c r="AT25" s="936">
        <f>+AS25*0.02/31</f>
        <v>56.173864516129036</v>
      </c>
      <c r="AU25" s="936"/>
      <c r="AV25" s="935"/>
      <c r="AW25" s="936">
        <f>+AV25*0.02/40</f>
        <v>0</v>
      </c>
      <c r="AX25" s="936"/>
      <c r="AY25" s="935"/>
      <c r="AZ25" s="936">
        <f>+AY25*0.02/40</f>
        <v>0</v>
      </c>
      <c r="BA25" s="936"/>
      <c r="BB25" s="937">
        <f t="shared" si="70"/>
        <v>428249.26</v>
      </c>
      <c r="BC25" s="938">
        <f t="shared" si="70"/>
        <v>331.31514019826352</v>
      </c>
      <c r="BD25" s="936">
        <f t="shared" si="70"/>
        <v>0</v>
      </c>
      <c r="BE25" s="939"/>
      <c r="BF25" s="1113">
        <f t="shared" si="17"/>
        <v>331.31514019826352</v>
      </c>
      <c r="BG25" s="935"/>
      <c r="BH25" s="936">
        <f>+BG25*0.02/40</f>
        <v>0</v>
      </c>
      <c r="BI25" s="936"/>
      <c r="BJ25" s="935"/>
      <c r="BK25" s="936">
        <f>+BJ25*0.02/40</f>
        <v>0</v>
      </c>
      <c r="BL25" s="936"/>
      <c r="BM25" s="935"/>
      <c r="BN25" s="936">
        <f>+BM25*0.02/40</f>
        <v>0</v>
      </c>
      <c r="BO25" s="936"/>
      <c r="BP25" s="935"/>
      <c r="BQ25" s="936">
        <f>+BP25*0.02/40</f>
        <v>0</v>
      </c>
      <c r="BR25" s="936"/>
      <c r="BS25" s="935"/>
      <c r="BT25" s="936">
        <f>+BS25*0.02/40</f>
        <v>0</v>
      </c>
      <c r="BU25" s="935"/>
      <c r="BV25" s="936">
        <f>+BU25*0.02/40</f>
        <v>0</v>
      </c>
      <c r="BW25" s="936"/>
      <c r="BX25" s="936"/>
      <c r="BY25" s="935"/>
      <c r="BZ25" s="936">
        <f>+BY25*0.02/40</f>
        <v>0</v>
      </c>
      <c r="CA25" s="936"/>
      <c r="CB25" s="935"/>
      <c r="CC25" s="936">
        <f>+CB25*0.02/40</f>
        <v>0</v>
      </c>
      <c r="CD25" s="936"/>
      <c r="CE25" s="935"/>
      <c r="CF25" s="936">
        <f>+CE25*0.02/40</f>
        <v>0</v>
      </c>
      <c r="CG25" s="936"/>
      <c r="CH25" s="935"/>
      <c r="CI25" s="936">
        <f>+CH25*0.02/40</f>
        <v>0</v>
      </c>
      <c r="CJ25" s="936"/>
      <c r="CK25" s="935"/>
      <c r="CL25" s="936">
        <f>+CK25*0.02/40</f>
        <v>0</v>
      </c>
      <c r="CM25" s="936"/>
      <c r="CN25" s="935"/>
      <c r="CO25" s="936">
        <f>+CN25*0.02/40</f>
        <v>0</v>
      </c>
      <c r="CP25" s="936"/>
      <c r="CQ25" s="935"/>
      <c r="CR25" s="936">
        <f>+CQ25*0.02/40</f>
        <v>0</v>
      </c>
      <c r="CS25" s="936"/>
      <c r="CT25" s="941">
        <f>BG25+BJ25+BM25+BP25+BS25+BV25+BY25+CB25+CH25+CK25+CN25+CQ25+CE25</f>
        <v>0</v>
      </c>
      <c r="CU25" s="942">
        <f>BH25+BK25+BN25+BQ25+BT25+BW25+BZ25+CC25+CI25+CL25+CO25+CR25+CF25</f>
        <v>0</v>
      </c>
      <c r="CV25" s="936">
        <f t="shared" si="31"/>
        <v>0</v>
      </c>
      <c r="CW25" s="939"/>
      <c r="CX25" s="939">
        <f t="shared" si="32"/>
        <v>0</v>
      </c>
      <c r="CY25" s="930">
        <f t="shared" si="71"/>
        <v>428249.26</v>
      </c>
      <c r="CZ25" s="931">
        <f t="shared" si="71"/>
        <v>331.31514019826352</v>
      </c>
      <c r="DA25" s="931">
        <f t="shared" si="71"/>
        <v>0</v>
      </c>
      <c r="DB25" s="932">
        <f t="shared" si="34"/>
        <v>331.31514019826352</v>
      </c>
      <c r="DC25" s="933" t="s">
        <v>752</v>
      </c>
    </row>
    <row r="26" spans="1:170" ht="15.75" x14ac:dyDescent="0.25">
      <c r="A26" s="721">
        <f t="shared" si="35"/>
        <v>20</v>
      </c>
      <c r="B26" s="1109" t="s">
        <v>175</v>
      </c>
      <c r="C26" s="1110" t="s">
        <v>704</v>
      </c>
      <c r="D26" s="1111"/>
      <c r="E26" s="1112"/>
      <c r="F26" s="935">
        <v>44451.46</v>
      </c>
      <c r="G26" s="936">
        <f>+F26*0.02/27</f>
        <v>32.927007407407409</v>
      </c>
      <c r="H26" s="936"/>
      <c r="I26" s="935">
        <v>39749.550000000003</v>
      </c>
      <c r="J26" s="936">
        <f>+I26*0.02/29</f>
        <v>27.413482758620692</v>
      </c>
      <c r="K26" s="936"/>
      <c r="L26" s="935">
        <v>39966.589999999997</v>
      </c>
      <c r="M26" s="936">
        <f>+L26*0.02/22</f>
        <v>36.333263636363633</v>
      </c>
      <c r="N26" s="936"/>
      <c r="O26" s="935">
        <v>0</v>
      </c>
      <c r="P26" s="936">
        <f>+O26*0.02/40</f>
        <v>0</v>
      </c>
      <c r="Q26" s="936"/>
      <c r="R26" s="935">
        <v>3623</v>
      </c>
      <c r="S26" s="936">
        <f>+R26*0.02/2</f>
        <v>36.230000000000004</v>
      </c>
      <c r="T26" s="936"/>
      <c r="U26" s="935">
        <v>1849</v>
      </c>
      <c r="V26" s="936">
        <f>+U26*0.02/2</f>
        <v>18.490000000000002</v>
      </c>
      <c r="W26" s="936"/>
      <c r="X26" s="935">
        <v>2079</v>
      </c>
      <c r="Y26" s="936">
        <f>+X26*0.02/2</f>
        <v>20.79</v>
      </c>
      <c r="Z26" s="936"/>
      <c r="AA26" s="935">
        <v>30759.91</v>
      </c>
      <c r="AB26" s="936">
        <f>+AA26*0.02/30</f>
        <v>20.506606666666666</v>
      </c>
      <c r="AC26" s="936"/>
      <c r="AD26" s="935">
        <v>2073</v>
      </c>
      <c r="AE26" s="936">
        <f>+AD26*0.02/1</f>
        <v>41.46</v>
      </c>
      <c r="AF26" s="936"/>
      <c r="AG26" s="935">
        <v>0</v>
      </c>
      <c r="AH26" s="936">
        <f>+AG26*0.02/40</f>
        <v>0</v>
      </c>
      <c r="AI26" s="936"/>
      <c r="AJ26" s="935">
        <v>63104.04</v>
      </c>
      <c r="AK26" s="936">
        <f>+AJ26*0.02/34</f>
        <v>37.12002352941176</v>
      </c>
      <c r="AL26" s="936"/>
      <c r="AM26" s="935"/>
      <c r="AN26" s="936">
        <f>+AM26*0.02/40</f>
        <v>0</v>
      </c>
      <c r="AO26" s="936"/>
      <c r="AP26" s="935"/>
      <c r="AQ26" s="936">
        <f>+AP26*0.02/40</f>
        <v>0</v>
      </c>
      <c r="AR26" s="936"/>
      <c r="AS26" s="935"/>
      <c r="AT26" s="936">
        <f>+AS26*0.02/40</f>
        <v>0</v>
      </c>
      <c r="AU26" s="936"/>
      <c r="AV26" s="935"/>
      <c r="AW26" s="936">
        <f>+AV26*0.02/40</f>
        <v>0</v>
      </c>
      <c r="AX26" s="936"/>
      <c r="AY26" s="935"/>
      <c r="AZ26" s="936">
        <f>+AY26*0.02/40</f>
        <v>0</v>
      </c>
      <c r="BA26" s="936"/>
      <c r="BB26" s="937">
        <f t="shared" si="70"/>
        <v>227655.55000000002</v>
      </c>
      <c r="BC26" s="938">
        <f t="shared" si="70"/>
        <v>271.27038399847021</v>
      </c>
      <c r="BD26" s="936">
        <f t="shared" si="70"/>
        <v>0</v>
      </c>
      <c r="BE26" s="939"/>
      <c r="BF26" s="1113">
        <f t="shared" si="17"/>
        <v>271.27038399847021</v>
      </c>
      <c r="BG26" s="935"/>
      <c r="BH26" s="936">
        <f>+BG26*0.02/40</f>
        <v>0</v>
      </c>
      <c r="BI26" s="936"/>
      <c r="BJ26" s="935"/>
      <c r="BK26" s="936">
        <f>+BJ26*0.02/40</f>
        <v>0</v>
      </c>
      <c r="BL26" s="936"/>
      <c r="BM26" s="935"/>
      <c r="BN26" s="936">
        <f>+BM26*0.02/40</f>
        <v>0</v>
      </c>
      <c r="BO26" s="936"/>
      <c r="BP26" s="935"/>
      <c r="BQ26" s="936">
        <f>+BP26*0.02/40</f>
        <v>0</v>
      </c>
      <c r="BR26" s="936"/>
      <c r="BS26" s="940"/>
      <c r="BT26" s="936">
        <f>+BS26*0.02/40</f>
        <v>0</v>
      </c>
      <c r="BU26" s="935"/>
      <c r="BV26" s="936">
        <f>+BU26*0.02/40</f>
        <v>0</v>
      </c>
      <c r="BW26" s="936"/>
      <c r="BX26" s="936"/>
      <c r="BY26" s="935"/>
      <c r="BZ26" s="936">
        <f>+BY26*0.02/40</f>
        <v>0</v>
      </c>
      <c r="CA26" s="936"/>
      <c r="CB26" s="935"/>
      <c r="CC26" s="936">
        <f>+CB26*0.02/40</f>
        <v>0</v>
      </c>
      <c r="CD26" s="936"/>
      <c r="CE26" s="935"/>
      <c r="CF26" s="936">
        <f>+CE26*0.02/40</f>
        <v>0</v>
      </c>
      <c r="CG26" s="936"/>
      <c r="CH26" s="935"/>
      <c r="CI26" s="936">
        <f>+CH26*0.02/40</f>
        <v>0</v>
      </c>
      <c r="CJ26" s="936"/>
      <c r="CK26" s="935"/>
      <c r="CL26" s="936">
        <f>+CK26*0.02/40</f>
        <v>0</v>
      </c>
      <c r="CM26" s="936"/>
      <c r="CN26" s="935"/>
      <c r="CO26" s="936">
        <f>+CN26*0.02/40</f>
        <v>0</v>
      </c>
      <c r="CP26" s="936"/>
      <c r="CQ26" s="935"/>
      <c r="CR26" s="936">
        <f>+CQ26*0.02/40</f>
        <v>0</v>
      </c>
      <c r="CS26" s="936"/>
      <c r="CT26" s="941">
        <f t="shared" si="51"/>
        <v>0</v>
      </c>
      <c r="CU26" s="942">
        <f t="shared" si="51"/>
        <v>0</v>
      </c>
      <c r="CV26" s="936">
        <f t="shared" si="31"/>
        <v>0</v>
      </c>
      <c r="CW26" s="939"/>
      <c r="CX26" s="939">
        <f t="shared" si="32"/>
        <v>0</v>
      </c>
      <c r="CY26" s="930">
        <f t="shared" si="71"/>
        <v>227655.55000000002</v>
      </c>
      <c r="CZ26" s="931">
        <f t="shared" si="71"/>
        <v>271.27038399847021</v>
      </c>
      <c r="DA26" s="931">
        <f t="shared" si="71"/>
        <v>0</v>
      </c>
      <c r="DB26" s="932">
        <f t="shared" si="34"/>
        <v>271.27038399847021</v>
      </c>
      <c r="DC26" s="933" t="s">
        <v>753</v>
      </c>
    </row>
    <row r="27" spans="1:170" ht="15.75" x14ac:dyDescent="0.25">
      <c r="A27" s="721">
        <f t="shared" si="35"/>
        <v>21</v>
      </c>
      <c r="B27" s="1109" t="s">
        <v>202</v>
      </c>
      <c r="C27" s="1114" t="s">
        <v>704</v>
      </c>
      <c r="D27" s="895"/>
      <c r="E27" s="1115"/>
      <c r="F27" s="944">
        <v>0</v>
      </c>
      <c r="G27" s="945">
        <f>+F27*0.02/40</f>
        <v>0</v>
      </c>
      <c r="H27" s="945">
        <v>17.86</v>
      </c>
      <c r="I27" s="944">
        <v>0</v>
      </c>
      <c r="J27" s="945">
        <f>+I27*0.02/40</f>
        <v>0</v>
      </c>
      <c r="K27" s="945">
        <v>17.86</v>
      </c>
      <c r="L27" s="944">
        <v>0</v>
      </c>
      <c r="M27" s="945">
        <f>+L27*0.02/40</f>
        <v>0</v>
      </c>
      <c r="N27" s="945">
        <v>17.86</v>
      </c>
      <c r="O27" s="944">
        <v>0</v>
      </c>
      <c r="P27" s="945">
        <f>+O27*0.02/40</f>
        <v>0</v>
      </c>
      <c r="Q27" s="945">
        <v>17.86</v>
      </c>
      <c r="R27" s="944">
        <v>0</v>
      </c>
      <c r="S27" s="945">
        <f>+R27*0.02/40</f>
        <v>0</v>
      </c>
      <c r="T27" s="945">
        <v>17.86</v>
      </c>
      <c r="U27" s="944">
        <v>0</v>
      </c>
      <c r="V27" s="945">
        <f>+U27*0.02/40</f>
        <v>0</v>
      </c>
      <c r="W27" s="945">
        <v>17.86</v>
      </c>
      <c r="X27" s="944">
        <v>0</v>
      </c>
      <c r="Y27" s="945">
        <f>+X27*0.02/40</f>
        <v>0</v>
      </c>
      <c r="Z27" s="945">
        <v>17.86</v>
      </c>
      <c r="AA27" s="944">
        <v>0</v>
      </c>
      <c r="AB27" s="945">
        <f>+AA27*0.02/40</f>
        <v>0</v>
      </c>
      <c r="AC27" s="945">
        <v>17.86</v>
      </c>
      <c r="AD27" s="944">
        <v>0</v>
      </c>
      <c r="AE27" s="945">
        <f>+AD27*0.02/40</f>
        <v>0</v>
      </c>
      <c r="AF27" s="945">
        <v>17.86</v>
      </c>
      <c r="AG27" s="944">
        <v>0</v>
      </c>
      <c r="AH27" s="945">
        <f>+AG27*0.02/40</f>
        <v>0</v>
      </c>
      <c r="AI27" s="945">
        <v>17.86</v>
      </c>
      <c r="AJ27" s="944">
        <v>0</v>
      </c>
      <c r="AK27" s="945">
        <f>+AJ27*0.02/40</f>
        <v>0</v>
      </c>
      <c r="AL27" s="945">
        <v>17.86</v>
      </c>
      <c r="AM27" s="944">
        <v>0</v>
      </c>
      <c r="AN27" s="945">
        <f>+AM27*0.02/40</f>
        <v>0</v>
      </c>
      <c r="AO27" s="945">
        <v>17.86</v>
      </c>
      <c r="AP27" s="944">
        <v>0</v>
      </c>
      <c r="AQ27" s="945">
        <f>+AP27*0.02/40</f>
        <v>0</v>
      </c>
      <c r="AR27" s="945">
        <v>17.86</v>
      </c>
      <c r="AS27" s="944">
        <v>0</v>
      </c>
      <c r="AT27" s="945">
        <f>+AS27*0.02/40</f>
        <v>0</v>
      </c>
      <c r="AU27" s="945">
        <v>17.82</v>
      </c>
      <c r="AV27" s="944"/>
      <c r="AW27" s="945">
        <f>+AV27*0.02/40</f>
        <v>0</v>
      </c>
      <c r="AX27" s="945"/>
      <c r="AY27" s="944"/>
      <c r="AZ27" s="945">
        <f>+AY27*0.02/40</f>
        <v>0</v>
      </c>
      <c r="BA27" s="945"/>
      <c r="BB27" s="937">
        <f t="shared" si="70"/>
        <v>0</v>
      </c>
      <c r="BC27" s="938">
        <f t="shared" si="70"/>
        <v>0</v>
      </c>
      <c r="BD27" s="936">
        <f t="shared" si="70"/>
        <v>250.00000000000006</v>
      </c>
      <c r="BE27" s="946"/>
      <c r="BF27" s="947">
        <f t="shared" si="17"/>
        <v>250.00000000000006</v>
      </c>
      <c r="BG27" s="944">
        <v>0</v>
      </c>
      <c r="BH27" s="945">
        <f>+BG27*0.02/40</f>
        <v>0</v>
      </c>
      <c r="BI27" s="945">
        <v>23.46</v>
      </c>
      <c r="BJ27" s="944">
        <v>0</v>
      </c>
      <c r="BK27" s="945">
        <f>+BJ27*0.02/40</f>
        <v>0</v>
      </c>
      <c r="BL27" s="945">
        <v>15</v>
      </c>
      <c r="BM27" s="944"/>
      <c r="BN27" s="945">
        <f>+BM27*0.02/40</f>
        <v>0</v>
      </c>
      <c r="BO27" s="945"/>
      <c r="BP27" s="944"/>
      <c r="BQ27" s="945">
        <f>+BP27*0.02/40</f>
        <v>0</v>
      </c>
      <c r="BR27" s="945"/>
      <c r="BS27" s="944"/>
      <c r="BT27" s="945">
        <f>+BS27*0.02/40</f>
        <v>0</v>
      </c>
      <c r="BU27" s="944"/>
      <c r="BV27" s="945">
        <f>+BU27*0.02/40</f>
        <v>0</v>
      </c>
      <c r="BW27" s="945"/>
      <c r="BX27" s="936"/>
      <c r="BY27" s="944"/>
      <c r="BZ27" s="945">
        <f>+BY27*0.02/40</f>
        <v>0</v>
      </c>
      <c r="CA27" s="945"/>
      <c r="CB27" s="944"/>
      <c r="CC27" s="945">
        <f>+CB27*0.02/40</f>
        <v>0</v>
      </c>
      <c r="CD27" s="945"/>
      <c r="CE27" s="944"/>
      <c r="CF27" s="945">
        <f>+CE27*0.02/40</f>
        <v>0</v>
      </c>
      <c r="CG27" s="945"/>
      <c r="CH27" s="944"/>
      <c r="CI27" s="945">
        <f>+CH27*0.02/40</f>
        <v>0</v>
      </c>
      <c r="CJ27" s="945"/>
      <c r="CK27" s="944"/>
      <c r="CL27" s="945">
        <f>+CK27*0.02/40</f>
        <v>0</v>
      </c>
      <c r="CM27" s="945"/>
      <c r="CN27" s="944"/>
      <c r="CO27" s="945">
        <f>+CN27*0.02/40</f>
        <v>0</v>
      </c>
      <c r="CP27" s="945"/>
      <c r="CQ27" s="944"/>
      <c r="CR27" s="945">
        <f>+CQ27*0.02/40</f>
        <v>0</v>
      </c>
      <c r="CS27" s="945"/>
      <c r="CT27" s="941">
        <f>BG27+BJ27+BM27+BP27+BS27+BV27+BY27+CB27+CH27+CK27+CN27+CQ27+CE27</f>
        <v>0</v>
      </c>
      <c r="CU27" s="942">
        <f>BH27+BK27+BN27+BQ27+BT27+BW27+BZ27+CC27+CI27+CL27+CO27+CR27+CF27</f>
        <v>0</v>
      </c>
      <c r="CV27" s="936">
        <f t="shared" si="31"/>
        <v>38.46</v>
      </c>
      <c r="CW27" s="946"/>
      <c r="CX27" s="939">
        <f t="shared" si="32"/>
        <v>38.46</v>
      </c>
      <c r="CY27" s="930">
        <f t="shared" si="71"/>
        <v>0</v>
      </c>
      <c r="CZ27" s="931">
        <f t="shared" si="71"/>
        <v>0</v>
      </c>
      <c r="DA27" s="931">
        <f t="shared" si="71"/>
        <v>288.46000000000004</v>
      </c>
      <c r="DB27" s="932">
        <f t="shared" si="34"/>
        <v>288.46000000000004</v>
      </c>
      <c r="DC27" s="933" t="s">
        <v>755</v>
      </c>
    </row>
    <row r="28" spans="1:170" s="994" customFormat="1" ht="16.5" thickBot="1" x14ac:dyDescent="0.3">
      <c r="A28" s="773">
        <f t="shared" si="35"/>
        <v>22</v>
      </c>
      <c r="B28" s="1116" t="s">
        <v>199</v>
      </c>
      <c r="C28" s="1032" t="s">
        <v>704</v>
      </c>
      <c r="D28" s="949"/>
      <c r="E28" s="950"/>
      <c r="F28" s="1117"/>
      <c r="G28" s="955">
        <f>+F28*0.02/40</f>
        <v>0</v>
      </c>
      <c r="H28" s="955"/>
      <c r="I28" s="1117"/>
      <c r="J28" s="955">
        <f>+I28*0.02/40</f>
        <v>0</v>
      </c>
      <c r="K28" s="955"/>
      <c r="L28" s="1117"/>
      <c r="M28" s="955">
        <f>+L28*0.02/40</f>
        <v>0</v>
      </c>
      <c r="N28" s="955"/>
      <c r="O28" s="1117"/>
      <c r="P28" s="955">
        <f>+O28*0.02/40</f>
        <v>0</v>
      </c>
      <c r="Q28" s="955"/>
      <c r="R28" s="951"/>
      <c r="S28" s="952">
        <f>+R28*0.02/40</f>
        <v>0</v>
      </c>
      <c r="T28" s="952"/>
      <c r="U28" s="951"/>
      <c r="V28" s="952">
        <f>+U28*0.02/40</f>
        <v>0</v>
      </c>
      <c r="W28" s="952"/>
      <c r="X28" s="951"/>
      <c r="Y28" s="952">
        <f>+X28*0.02/40</f>
        <v>0</v>
      </c>
      <c r="Z28" s="952"/>
      <c r="AA28" s="951"/>
      <c r="AB28" s="952">
        <f>+AA28*0.02/40</f>
        <v>0</v>
      </c>
      <c r="AC28" s="952"/>
      <c r="AD28" s="951"/>
      <c r="AE28" s="952">
        <f>+AD28*0.02/40</f>
        <v>0</v>
      </c>
      <c r="AF28" s="952"/>
      <c r="AG28" s="951"/>
      <c r="AH28" s="952">
        <f>+AG28*0.02/40</f>
        <v>0</v>
      </c>
      <c r="AI28" s="952"/>
      <c r="AJ28" s="951"/>
      <c r="AK28" s="952">
        <f>+AJ28*0.02/40</f>
        <v>0</v>
      </c>
      <c r="AL28" s="952"/>
      <c r="AM28" s="951"/>
      <c r="AN28" s="952">
        <f>+AM28*0.02/40</f>
        <v>0</v>
      </c>
      <c r="AO28" s="952"/>
      <c r="AP28" s="951"/>
      <c r="AQ28" s="952">
        <f>+AP28*0.02/40</f>
        <v>0</v>
      </c>
      <c r="AR28" s="952"/>
      <c r="AS28" s="951"/>
      <c r="AT28" s="952">
        <f>+AS28*0.02/40</f>
        <v>0</v>
      </c>
      <c r="AU28" s="952"/>
      <c r="AV28" s="951"/>
      <c r="AW28" s="952">
        <f>+AV28*0.02/40</f>
        <v>0</v>
      </c>
      <c r="AX28" s="952"/>
      <c r="AY28" s="951"/>
      <c r="AZ28" s="952">
        <f>+AY28*0.02/40</f>
        <v>0</v>
      </c>
      <c r="BA28" s="952"/>
      <c r="BB28" s="953">
        <f t="shared" si="70"/>
        <v>0</v>
      </c>
      <c r="BC28" s="954">
        <f t="shared" si="70"/>
        <v>0</v>
      </c>
      <c r="BD28" s="955">
        <f t="shared" si="70"/>
        <v>0</v>
      </c>
      <c r="BE28" s="956"/>
      <c r="BF28" s="957">
        <f t="shared" si="17"/>
        <v>0</v>
      </c>
      <c r="BG28" s="951"/>
      <c r="BH28" s="952">
        <f>+BG28*0.02/40</f>
        <v>0</v>
      </c>
      <c r="BI28" s="952"/>
      <c r="BJ28" s="951"/>
      <c r="BK28" s="952">
        <f>+BJ28*0.02/40</f>
        <v>0</v>
      </c>
      <c r="BL28" s="952"/>
      <c r="BM28" s="951"/>
      <c r="BN28" s="952">
        <f>+BM28*0.02/40</f>
        <v>0</v>
      </c>
      <c r="BO28" s="952"/>
      <c r="BP28" s="951"/>
      <c r="BQ28" s="952">
        <f>+BP28*0.02/40</f>
        <v>0</v>
      </c>
      <c r="BR28" s="952"/>
      <c r="BS28" s="951"/>
      <c r="BT28" s="952">
        <f>+BS28*0.02/40</f>
        <v>0</v>
      </c>
      <c r="BU28" s="952"/>
      <c r="BV28" s="952">
        <f>+BU28*0.02/40</f>
        <v>0</v>
      </c>
      <c r="BW28" s="952"/>
      <c r="BX28" s="952"/>
      <c r="BY28" s="951"/>
      <c r="BZ28" s="952">
        <f>+BY28*0.02/40</f>
        <v>0</v>
      </c>
      <c r="CA28" s="952"/>
      <c r="CB28" s="951"/>
      <c r="CC28" s="952">
        <f>+CB28*0.02/40</f>
        <v>0</v>
      </c>
      <c r="CD28" s="952"/>
      <c r="CE28" s="951"/>
      <c r="CF28" s="952">
        <f>+CE28*0.02/40</f>
        <v>0</v>
      </c>
      <c r="CG28" s="952"/>
      <c r="CH28" s="951"/>
      <c r="CI28" s="952">
        <f>+CH28*0.02/40</f>
        <v>0</v>
      </c>
      <c r="CJ28" s="952"/>
      <c r="CK28" s="951"/>
      <c r="CL28" s="952">
        <f>+CK28*0.02/40</f>
        <v>0</v>
      </c>
      <c r="CM28" s="952"/>
      <c r="CN28" s="951"/>
      <c r="CO28" s="952">
        <f>+CN28*0.02/40</f>
        <v>0</v>
      </c>
      <c r="CP28" s="952"/>
      <c r="CQ28" s="951"/>
      <c r="CR28" s="952">
        <f>+CQ28*0.02/40</f>
        <v>0</v>
      </c>
      <c r="CS28" s="952"/>
      <c r="CT28" s="958">
        <f t="shared" ref="CT28:CU43" si="72">BG28+BJ28+BM28+BP28+BS28+BV28+BY28+CB28+CH28+CK28+CN28+CQ28+CE28</f>
        <v>0</v>
      </c>
      <c r="CU28" s="959">
        <f t="shared" si="72"/>
        <v>0</v>
      </c>
      <c r="CV28" s="955">
        <f t="shared" si="31"/>
        <v>0</v>
      </c>
      <c r="CW28" s="956"/>
      <c r="CX28" s="960">
        <f t="shared" si="32"/>
        <v>0</v>
      </c>
      <c r="CY28" s="953">
        <f t="shared" si="71"/>
        <v>0</v>
      </c>
      <c r="CZ28" s="960">
        <f t="shared" si="71"/>
        <v>0</v>
      </c>
      <c r="DA28" s="960">
        <f t="shared" si="71"/>
        <v>0</v>
      </c>
      <c r="DB28" s="961">
        <f t="shared" si="34"/>
        <v>0</v>
      </c>
      <c r="DC28" s="933" t="s">
        <v>754</v>
      </c>
      <c r="DD28" s="398"/>
      <c r="DE28" s="1075">
        <f>+CZ11+CZ12+CZ13+CZ14+CZ15+CZ16+CZ17+CZ18+CZ19+CZ20+CZ21+CZ22+CZ23+CZ24+CZ25+CZ26+CZ27+CZ28+CZ81+CZ82+CZ83+CZ84+CZ85</f>
        <v>9450.7764079238186</v>
      </c>
      <c r="DF28" s="1075">
        <f t="shared" ref="DF28:DG28" si="73">+DA11+DA12+DA13+DA14+DA15+DA16+DA17+DA18+DA19+DA20+DA21+DA22+DA23+DA24+DA25+DA26+DA27+DA28+DA81+DA82+DA83+DA84+DA85</f>
        <v>1503.3599795833331</v>
      </c>
      <c r="DG28" s="1075">
        <f t="shared" si="73"/>
        <v>10954.136387507151</v>
      </c>
      <c r="DH28" s="398"/>
      <c r="DI28" s="398"/>
      <c r="DJ28" s="398"/>
      <c r="DK28" s="398"/>
      <c r="DL28" s="398"/>
      <c r="DM28" s="398"/>
      <c r="DN28" s="398"/>
      <c r="DO28" s="398"/>
      <c r="DP28" s="398"/>
      <c r="DQ28" s="398"/>
      <c r="DR28" s="398"/>
      <c r="DS28" s="398"/>
      <c r="DT28" s="398"/>
      <c r="DU28" s="398"/>
      <c r="DV28" s="398"/>
      <c r="DW28" s="398"/>
      <c r="DX28" s="398"/>
      <c r="DY28" s="398"/>
      <c r="DZ28" s="398"/>
      <c r="EA28" s="398"/>
      <c r="EB28" s="398"/>
      <c r="EC28" s="398"/>
      <c r="ED28" s="398"/>
      <c r="EE28" s="398"/>
      <c r="EF28" s="398"/>
      <c r="EG28" s="398"/>
      <c r="EH28" s="398"/>
      <c r="EI28" s="398"/>
      <c r="EJ28" s="398"/>
      <c r="EK28" s="398"/>
      <c r="EL28" s="398"/>
      <c r="EM28" s="398"/>
      <c r="EN28" s="398"/>
      <c r="EO28" s="398"/>
      <c r="EP28" s="398"/>
      <c r="EQ28" s="398"/>
      <c r="ER28" s="398"/>
      <c r="ES28" s="933"/>
      <c r="ET28" s="933"/>
      <c r="EU28" s="933"/>
      <c r="EV28" s="933"/>
      <c r="EW28" s="933"/>
      <c r="EX28" s="933"/>
      <c r="EY28" s="933"/>
      <c r="EZ28" s="933"/>
      <c r="FA28" s="933"/>
      <c r="FB28" s="933"/>
      <c r="FC28" s="933"/>
      <c r="FD28" s="933"/>
      <c r="FE28" s="933"/>
      <c r="FF28" s="933"/>
      <c r="FG28" s="933"/>
      <c r="FH28" s="933"/>
      <c r="FI28" s="933"/>
      <c r="FJ28" s="933"/>
      <c r="FK28" s="933"/>
      <c r="FL28" s="933"/>
      <c r="FM28" s="933"/>
      <c r="FN28" s="933"/>
    </row>
    <row r="29" spans="1:170" s="571" customFormat="1" ht="15.75" customHeight="1" x14ac:dyDescent="0.25">
      <c r="A29" s="1118">
        <f>+A28+1</f>
        <v>23</v>
      </c>
      <c r="B29" s="1119" t="s">
        <v>107</v>
      </c>
      <c r="C29" s="1120" t="s">
        <v>786</v>
      </c>
      <c r="D29" s="978" t="s">
        <v>757</v>
      </c>
      <c r="E29" s="1121" t="s">
        <v>758</v>
      </c>
      <c r="F29" s="1122">
        <v>3577.0854271356784</v>
      </c>
      <c r="G29" s="517">
        <f>IF(F29&lt;2700,F29*0.007,IF(F29&lt;3200,F29*0.008,IF(F29&lt;3700,F29*0.0097,IF(F29&gt;3699,F29*0.01095,""))))</f>
        <v>34.697728643216081</v>
      </c>
      <c r="H29" s="1123"/>
      <c r="I29" s="1122">
        <v>3163.6582914572864</v>
      </c>
      <c r="J29" s="517">
        <f>IF(I29&lt;2700,I29*0.007,IF(I29&lt;3200,I29*0.008,IF(I29&lt;3700,I29*0.0097,IF(I29&gt;3699,I29*0.01095,""))))</f>
        <v>25.309266331658293</v>
      </c>
      <c r="K29" s="1123"/>
      <c r="L29" s="1122">
        <v>3378.3316582914572</v>
      </c>
      <c r="M29" s="517">
        <f>IF(L29&lt;2700,L29*0.007,IF(L29&lt;3200,L29*0.008,IF(L29&lt;3700,L29*0.0097,IF(L29&gt;3699,L29*0.01095,""))))</f>
        <v>32.769817085427135</v>
      </c>
      <c r="N29" s="1123"/>
      <c r="O29" s="1124"/>
      <c r="P29" s="1027">
        <f>IF(O29&lt;2700,O29*0.0097,IF(O29&lt;3200,O29*0.01095,IF(O29&lt;3700,O29*0.0122,IF(O29&gt;3699,O29*0.01345,""))))</f>
        <v>0</v>
      </c>
      <c r="Q29" s="1123"/>
      <c r="R29" s="1122">
        <v>0</v>
      </c>
      <c r="S29" s="1027">
        <f>IF(R29&lt;2700,R29*0.0097,IF(R29&lt;3200,R29*0.01095,IF(R29&lt;3700,R29*0.0122,IF(R29&gt;3699,R29*0.01345,""))))</f>
        <v>0</v>
      </c>
      <c r="T29" s="1123">
        <v>0</v>
      </c>
      <c r="U29" s="1122">
        <v>0</v>
      </c>
      <c r="V29" s="1027">
        <f>IF(U29&lt;2700,U29*0.0097,IF(U29&lt;3200,U29*0.01095,IF(U29&lt;3700,U29*0.0122,IF(U29&gt;3699,U29*0.01345,""))))</f>
        <v>0</v>
      </c>
      <c r="W29" s="1123">
        <v>0</v>
      </c>
      <c r="X29" s="1122">
        <v>0</v>
      </c>
      <c r="Y29" s="1027">
        <f>IF(X29&lt;2700,X29*0.0097,IF(X29&lt;3200,X29*0.01095,IF(X29&lt;3700,X29*0.0122,IF(X29&gt;3699,X29*0.01345,""))))</f>
        <v>0</v>
      </c>
      <c r="Z29" s="1123">
        <v>0</v>
      </c>
      <c r="AA29" s="1122">
        <v>0</v>
      </c>
      <c r="AB29" s="1027">
        <f>IF(AA29&lt;2700,AA29*0.0097,IF(AA29&lt;3200,AA29*0.01095,IF(AA29&lt;3700,AA29*0.0122,IF(AA29&gt;3699,AA29*0.01345,""))))</f>
        <v>0</v>
      </c>
      <c r="AC29" s="1123">
        <v>0</v>
      </c>
      <c r="AD29" s="1122">
        <v>0</v>
      </c>
      <c r="AE29" s="1027">
        <f>IF(AD29&lt;2700,AD29*0.0097,IF(AD29&lt;3200,AD29*0.01095,IF(AD29&lt;3700,AD29*0.0122,IF(AD29&gt;3699,AD29*0.01345,""))))</f>
        <v>0</v>
      </c>
      <c r="AF29" s="1123"/>
      <c r="AG29" s="1122">
        <v>0</v>
      </c>
      <c r="AH29" s="1027">
        <f>IF(AG29&lt;2700,AG29*0.0097,IF(AG29&lt;3200,AG29*0.01095,IF(AG29&lt;3700,AG29*0.0122,IF(AG29&gt;3699,AG29*0.01345,""))))</f>
        <v>0</v>
      </c>
      <c r="AI29" s="1123"/>
      <c r="AJ29" s="1122">
        <v>0</v>
      </c>
      <c r="AK29" s="1027">
        <f>IF(AJ29&lt;2700,AJ29*0.0097,IF(AJ29&lt;3200,AJ29*0.01095,IF(AJ29&lt;3700,AJ29*0.0122,IF(AJ29&gt;3699,AJ29*0.01345,""))))</f>
        <v>0</v>
      </c>
      <c r="AL29" s="1123"/>
      <c r="AM29" s="1122">
        <v>0</v>
      </c>
      <c r="AN29" s="1027">
        <f>IF(AM29&lt;2700,AM29*0.0097,IF(AM29&lt;3200,AM29*0.01095,IF(AM29&lt;3700,AM29*0.0122,IF(AM29&gt;3699,AM29*0.01345,""))))</f>
        <v>0</v>
      </c>
      <c r="AO29" s="1123"/>
      <c r="AP29" s="1122">
        <v>0</v>
      </c>
      <c r="AQ29" s="1027">
        <f>IF(AP29&lt;2700,AP29*0.0097,IF(AP29&lt;3200,AP29*0.01095,IF(AP29&lt;3700,AP29*0.0122,IF(AP29&gt;3699,AP29*0.01345,""))))</f>
        <v>0</v>
      </c>
      <c r="AR29" s="1123"/>
      <c r="AS29" s="1122">
        <v>0</v>
      </c>
      <c r="AT29" s="1027">
        <f>IF(AS29&lt;2700,AS29*0.0097,IF(AS29&lt;3200,AS29*0.01095,IF(AS29&lt;3700,AS29*0.0122,IF(AS29&gt;3699,AS29*0.01345,""))))</f>
        <v>0</v>
      </c>
      <c r="AU29" s="1123"/>
      <c r="AV29" s="1124"/>
      <c r="AW29" s="1027">
        <f>IF(AV29&lt;2700,AV29*0.0097,IF(AV29&lt;3200,AV29*0.01095,IF(AV29&lt;3700,AV29*0.0122,IF(AV29&gt;3699,AV29*0.01345,""))))</f>
        <v>0</v>
      </c>
      <c r="AX29" s="1123"/>
      <c r="AY29" s="1124"/>
      <c r="AZ29" s="1027">
        <f>IF(AY29&lt;2700,AY29*0.0097,IF(AY29&lt;3200,AY29*0.01095,IF(AY29&lt;3700,AY29*0.0122,IF(AY29&gt;3699,AY29*0.01345,""))))</f>
        <v>0</v>
      </c>
      <c r="BA29" s="1123"/>
      <c r="BB29" s="1125">
        <f t="shared" si="70"/>
        <v>10119.075376884422</v>
      </c>
      <c r="BC29" s="1126">
        <f t="shared" si="70"/>
        <v>92.776812060301509</v>
      </c>
      <c r="BD29" s="1127">
        <f t="shared" si="70"/>
        <v>0</v>
      </c>
      <c r="BE29" s="1128"/>
      <c r="BF29" s="1028">
        <f t="shared" si="17"/>
        <v>92.776812060301509</v>
      </c>
      <c r="BG29" s="1124">
        <v>0</v>
      </c>
      <c r="BH29" s="1027">
        <f>IF(BG29&lt;2700,BG29*0.0101,IF(BG29&lt;3200,BG29*0.01135,IF(BG29&lt;3700,BG29*0.0126,IF(BG29&gt;3699,BG29*0.01385,""))))</f>
        <v>0</v>
      </c>
      <c r="BI29" s="1123"/>
      <c r="BJ29" s="1124">
        <v>0</v>
      </c>
      <c r="BK29" s="1027">
        <f>IF(BJ29&lt;2700,BJ29*0.0101,IF(BJ29&lt;3200,BJ29*0.01135,IF(BJ29&lt;3700,BJ29*0.0126,IF(BJ29&gt;3699,BJ29*0.01385,""))))</f>
        <v>0</v>
      </c>
      <c r="BL29" s="1123"/>
      <c r="BM29" s="1122">
        <v>2688.4824120603012</v>
      </c>
      <c r="BN29" s="1027">
        <f>IF(BM29&lt;2700,BM29*0.008,IF(BM29&lt;3200,BM29*0.0097,IF(BM29&lt;3700,BM29*0.01095,IF(BM29&gt;3699,BM29*0.0122,""))))</f>
        <v>21.507859296482408</v>
      </c>
      <c r="BO29" s="1123"/>
      <c r="BP29" s="1122">
        <v>2289.0452261306532</v>
      </c>
      <c r="BQ29" s="1027">
        <f>IF(BP29&lt;2700,BP29*0.008,IF(BP29&lt;3200,BP29*0.0097,IF(BP29&lt;3700,BP29*0.01095,IF(BP29&gt;3699,BP29*0.0122,""))))</f>
        <v>18.312361809045225</v>
      </c>
      <c r="BR29" s="1123"/>
      <c r="BS29" s="1122">
        <v>2610.3316582914572</v>
      </c>
      <c r="BT29" s="1027">
        <f>IF(BS29&lt;2700,BS29*0.008,IF(BS29&lt;3200,BS29*0.0097,IF(BS29&lt;3700,BS29*0.01095,IF(BS29&gt;3699,BS29*0.0122,""))))</f>
        <v>20.882653266331658</v>
      </c>
      <c r="BU29" s="1123"/>
      <c r="BV29" s="1122">
        <v>2656.1608040201008</v>
      </c>
      <c r="BW29" s="1027">
        <f>IF(BV29&lt;2700,BV29*0.008,IF(BV29&lt;3200,BV29*0.0097,IF(BV29&lt;3700,BV29*0.01095,IF(BV29&gt;3699,BV29*0.0122,""))))</f>
        <v>21.249286432160808</v>
      </c>
      <c r="BX29" s="1123"/>
      <c r="BY29" s="1122">
        <v>1495.9597989949748</v>
      </c>
      <c r="BZ29" s="1027">
        <f>IF(BY29&lt;2700,BY29*0.008,IF(BY29&lt;3200,BY29*0.0097,IF(BY29&lt;3700,BY29*0.01095,IF(BY29&gt;3699,BY29*0.0122,""))))</f>
        <v>11.967678391959799</v>
      </c>
      <c r="CA29" s="1123"/>
      <c r="CB29" s="1124">
        <v>0</v>
      </c>
      <c r="CC29" s="1027">
        <f>IF(CB29&lt;2700,CB29*0.0097,IF(CB29&lt;3200,CB29*0.01095,IF(CB29&lt;3700,CB29*0.0122,IF(CB29&gt;3699,CB29*0.01345,""))))</f>
        <v>0</v>
      </c>
      <c r="CD29" s="1123">
        <v>0</v>
      </c>
      <c r="CE29" s="1122">
        <v>2936.4422110552769</v>
      </c>
      <c r="CF29" s="1129">
        <f>IF(CE29&lt;2700,CE29*0.01,IF(CE29&lt;3200,CE29*0.0105,IF(CE29&lt;3700,CE29*0.01175,IF(CE29&gt;3699,CE29*0.013,""))))</f>
        <v>30.83264321608041</v>
      </c>
      <c r="CG29" s="1123"/>
      <c r="CH29" s="1130">
        <v>0</v>
      </c>
      <c r="CI29" s="1027">
        <f>IF(CH29&lt;2700,CH29*0.0097,IF(CH29&lt;3200,CH29*0.01095,IF(CH29&lt;3700,CH29*0.0122,IF(CH29&gt;3699,CH29*0.01345,""))))</f>
        <v>0</v>
      </c>
      <c r="CJ29" s="1123"/>
      <c r="CK29" s="1130">
        <v>0</v>
      </c>
      <c r="CL29" s="1027">
        <f>IF(CK29&lt;2700,CK29*0.0097,IF(CK29&lt;3200,CK29*0.01095,IF(CK29&lt;3700,CK29*0.0122,IF(CK29&gt;3699,CK29*0.01345,""))))</f>
        <v>0</v>
      </c>
      <c r="CM29" s="1123"/>
      <c r="CN29" s="1130">
        <v>0</v>
      </c>
      <c r="CO29" s="1027">
        <f>IF(CN29&lt;2700,CN29*0.0097,IF(CN29&lt;3200,CN29*0.01095,IF(CN29&lt;3700,CN29*0.0122,IF(CN29&gt;3699,CN29*0.01345,""))))</f>
        <v>0</v>
      </c>
      <c r="CP29" s="1123"/>
      <c r="CQ29" s="1130">
        <v>0</v>
      </c>
      <c r="CR29" s="1027">
        <f>IF(CQ29&lt;2700,CQ29*0.0097,IF(CQ29&lt;3200,CQ29*0.01095,IF(CQ29&lt;3700,CQ29*0.0122,IF(CQ29&gt;3699,CQ29*0.01345,""))))</f>
        <v>0</v>
      </c>
      <c r="CS29" s="1123"/>
      <c r="CT29" s="1131">
        <f t="shared" si="72"/>
        <v>14676.422110552763</v>
      </c>
      <c r="CU29" s="1132">
        <f t="shared" si="72"/>
        <v>124.75248241206032</v>
      </c>
      <c r="CV29" s="1133">
        <f t="shared" si="31"/>
        <v>0</v>
      </c>
      <c r="CW29" s="1128"/>
      <c r="CX29" s="1134">
        <f t="shared" si="32"/>
        <v>124.75248241206032</v>
      </c>
      <c r="CY29" s="1135">
        <f t="shared" si="71"/>
        <v>24795.497487437184</v>
      </c>
      <c r="CZ29" s="1136">
        <f t="shared" si="71"/>
        <v>217.52929447236181</v>
      </c>
      <c r="DA29" s="1137">
        <f t="shared" si="71"/>
        <v>0</v>
      </c>
      <c r="DB29" s="1138">
        <f t="shared" si="34"/>
        <v>217.52929447236181</v>
      </c>
      <c r="DC29" s="920" t="s">
        <v>737</v>
      </c>
      <c r="DD29" s="570"/>
      <c r="DE29" s="570"/>
      <c r="DF29" s="570"/>
      <c r="DG29" s="570"/>
      <c r="DH29" s="570"/>
      <c r="DI29" s="570"/>
      <c r="DJ29" s="570"/>
      <c r="DK29" s="570"/>
      <c r="DL29" s="570"/>
      <c r="DM29" s="570"/>
      <c r="DN29" s="570"/>
      <c r="DO29" s="570"/>
      <c r="DP29" s="570"/>
      <c r="DQ29" s="570"/>
      <c r="DR29" s="570"/>
      <c r="DS29" s="570"/>
      <c r="DT29" s="570"/>
      <c r="DU29" s="570"/>
      <c r="DV29" s="570"/>
      <c r="DW29" s="570"/>
      <c r="DX29" s="570"/>
      <c r="DY29" s="570"/>
      <c r="DZ29" s="570"/>
      <c r="EA29" s="570"/>
      <c r="EB29" s="570"/>
      <c r="EC29" s="570"/>
      <c r="ED29" s="570"/>
      <c r="EE29" s="570"/>
      <c r="EF29" s="570"/>
      <c r="EG29" s="570"/>
      <c r="EH29" s="570"/>
      <c r="EI29" s="570"/>
      <c r="EJ29" s="570"/>
      <c r="EK29" s="570"/>
      <c r="EL29" s="570"/>
      <c r="EM29" s="570"/>
      <c r="EN29" s="570"/>
      <c r="EO29" s="570"/>
      <c r="EP29" s="570"/>
      <c r="EQ29" s="570"/>
      <c r="ER29" s="570"/>
    </row>
    <row r="30" spans="1:170" s="571" customFormat="1" ht="15.75" customHeight="1" x14ac:dyDescent="0.25">
      <c r="A30" s="828">
        <f>+A29+1</f>
        <v>24</v>
      </c>
      <c r="B30" s="973" t="s">
        <v>114</v>
      </c>
      <c r="C30" s="921" t="s">
        <v>791</v>
      </c>
      <c r="D30" s="1022" t="s">
        <v>759</v>
      </c>
      <c r="E30" s="726" t="s">
        <v>760</v>
      </c>
      <c r="F30" s="967">
        <v>3577.0854271356784</v>
      </c>
      <c r="G30" s="517">
        <f>IF(F30&lt;2700,F30*0.0075,IF(F30&lt;3200,F30*0.009,IF(F30&lt;3700,F30*0.0101,IF(F30&gt;3699,F30*0.01135,""))))</f>
        <v>36.128562814070349</v>
      </c>
      <c r="H30" s="509"/>
      <c r="I30" s="967">
        <v>3163.6582914572864</v>
      </c>
      <c r="J30" s="517">
        <f>IF(I30&lt;2700,I30*0.0075,IF(I30&lt;3200,I30*0.009,IF(I30&lt;3700,I30*0.0101,IF(I30&gt;3699,I30*0.01135,""))))</f>
        <v>28.472924623115574</v>
      </c>
      <c r="K30" s="509"/>
      <c r="L30" s="967">
        <v>3378.3316582914572</v>
      </c>
      <c r="M30" s="517">
        <f>IF(L30&lt;2700,L30*0.0075,IF(L30&lt;3200,L30*0.009,IF(L30&lt;3700,L30*0.0101,IF(L30&gt;3699,L30*0.01135,""))))</f>
        <v>34.121149748743719</v>
      </c>
      <c r="N30" s="509"/>
      <c r="O30" s="968"/>
      <c r="P30" s="509">
        <v>0</v>
      </c>
      <c r="Q30" s="509"/>
      <c r="R30" s="968">
        <v>0</v>
      </c>
      <c r="S30" s="1139">
        <v>0</v>
      </c>
      <c r="T30" s="1139">
        <v>0</v>
      </c>
      <c r="U30" s="968">
        <v>0</v>
      </c>
      <c r="V30" s="509">
        <v>0</v>
      </c>
      <c r="W30" s="532">
        <v>20</v>
      </c>
      <c r="X30" s="968">
        <v>3236.9849246231156</v>
      </c>
      <c r="Y30" s="509">
        <f>IF(X30&lt;2700,X30*0.0101,IF(X30&lt;3200,X30*0.01135,IF(X30&lt;3700,X30*0.0126,IF(X30&gt;3699,X30*0.01385,""))))</f>
        <v>40.786010050251257</v>
      </c>
      <c r="Z30" s="509"/>
      <c r="AA30" s="968">
        <v>0</v>
      </c>
      <c r="AB30" s="509">
        <v>0</v>
      </c>
      <c r="AC30" s="619">
        <v>18</v>
      </c>
      <c r="AD30" s="968">
        <v>1253.7889447236182</v>
      </c>
      <c r="AE30" s="517">
        <f>IF(AD30&lt;2700,AD30*0.0075,IF(AD30&lt;3200,AD30*0.009,IF(AD30&lt;3700,AD30*0.0101,IF(AD30&gt;3699,AD30*0.01135,""))))</f>
        <v>9.4034170854271366</v>
      </c>
      <c r="AF30" s="509">
        <v>30</v>
      </c>
      <c r="AG30" s="968">
        <v>0</v>
      </c>
      <c r="AH30" s="509">
        <v>0</v>
      </c>
      <c r="AI30" s="509">
        <v>0</v>
      </c>
      <c r="AJ30" s="661">
        <v>2605.507537688442</v>
      </c>
      <c r="AK30" s="517">
        <f>IF(AJ30&lt;2700,AJ30*0.0075,IF(AJ30&lt;3200,AJ30*0.009,IF(AJ30&lt;3700,AJ30*0.0101,IF(AJ30&gt;3699,AJ30*0.01135,""))))</f>
        <v>19.541306532663313</v>
      </c>
      <c r="AL30" s="509">
        <f>35-AK30</f>
        <v>15.458693467336687</v>
      </c>
      <c r="AM30" s="661">
        <v>3505.6884422110556</v>
      </c>
      <c r="AN30" s="517">
        <f>IF(AM30&lt;2700,AM30*0.0075,IF(AM30&lt;3200,AM30*0.009,IF(AM30&lt;3700,AM30*0.0101,IF(AM30&gt;3699,AM30*0.01135,""))))</f>
        <v>35.407453266331657</v>
      </c>
      <c r="AO30" s="509"/>
      <c r="AP30" s="968">
        <v>0</v>
      </c>
      <c r="AQ30" s="509">
        <f>IF(AP30&lt;2700,AP30*0.0101,IF(AP30&lt;3200,AP30*0.01135,IF(AP30&lt;3700,AP30*0.0126,IF(AP30&gt;3699,AP30*0.01385,""))))</f>
        <v>0</v>
      </c>
      <c r="AR30" s="509">
        <v>12</v>
      </c>
      <c r="AS30" s="661">
        <v>0</v>
      </c>
      <c r="AT30" s="509">
        <f>IF(AS30&lt;2700,AS30*0.0101,IF(AS30&lt;3200,AS30*0.01135,IF(AS30&lt;3700,AS30*0.0126,IF(AS30&gt;3699,AS30*0.01385,""))))</f>
        <v>0</v>
      </c>
      <c r="AU30" s="509">
        <v>18</v>
      </c>
      <c r="AV30" s="968"/>
      <c r="AW30" s="509">
        <v>0</v>
      </c>
      <c r="AX30" s="509"/>
      <c r="AY30" s="968"/>
      <c r="AZ30" s="509">
        <v>0</v>
      </c>
      <c r="BA30" s="509"/>
      <c r="BB30" s="694">
        <f>+F30+I30+L30+O30+R30+U30+X30+AA30+AD30+AG30+AJ30+AM30+AP30+AS30+AV30+AY30</f>
        <v>20721.045226130653</v>
      </c>
      <c r="BC30" s="695">
        <f>+G30+J30+M30+P30+S30+V30+Y30+AB30+AE30+AH30+AK30+AN30+AQ30+AT30+AW30+AZ30</f>
        <v>203.86082412060304</v>
      </c>
      <c r="BD30" s="696">
        <f>+H30+K30+N30+Q30+T30+W30+Z30+AC30+AF30+AI30+AL30+AO30+AR30+AU30+AX30+BA30</f>
        <v>113.45869346733669</v>
      </c>
      <c r="BE30" s="1139"/>
      <c r="BF30" s="584">
        <f t="shared" si="17"/>
        <v>317.31951758793974</v>
      </c>
      <c r="BG30" s="968">
        <v>3354.6934673366832</v>
      </c>
      <c r="BH30" s="509">
        <f>IF(BG30&lt;2700,BG30*0.0101,IF(BG30&lt;3200,BG30*0.01135,IF(BG30&lt;3700,BG30*0.0126,IF(BG30&gt;3699,BG30*0.01385,""))))</f>
        <v>42.269137688442207</v>
      </c>
      <c r="BI30" s="509"/>
      <c r="BJ30" s="968">
        <v>0</v>
      </c>
      <c r="BK30" s="509">
        <f>IF(BJ30&lt;2700,BJ30*0.0101,IF(BJ30&lt;3200,BJ30*0.01135,IF(BJ30&lt;3700,BJ30*0.0126,IF(BJ30&gt;3699,BJ30*0.01385,""))))</f>
        <v>0</v>
      </c>
      <c r="BL30" s="509">
        <v>12</v>
      </c>
      <c r="BM30" s="661">
        <v>0</v>
      </c>
      <c r="BN30" s="509">
        <f>IF(BM30&lt;2700,BM30*0.0101,IF(BM30&lt;3200,BM30*0.01135,IF(BM30&lt;3700,BM30*0.0126,IF(BM30&gt;3699,BM30*0.01385,""))))</f>
        <v>0</v>
      </c>
      <c r="BO30" s="509">
        <v>0</v>
      </c>
      <c r="BP30" s="661">
        <v>0</v>
      </c>
      <c r="BQ30" s="509">
        <f>IF(BP30&lt;2700,BP30*0.0101,IF(BP30&lt;3200,BP30*0.01135,IF(BP30&lt;3700,BP30*0.0126,IF(BP30&gt;3699,BP30*0.01385,""))))</f>
        <v>0</v>
      </c>
      <c r="BR30" s="509">
        <v>0</v>
      </c>
      <c r="BS30" s="661">
        <v>0</v>
      </c>
      <c r="BT30" s="509">
        <v>0</v>
      </c>
      <c r="BU30" s="509">
        <v>20</v>
      </c>
      <c r="BV30" s="661">
        <v>0</v>
      </c>
      <c r="BW30" s="509">
        <v>0</v>
      </c>
      <c r="BX30" s="509">
        <v>20</v>
      </c>
      <c r="BY30" s="661">
        <v>0</v>
      </c>
      <c r="BZ30" s="509">
        <v>0</v>
      </c>
      <c r="CA30" s="509">
        <v>0</v>
      </c>
      <c r="CB30" s="968">
        <v>0</v>
      </c>
      <c r="CC30" s="509">
        <v>0</v>
      </c>
      <c r="CD30" s="509">
        <v>10</v>
      </c>
      <c r="CE30" s="661">
        <v>2947.0552763819092</v>
      </c>
      <c r="CF30" s="509">
        <f>IF(CE30&lt;2700,CE30*0.0101,IF(CE30&lt;3200,CE30*0.01135,IF(CE30&lt;3700,CE30*0.0126,IF(CE30&gt;3699,CE30*0.01385,""))))</f>
        <v>33.449077386934668</v>
      </c>
      <c r="CG30" s="509"/>
      <c r="CH30" s="968">
        <v>0</v>
      </c>
      <c r="CI30" s="509">
        <v>0</v>
      </c>
      <c r="CJ30" s="509">
        <v>20</v>
      </c>
      <c r="CK30" s="968">
        <v>0</v>
      </c>
      <c r="CL30" s="509">
        <v>0</v>
      </c>
      <c r="CM30" s="509"/>
      <c r="CN30" s="968">
        <v>0</v>
      </c>
      <c r="CO30" s="509">
        <v>0</v>
      </c>
      <c r="CP30" s="509"/>
      <c r="CQ30" s="968">
        <v>0</v>
      </c>
      <c r="CR30" s="509">
        <v>0</v>
      </c>
      <c r="CS30" s="509"/>
      <c r="CT30" s="981">
        <f>BG30+BJ30+BM30+BP30+BS30+BV30+BY30+CB30+CH30+CK30+CN30+CQ30+CE30</f>
        <v>6301.7487437185919</v>
      </c>
      <c r="CU30" s="982">
        <f>BH30+BK30+BN30+BQ30+BT30+BW30+BZ30+CC30+CI30+CL30+CO30+CR30+CF30</f>
        <v>75.718215075376875</v>
      </c>
      <c r="CV30" s="983">
        <f t="shared" si="31"/>
        <v>82</v>
      </c>
      <c r="CW30" s="1139"/>
      <c r="CX30" s="984">
        <f t="shared" si="32"/>
        <v>157.71821507537686</v>
      </c>
      <c r="CY30" s="626">
        <f>+BB30+CT30</f>
        <v>27022.793969849245</v>
      </c>
      <c r="CZ30" s="627">
        <f>+BC30+CU30</f>
        <v>279.57903919597993</v>
      </c>
      <c r="DA30" s="628">
        <f>+BD30+CV30</f>
        <v>195.45869346733667</v>
      </c>
      <c r="DB30" s="629">
        <f t="shared" si="34"/>
        <v>475.0377326633166</v>
      </c>
      <c r="DC30" s="920" t="s">
        <v>740</v>
      </c>
      <c r="DD30" s="570"/>
      <c r="DE30" s="570"/>
      <c r="DF30" s="570"/>
      <c r="DG30" s="570"/>
      <c r="DH30" s="570"/>
      <c r="DI30" s="570"/>
      <c r="DJ30" s="570"/>
      <c r="DK30" s="570"/>
      <c r="DL30" s="570"/>
      <c r="DM30" s="570"/>
      <c r="DN30" s="570"/>
      <c r="DO30" s="570"/>
      <c r="DP30" s="570"/>
      <c r="DQ30" s="570"/>
      <c r="DR30" s="570"/>
      <c r="DS30" s="570"/>
      <c r="DT30" s="570"/>
      <c r="DU30" s="570"/>
      <c r="DV30" s="570"/>
      <c r="DW30" s="570"/>
      <c r="DX30" s="570"/>
      <c r="DY30" s="570"/>
      <c r="DZ30" s="570"/>
      <c r="EA30" s="570"/>
      <c r="EB30" s="570"/>
      <c r="EC30" s="570"/>
      <c r="ED30" s="570"/>
      <c r="EE30" s="570"/>
      <c r="EF30" s="570"/>
      <c r="EG30" s="570"/>
      <c r="EH30" s="570"/>
      <c r="EI30" s="570"/>
      <c r="EJ30" s="570"/>
      <c r="EK30" s="570"/>
      <c r="EL30" s="570"/>
      <c r="EM30" s="570"/>
      <c r="EN30" s="570"/>
      <c r="EO30" s="570"/>
      <c r="EP30" s="570"/>
      <c r="EQ30" s="570"/>
      <c r="ER30" s="570"/>
    </row>
    <row r="31" spans="1:170" s="570" customFormat="1" ht="15.75" x14ac:dyDescent="0.25">
      <c r="A31" s="1140">
        <f>+A30+1</f>
        <v>25</v>
      </c>
      <c r="B31" s="972" t="s">
        <v>101</v>
      </c>
      <c r="C31" s="974" t="s">
        <v>756</v>
      </c>
      <c r="D31" s="1141" t="s">
        <v>761</v>
      </c>
      <c r="E31" s="1142" t="s">
        <v>762</v>
      </c>
      <c r="F31" s="1143">
        <v>0</v>
      </c>
      <c r="G31" s="1144">
        <f>IF(F31&lt;2700,F31*0.0101,IF(F31&lt;3200,F31*0.01135,IF(F31&lt;3700,F31*0.0126,IF(F31&gt;3699,F31*0.01385,""))))</f>
        <v>0</v>
      </c>
      <c r="H31" s="1145">
        <v>20</v>
      </c>
      <c r="I31" s="1143">
        <v>0</v>
      </c>
      <c r="J31" s="1144">
        <f>IF(I31&lt;2700,I31*0.0101,IF(I31&lt;3200,I31*0.01135,IF(I31&lt;3700,I31*0.0126,IF(I31&gt;3699,I31*0.01385,""))))</f>
        <v>0</v>
      </c>
      <c r="K31" s="1145">
        <v>25</v>
      </c>
      <c r="L31" s="1143">
        <v>0</v>
      </c>
      <c r="M31" s="1144">
        <f>IF(L31&lt;2700,L31*0.0101,IF(L31&lt;3200,L31*0.01135,IF(L31&lt;3700,L31*0.0126,IF(L31&gt;3699,L31*0.01385,""))))</f>
        <v>0</v>
      </c>
      <c r="N31" s="1145">
        <v>40</v>
      </c>
      <c r="O31" s="1146"/>
      <c r="P31" s="1144">
        <f>IF(O31&lt;2700,O31*0.0101,IF(O31&lt;3200,O31*0.01135,IF(O31&lt;3700,O31*0.0126,IF(O31&gt;3699,O31*0.01385,""))))</f>
        <v>0</v>
      </c>
      <c r="Q31" s="1147"/>
      <c r="R31" s="618">
        <v>0</v>
      </c>
      <c r="S31" s="532">
        <f>IF(R31&lt;2700,R31*0.0097,IF(R31&lt;3200,R31*0.01095,IF(R31&lt;3700,R31*0.0122,IF(R31&gt;3699,R31*0.01345,""))))</f>
        <v>0</v>
      </c>
      <c r="T31" s="619">
        <v>18</v>
      </c>
      <c r="U31" s="618">
        <v>0</v>
      </c>
      <c r="V31" s="532">
        <f>IF(U31&lt;2700,U31*0.0097,IF(U31&lt;3200,U31*0.01095,IF(U31&lt;3700,U31*0.0122,IF(U31&gt;3699,U31*0.01345,""))))</f>
        <v>0</v>
      </c>
      <c r="W31" s="619">
        <v>18</v>
      </c>
      <c r="X31" s="618">
        <v>0</v>
      </c>
      <c r="Y31" s="532">
        <f>IF(X31&lt;2700,X31*0.0097,IF(X31&lt;3200,X31*0.01095,IF(X31&lt;3700,X31*0.0122,IF(X31&gt;3699,X31*0.01345,""))))</f>
        <v>0</v>
      </c>
      <c r="Z31" s="619">
        <v>18</v>
      </c>
      <c r="AA31" s="618">
        <v>0</v>
      </c>
      <c r="AB31" s="532">
        <f>IF(AA31&lt;2700,AA31*0.0097,IF(AA31&lt;3200,AA31*0.01095,IF(AA31&lt;3700,AA31*0.0122,IF(AA31&gt;3699,AA31*0.01345,""))))</f>
        <v>0</v>
      </c>
      <c r="AC31" s="619">
        <v>18</v>
      </c>
      <c r="AD31" s="576">
        <v>0</v>
      </c>
      <c r="AE31" s="532">
        <f>IF(AD31&lt;2700,AD31*0.0101,IF(AD31&lt;3200,AD31*0.01135,IF(AD31&lt;3700,AD31*0.0126,IF(AD31&gt;3699,AD31*0.01385,""))))</f>
        <v>0</v>
      </c>
      <c r="AF31" s="619">
        <v>18</v>
      </c>
      <c r="AG31" s="576">
        <v>0</v>
      </c>
      <c r="AH31" s="532">
        <f>IF(AG31&lt;2700,AG31*0.0101,IF(AG31&lt;3200,AG31*0.01135,IF(AG31&lt;3700,AG31*0.0126,IF(AG31&gt;3699,AG31*0.01385,""))))</f>
        <v>0</v>
      </c>
      <c r="AI31" s="619">
        <v>18</v>
      </c>
      <c r="AJ31" s="576">
        <v>0</v>
      </c>
      <c r="AK31" s="532">
        <f>IF(AJ31&lt;2700,AJ31*0.0101,IF(AJ31&lt;3200,AJ31*0.01135,IF(AJ31&lt;3700,AJ31*0.0126,IF(AJ31&gt;3699,AJ31*0.01385,""))))</f>
        <v>0</v>
      </c>
      <c r="AL31" s="619">
        <v>18</v>
      </c>
      <c r="AM31" s="576">
        <v>0</v>
      </c>
      <c r="AN31" s="532">
        <f>IF(AM31&lt;2700,AM31*0.0101,IF(AM31&lt;3200,AM31*0.01135,IF(AM31&lt;3700,AM31*0.0126,IF(AM31&gt;3699,AM31*0.01385,""))))</f>
        <v>0</v>
      </c>
      <c r="AO31" s="619">
        <v>18</v>
      </c>
      <c r="AP31" s="576">
        <v>0</v>
      </c>
      <c r="AQ31" s="532">
        <f>IF(AP31&lt;2700,AP31*0.0101,IF(AP31&lt;3200,AP31*0.01135,IF(AP31&lt;3700,AP31*0.0126,IF(AP31&gt;3699,AP31*0.01385,""))))</f>
        <v>0</v>
      </c>
      <c r="AR31" s="619">
        <v>18</v>
      </c>
      <c r="AS31" s="576">
        <v>0</v>
      </c>
      <c r="AT31" s="532">
        <f>IF(AS31&lt;2700,AS31*0.009,IF(AS31&lt;3200,AS31*0.0101,IF(AS31&lt;3700,AS31*0.01135,IF(AS31&gt;3699,AS31*0.0126,""))))</f>
        <v>0</v>
      </c>
      <c r="AU31" s="577">
        <v>18</v>
      </c>
      <c r="AV31" s="654"/>
      <c r="AW31" s="532">
        <f>IF(AV31&lt;2700,AV31*0.0101,IF(AV31&lt;3200,AV31*0.01135,IF(AV31&lt;3700,AV31*0.0126,IF(AV31&gt;3699,AV31*0.01385,""))))</f>
        <v>0</v>
      </c>
      <c r="AX31" s="619"/>
      <c r="AY31" s="654"/>
      <c r="AZ31" s="532">
        <f>IF(AY31&lt;2700,AY31*0.0101,IF(AY31&lt;3200,AY31*0.01135,IF(AY31&lt;3700,AY31*0.0126,IF(AY31&gt;3699,AY31*0.01385,""))))</f>
        <v>0</v>
      </c>
      <c r="BA31" s="619"/>
      <c r="BB31" s="581">
        <f t="shared" si="70"/>
        <v>0</v>
      </c>
      <c r="BC31" s="582">
        <f t="shared" si="70"/>
        <v>0</v>
      </c>
      <c r="BD31" s="727">
        <f t="shared" si="70"/>
        <v>265</v>
      </c>
      <c r="BE31" s="586"/>
      <c r="BF31" s="637">
        <f t="shared" si="17"/>
        <v>265</v>
      </c>
      <c r="BG31" s="578">
        <v>0</v>
      </c>
      <c r="BH31" s="532">
        <f>IF(BG31&lt;2700,BG31*0.0101,IF(BG31&lt;3200,BG31*0.01135,IF(BG31&lt;3700,BG31*0.0126,IF(BG31&gt;3699,BG31*0.01385,""))))</f>
        <v>0</v>
      </c>
      <c r="BI31" s="577">
        <v>18</v>
      </c>
      <c r="BJ31" s="578">
        <v>0</v>
      </c>
      <c r="BK31" s="532">
        <f>IF(BJ31&lt;2700,BJ31*0.0101,IF(BJ31&lt;3200,BJ31*0.01135,IF(BJ31&lt;3700,BJ31*0.0126,IF(BJ31&gt;3699,BJ31*0.01385,""))))</f>
        <v>0</v>
      </c>
      <c r="BL31" s="577">
        <v>18</v>
      </c>
      <c r="BM31" s="618">
        <v>3126.0301507537688</v>
      </c>
      <c r="BN31" s="532">
        <f>IF(BM31&lt;2700,BM31*0.009,IF(BM31&lt;3200,BM31*0.0101,IF(BM31&lt;3700,BM31*0.01135,IF(BM31&gt;3699,BM31*0.0126,""))))</f>
        <v>31.572904522613065</v>
      </c>
      <c r="BO31" s="619"/>
      <c r="BP31" s="618">
        <v>2573.1859296482412</v>
      </c>
      <c r="BQ31" s="532">
        <f>IF(BP31&lt;2700,BP31*0.009,IF(BP31&lt;3200,BP31*0.0101,IF(BP31&lt;3700,BP31*0.01135,IF(BP31&gt;3699,BP31*0.0126,""))))</f>
        <v>23.158673366834169</v>
      </c>
      <c r="BR31" s="619"/>
      <c r="BS31" s="618">
        <v>2940.78391959799</v>
      </c>
      <c r="BT31" s="532">
        <f>IF(BS31&lt;2700,BS31*0.009,IF(BS31&lt;3200,BS31*0.0101,IF(BS31&lt;3700,BS31*0.01135,IF(BS31&gt;3699,BS31*0.0126,""))))</f>
        <v>29.701917587939697</v>
      </c>
      <c r="BU31" s="619"/>
      <c r="BV31" s="618">
        <v>2406.2713567839196</v>
      </c>
      <c r="BW31" s="532">
        <f>IF(BV31&lt;2700,BV31*0.009,IF(BV31&lt;3200,BV31*0.0101,IF(BV31&lt;3700,BV31*0.01135,IF(BV31&gt;3699,BV31*0.0126,""))))</f>
        <v>21.656442211055275</v>
      </c>
      <c r="BX31" s="619"/>
      <c r="BY31" s="618">
        <v>1267.778894472362</v>
      </c>
      <c r="BZ31" s="532">
        <f>IF(BY31&lt;2700,BY31*0.009,IF(BY31&lt;3200,BY31*0.0101,IF(BY31&lt;3700,BY31*0.01135,IF(BY31&gt;3699,BY31*0.0126,""))))</f>
        <v>11.410010050251257</v>
      </c>
      <c r="CA31" s="619"/>
      <c r="CB31" s="654">
        <v>0</v>
      </c>
      <c r="CC31" s="532">
        <f>IF(CB31&lt;2700,CB31*0.0101,IF(CB31&lt;3200,CB31*0.01135,IF(CB31&lt;3700,CB31*0.0126,IF(CB31&gt;3699,CB31*0.01385,""))))</f>
        <v>0</v>
      </c>
      <c r="CD31" s="619">
        <v>10</v>
      </c>
      <c r="CE31" s="618">
        <v>3016.0402010050248</v>
      </c>
      <c r="CF31" s="532">
        <f>IF(CE31&lt;2700,CE31*0.009,IF(CE31&lt;3200,CE31*0.0101,IF(CE31&lt;3700,CE31*0.01135,IF(CE31&gt;3699,CE31*0.0126,""))))</f>
        <v>30.46200603015075</v>
      </c>
      <c r="CG31" s="619"/>
      <c r="CH31" s="654">
        <v>0</v>
      </c>
      <c r="CI31" s="532">
        <f>IF(CH31&lt;2700,CH31*0.0101,IF(CH31&lt;3200,CH31*0.01135,IF(CH31&lt;3700,CH31*0.0126,IF(CH31&gt;3699,CH31*0.01385,""))))</f>
        <v>0</v>
      </c>
      <c r="CJ31" s="619">
        <v>18</v>
      </c>
      <c r="CK31" s="654">
        <v>0</v>
      </c>
      <c r="CL31" s="532">
        <f>IF(CK31&lt;2700,CK31*0.0101,IF(CK31&lt;3200,CK31*0.01135,IF(CK31&lt;3700,CK31*0.0126,IF(CK31&gt;3699,CK31*0.01385,""))))</f>
        <v>0</v>
      </c>
      <c r="CM31" s="619">
        <v>0</v>
      </c>
      <c r="CN31" s="578">
        <v>0</v>
      </c>
      <c r="CO31" s="532">
        <f>IF(CN31&lt;2700,CN31*0.0101,IF(CN31&lt;3200,CN31*0.01135,IF(CN31&lt;3700,CN31*0.0126,IF(CN31&gt;3699,CN31*0.01385,""))))</f>
        <v>0</v>
      </c>
      <c r="CP31" s="619"/>
      <c r="CQ31" s="578">
        <v>0</v>
      </c>
      <c r="CR31" s="532">
        <f>IF(CQ31&lt;2700,CQ31*0.0101,IF(CQ31&lt;3200,CQ31*0.01135,IF(CQ31&lt;3700,CQ31*0.0126,IF(CQ31&gt;3699,CQ31*0.01385,""))))</f>
        <v>0</v>
      </c>
      <c r="CS31" s="619"/>
      <c r="CT31" s="1148">
        <f t="shared" si="72"/>
        <v>15330.090452261305</v>
      </c>
      <c r="CU31" s="623">
        <f t="shared" si="72"/>
        <v>147.96195376884424</v>
      </c>
      <c r="CV31" s="624">
        <f t="shared" si="31"/>
        <v>64</v>
      </c>
      <c r="CW31" s="586"/>
      <c r="CX31" s="1149">
        <f t="shared" si="32"/>
        <v>211.96195376884424</v>
      </c>
      <c r="CY31" s="1150">
        <f t="shared" si="71"/>
        <v>15330.090452261305</v>
      </c>
      <c r="CZ31" s="1151">
        <f t="shared" si="71"/>
        <v>147.96195376884424</v>
      </c>
      <c r="DA31" s="1152">
        <f t="shared" si="71"/>
        <v>329</v>
      </c>
      <c r="DB31" s="1153">
        <f t="shared" si="34"/>
        <v>476.96195376884424</v>
      </c>
      <c r="DC31" s="920" t="s">
        <v>740</v>
      </c>
    </row>
    <row r="32" spans="1:170" s="571" customFormat="1" ht="15.75" customHeight="1" x14ac:dyDescent="0.25">
      <c r="A32" s="1140">
        <f t="shared" ref="A32:A63" si="74">+A31+1</f>
        <v>26</v>
      </c>
      <c r="B32" s="972" t="s">
        <v>131</v>
      </c>
      <c r="C32" s="921" t="s">
        <v>756</v>
      </c>
      <c r="D32" s="975" t="s">
        <v>763</v>
      </c>
      <c r="E32" s="976" t="s">
        <v>764</v>
      </c>
      <c r="F32" s="618">
        <v>3030.51256281407</v>
      </c>
      <c r="G32" s="598">
        <f>IF(F32&lt;2700,F32*0.0085,IF(F32&lt;3200,F32*0.01,IF(F32&lt;3700,F32*0.0105,IF(F32&gt;3699,F32*0.01175,""))))</f>
        <v>30.305125628140701</v>
      </c>
      <c r="H32" s="619"/>
      <c r="I32" s="618">
        <v>2377.8090452261304</v>
      </c>
      <c r="J32" s="598">
        <f>IF(I32&lt;2700,I32*0.0085,IF(I32&lt;3200,I32*0.01,IF(I32&lt;3700,I32*0.0105,IF(I32&gt;3699,I32*0.01175,""))))</f>
        <v>20.211376884422108</v>
      </c>
      <c r="K32" s="619"/>
      <c r="L32" s="618">
        <v>1063.718592964824</v>
      </c>
      <c r="M32" s="598">
        <f>IF(L32&lt;2700,L32*0.0085,IF(L32&lt;3200,L32*0.01,IF(L32&lt;3700,L32*0.0105,IF(L32&gt;3699,L32*0.01175,""))))</f>
        <v>9.0416080402010053</v>
      </c>
      <c r="N32" s="619">
        <v>30</v>
      </c>
      <c r="O32" s="654"/>
      <c r="P32" s="577">
        <f>IF(O32&lt;2700,O32*0.0105,IF(O32&lt;3200,O32*0.01175,IF(O32&lt;3700,O32*0.013,IF(O32&gt;3699,O32*0.01425,""))))</f>
        <v>0</v>
      </c>
      <c r="Q32" s="619"/>
      <c r="R32" s="618">
        <v>0</v>
      </c>
      <c r="S32" s="598">
        <f>IF(R32&lt;2700,R32*0.0085,IF(R32&lt;3200,R32*0.01,IF(R32&lt;3700,R32*0.0105,IF(R32&gt;3699,R32*0.01175,""))))</f>
        <v>0</v>
      </c>
      <c r="T32" s="619">
        <v>18</v>
      </c>
      <c r="U32" s="618">
        <v>0</v>
      </c>
      <c r="V32" s="598">
        <f>IF(U32&lt;2700,U32*0.0085,IF(U32&lt;3200,U32*0.01,IF(U32&lt;3700,U32*0.0105,IF(U32&gt;3699,U32*0.01175,""))))</f>
        <v>0</v>
      </c>
      <c r="W32" s="619">
        <v>18</v>
      </c>
      <c r="X32" s="618">
        <v>0</v>
      </c>
      <c r="Y32" s="598">
        <f>IF(X32&lt;2700,X32*0.0085,IF(X32&lt;3200,X32*0.01,IF(X32&lt;3700,X32*0.0105,IF(X32&gt;3699,X32*0.01175,""))))</f>
        <v>0</v>
      </c>
      <c r="Z32" s="619">
        <v>18</v>
      </c>
      <c r="AA32" s="618">
        <v>0</v>
      </c>
      <c r="AB32" s="598">
        <f>IF(AA32&lt;2700,AA32*0.0085,IF(AA32&lt;3200,AA32*0.01,IF(AA32&lt;3700,AA32*0.0105,IF(AA32&gt;3699,AA32*0.01175,""))))</f>
        <v>0</v>
      </c>
      <c r="AC32" s="619">
        <v>18</v>
      </c>
      <c r="AD32" s="576">
        <v>0</v>
      </c>
      <c r="AE32" s="532">
        <f>IF(AD32&lt;2700,AD32*0.0097,IF(AD32&lt;3200,AD32*0.01095,IF(AD32&lt;3700,AD32*0.0122,IF(AD32&gt;3699,AD32*0.01345,""))))</f>
        <v>0</v>
      </c>
      <c r="AF32" s="619">
        <v>18</v>
      </c>
      <c r="AG32" s="576">
        <v>0</v>
      </c>
      <c r="AH32" s="532">
        <f>IF(AG32&lt;2700,AG32*0.0097,IF(AG32&lt;3200,AG32*0.01095,IF(AG32&lt;3700,AG32*0.0122,IF(AG32&gt;3699,AG32*0.01345,""))))</f>
        <v>0</v>
      </c>
      <c r="AI32" s="619">
        <v>18</v>
      </c>
      <c r="AJ32" s="576">
        <v>0</v>
      </c>
      <c r="AK32" s="532">
        <f>IF(AJ32&lt;2700,AJ32*0.008,IF(AJ32&lt;3200,AJ32*0.0097,IF(AJ32&lt;3700,AJ32*0.01095,IF(AJ32&gt;3699,AJ32*0.0122,""))))</f>
        <v>0</v>
      </c>
      <c r="AL32" s="619">
        <v>18</v>
      </c>
      <c r="AM32" s="576">
        <v>0</v>
      </c>
      <c r="AN32" s="532">
        <f>IF(AM32&lt;2700,AM32*0.008,IF(AM32&lt;3200,AM32*0.0097,IF(AM32&lt;3700,AM32*0.01095,IF(AM32&gt;3699,AM32*0.0122,""))))</f>
        <v>0</v>
      </c>
      <c r="AO32" s="619">
        <v>18</v>
      </c>
      <c r="AP32" s="576">
        <v>0</v>
      </c>
      <c r="AQ32" s="532">
        <f>IF(AP32&lt;2700,AP32*0.0097,IF(AP32&lt;3200,AP32*0.01095,IF(AP32&lt;3700,AP32*0.0122,IF(AP32&gt;3699,AP32*0.01345,""))))</f>
        <v>0</v>
      </c>
      <c r="AR32" s="619">
        <v>18</v>
      </c>
      <c r="AS32" s="576">
        <v>0</v>
      </c>
      <c r="AT32" s="532">
        <f>IF(AS32&lt;2700,AS32*0.008,IF(AS32&lt;3200,AS32*0.0097,IF(AS32&lt;3700,AS32*0.01095,IF(AS32&gt;3699,AS32*0.0122,""))))</f>
        <v>0</v>
      </c>
      <c r="AU32" s="619">
        <v>18</v>
      </c>
      <c r="AV32" s="654"/>
      <c r="AW32" s="577">
        <f>IF(AV32&lt;2700,AV32*0.0105,IF(AV32&lt;3200,AV32*0.01175,IF(AV32&lt;3700,AV32*0.013,IF(AV32&gt;3699,AV32*0.01425,""))))</f>
        <v>0</v>
      </c>
      <c r="AX32" s="619"/>
      <c r="AY32" s="654"/>
      <c r="AZ32" s="577">
        <f>IF(AY32&lt;2700,AY32*0.0105,IF(AY32&lt;3200,AY32*0.01175,IF(AY32&lt;3700,AY32*0.013,IF(AY32&gt;3699,AY32*0.01425,""))))</f>
        <v>0</v>
      </c>
      <c r="BA32" s="619"/>
      <c r="BB32" s="581">
        <f t="shared" si="70"/>
        <v>6472.0402010050238</v>
      </c>
      <c r="BC32" s="582">
        <f t="shared" si="70"/>
        <v>59.558110552763814</v>
      </c>
      <c r="BD32" s="727">
        <f t="shared" si="70"/>
        <v>210</v>
      </c>
      <c r="BE32" s="586"/>
      <c r="BF32" s="637">
        <f t="shared" si="17"/>
        <v>269.55811055276382</v>
      </c>
      <c r="BG32" s="578">
        <v>0</v>
      </c>
      <c r="BH32" s="532">
        <f>IF(BG32&lt;2700,BG32*0.0097,IF(BG32&lt;3200,BG32*0.01095,IF(BG32&lt;3700,BG32*0.0122,IF(BG32&gt;3699,BG32*0.01345,""))))</f>
        <v>0</v>
      </c>
      <c r="BI32" s="619">
        <v>18</v>
      </c>
      <c r="BJ32" s="654">
        <v>0</v>
      </c>
      <c r="BK32" s="532">
        <f>IF(BJ32&lt;2700,BJ32*0.0097,IF(BJ32&lt;3200,BJ32*0.01095,IF(BJ32&lt;3700,BJ32*0.0122,IF(BJ32&gt;3699,BJ32*0.01345,""))))</f>
        <v>0</v>
      </c>
      <c r="BL32" s="619">
        <v>18</v>
      </c>
      <c r="BM32" s="618">
        <v>0</v>
      </c>
      <c r="BN32" s="577">
        <f>IF(BM32&lt;2700,BM32*0.0105,IF(BM32&lt;3200,BM32*0.01175,IF(BM32&lt;3700,BM32*0.013,IF(BM32&gt;3699,BM32*0.01425,""))))</f>
        <v>0</v>
      </c>
      <c r="BO32" s="619">
        <v>18</v>
      </c>
      <c r="BP32" s="618">
        <v>0</v>
      </c>
      <c r="BQ32" s="577">
        <f>IF(BP32&lt;2700,BP32*0.0105,IF(BP32&lt;3200,BP32*0.01175,IF(BP32&lt;3700,BP32*0.013,IF(BP32&gt;3699,BP32*0.01425,""))))</f>
        <v>0</v>
      </c>
      <c r="BR32" s="619">
        <v>18</v>
      </c>
      <c r="BS32" s="618">
        <v>0</v>
      </c>
      <c r="BT32" s="577">
        <f>IF(BS32&lt;2700,BS32*0.0105,IF(BS32&lt;3200,BS32*0.01175,IF(BS32&lt;3700,BS32*0.013,IF(BS32&gt;3699,BS32*0.01425,""))))</f>
        <v>0</v>
      </c>
      <c r="BU32" s="619">
        <v>18</v>
      </c>
      <c r="BV32" s="618">
        <v>2028.0603015075376</v>
      </c>
      <c r="BW32" s="577">
        <f>IF(BV32&lt;2700,BV32*0.01,IF(BV32&lt;3200,BV32*0.0105,IF(BV32&lt;3700,BV32*0.01175,IF(BV32&gt;3699,BV32*0.013,""))))</f>
        <v>20.280603015075375</v>
      </c>
      <c r="BX32" s="619"/>
      <c r="BY32" s="618">
        <v>1378.251256281407</v>
      </c>
      <c r="BZ32" s="577">
        <f>IF(BY32&lt;2700,BY32*0.01,IF(BY32&lt;3200,BY32*0.0105,IF(BY32&lt;3700,BY32*0.01175,IF(BY32&gt;3699,BY32*0.013,""))))</f>
        <v>13.78251256281407</v>
      </c>
      <c r="CA32" s="619"/>
      <c r="CB32" s="654">
        <v>0</v>
      </c>
      <c r="CC32" s="577">
        <f>IF(CB32&lt;2700,CB32*0.0105,IF(CB32&lt;3200,CB32*0.01175,IF(CB32&lt;3700,CB32*0.013,IF(CB32&gt;3699,CB32*0.01425,""))))</f>
        <v>0</v>
      </c>
      <c r="CD32" s="619">
        <v>10</v>
      </c>
      <c r="CE32" s="618">
        <v>2936.4422110552769</v>
      </c>
      <c r="CF32" s="532">
        <f>IF(CE32&lt;2700,CE32*0.008,IF(CE32&lt;3200,CE32*0.0097,IF(CE32&lt;3700,CE32*0.01095,IF(CE32&gt;3699,CE32*0.0122,""))))</f>
        <v>28.483489447236185</v>
      </c>
      <c r="CG32" s="619"/>
      <c r="CH32" s="654">
        <v>0</v>
      </c>
      <c r="CI32" s="577">
        <f>IF(CH32&lt;2700,CH32*0.0105,IF(CH32&lt;3200,CH32*0.01175,IF(CH32&lt;3700,CH32*0.013,IF(CH32&gt;3699,CH32*0.01425,""))))</f>
        <v>0</v>
      </c>
      <c r="CJ32" s="619"/>
      <c r="CK32" s="654">
        <v>0</v>
      </c>
      <c r="CL32" s="577">
        <f>IF(CK32&lt;2700,CK32*0.0105,IF(CK32&lt;3200,CK32*0.01175,IF(CK32&lt;3700,CK32*0.013,IF(CK32&gt;3699,CK32*0.01425,""))))</f>
        <v>0</v>
      </c>
      <c r="CM32" s="619"/>
      <c r="CN32" s="654">
        <v>0</v>
      </c>
      <c r="CO32" s="577">
        <f>IF(CN32&lt;2700,CN32*0.0105,IF(CN32&lt;3200,CN32*0.01175,IF(CN32&lt;3700,CN32*0.013,IF(CN32&gt;3699,CN32*0.01425,""))))</f>
        <v>0</v>
      </c>
      <c r="CP32" s="619"/>
      <c r="CQ32" s="654">
        <v>0</v>
      </c>
      <c r="CR32" s="577">
        <f>IF(CQ32&lt;2700,CQ32*0.0105,IF(CQ32&lt;3200,CQ32*0.01175,IF(CQ32&lt;3700,CQ32*0.013,IF(CQ32&gt;3699,CQ32*0.01425,""))))</f>
        <v>0</v>
      </c>
      <c r="CS32" s="619"/>
      <c r="CT32" s="1148">
        <f t="shared" si="72"/>
        <v>6342.7537688442217</v>
      </c>
      <c r="CU32" s="623">
        <f t="shared" si="72"/>
        <v>62.546605025125629</v>
      </c>
      <c r="CV32" s="624">
        <f t="shared" si="31"/>
        <v>100</v>
      </c>
      <c r="CW32" s="586"/>
      <c r="CX32" s="1149">
        <f t="shared" si="32"/>
        <v>162.54660502512564</v>
      </c>
      <c r="CY32" s="1150">
        <f t="shared" si="71"/>
        <v>12814.793969849245</v>
      </c>
      <c r="CZ32" s="1151">
        <f t="shared" si="71"/>
        <v>122.10471557788944</v>
      </c>
      <c r="DA32" s="1152">
        <f t="shared" si="71"/>
        <v>310</v>
      </c>
      <c r="DB32" s="1153">
        <f t="shared" si="34"/>
        <v>432.10471557788946</v>
      </c>
      <c r="DC32" s="920" t="s">
        <v>737</v>
      </c>
      <c r="DD32" s="570"/>
      <c r="DE32" s="570"/>
      <c r="DF32" s="570"/>
      <c r="DG32" s="570"/>
      <c r="DH32" s="570"/>
      <c r="DI32" s="570"/>
      <c r="DJ32" s="570"/>
      <c r="DK32" s="570"/>
      <c r="DL32" s="570"/>
      <c r="DM32" s="570"/>
      <c r="DN32" s="570"/>
      <c r="DO32" s="570"/>
      <c r="DP32" s="570"/>
      <c r="DQ32" s="570"/>
      <c r="DR32" s="570"/>
      <c r="DS32" s="570"/>
      <c r="DT32" s="570"/>
      <c r="DU32" s="570"/>
      <c r="DV32" s="570"/>
      <c r="DW32" s="570"/>
      <c r="DX32" s="570"/>
      <c r="DY32" s="570"/>
      <c r="DZ32" s="570"/>
      <c r="EA32" s="570"/>
      <c r="EB32" s="570"/>
      <c r="EC32" s="570"/>
      <c r="ED32" s="570"/>
      <c r="EE32" s="570"/>
      <c r="EF32" s="570"/>
      <c r="EG32" s="570"/>
      <c r="EH32" s="570"/>
      <c r="EI32" s="570"/>
      <c r="EJ32" s="570"/>
      <c r="EK32" s="570"/>
      <c r="EL32" s="570"/>
      <c r="EM32" s="570"/>
      <c r="EN32" s="570"/>
      <c r="EO32" s="570"/>
      <c r="EP32" s="570"/>
      <c r="EQ32" s="570"/>
      <c r="ER32" s="570"/>
    </row>
    <row r="33" spans="1:148" s="571" customFormat="1" ht="15.75" customHeight="1" x14ac:dyDescent="0.25">
      <c r="A33" s="1140">
        <f t="shared" si="74"/>
        <v>27</v>
      </c>
      <c r="B33" s="972" t="s">
        <v>91</v>
      </c>
      <c r="C33" s="974" t="s">
        <v>756</v>
      </c>
      <c r="D33" s="975" t="s">
        <v>765</v>
      </c>
      <c r="E33" s="976" t="s">
        <v>766</v>
      </c>
      <c r="F33" s="576">
        <v>4479.6783919597992</v>
      </c>
      <c r="G33" s="517">
        <f>IF(F33&lt;2700,F33*0.007,IF(F33&lt;3200,F33*0.008,IF(F33&lt;3700,F33*0.0097,IF(F33&gt;3699,F33*0.01095,""))))</f>
        <v>49.052478391959802</v>
      </c>
      <c r="H33" s="532"/>
      <c r="I33" s="576">
        <v>4079.7587939698487</v>
      </c>
      <c r="J33" s="517">
        <f>IF(I33&lt;2700,I33*0.007,IF(I33&lt;3200,I33*0.008,IF(I33&lt;3700,I33*0.0097,IF(I33&gt;3699,I33*0.01095,""))))</f>
        <v>44.67335879396984</v>
      </c>
      <c r="K33" s="532"/>
      <c r="L33" s="576">
        <v>4446.8743718592968</v>
      </c>
      <c r="M33" s="517">
        <f>IF(L33&lt;2700,L33*0.007,IF(L33&lt;3200,L33*0.008,IF(L33&lt;3700,L33*0.0097,IF(L33&gt;3699,L33*0.01095,""))))</f>
        <v>48.693274371859296</v>
      </c>
      <c r="N33" s="532"/>
      <c r="O33" s="578"/>
      <c r="P33" s="532">
        <f>IF(O33&lt;2700,O33*0.0097,IF(O33&lt;3200,O33*0.01095,IF(O33&lt;3700,O33*0.0122,IF(O33&gt;3699,O33*0.01345,""))))</f>
        <v>0</v>
      </c>
      <c r="Q33" s="532"/>
      <c r="R33" s="576">
        <v>4927.3599999999997</v>
      </c>
      <c r="S33" s="517">
        <f>IF(R33&lt;2700,R33*0.007,IF(R33&lt;3200,R33*0.008,IF(R33&lt;3700,R33*0.0097,IF(R33&gt;3699,R33*0.01095,""))))</f>
        <v>53.954591999999998</v>
      </c>
      <c r="T33" s="532"/>
      <c r="U33" s="576">
        <v>3405.8291457286432</v>
      </c>
      <c r="V33" s="517">
        <f>IF(U33&lt;2700,U33*0.007,IF(U33&lt;3200,U33*0.008,IF(U33&lt;3700,U33*0.0097,IF(U33&gt;3699,U33*0.01095,""))))</f>
        <v>33.03654271356784</v>
      </c>
      <c r="W33" s="532"/>
      <c r="X33" s="578">
        <v>3236.9849246231156</v>
      </c>
      <c r="Y33" s="517">
        <f>IF(X33&lt;2700,X33*0.007,IF(X33&lt;3200,X33*0.008,IF(X33&lt;3700,X33*0.0097,IF(X33&gt;3699,X33*0.01095,""))))</f>
        <v>31.398753768844223</v>
      </c>
      <c r="Z33" s="532"/>
      <c r="AA33" s="578">
        <v>1883.3366834170852</v>
      </c>
      <c r="AB33" s="517">
        <f>IF(AA33&lt;2700,AA33*0.007,IF(AA33&lt;3200,AA33*0.008,IF(AA33&lt;3700,AA33*0.0097,IF(AA33&gt;3699,AA33*0.01095,""))))</f>
        <v>13.183356783919596</v>
      </c>
      <c r="AC33" s="532"/>
      <c r="AD33" s="576">
        <v>6362.5326633165832</v>
      </c>
      <c r="AE33" s="517">
        <f>IF(AD33&lt;2700,AD33*0.007,IF(AD33&lt;3200,AD33*0.008,IF(AD33&lt;3700,AD33*0.0097,IF(AD33&gt;3699,AD33*0.01095,""))))</f>
        <v>69.66973266331658</v>
      </c>
      <c r="AF33" s="532"/>
      <c r="AG33" s="576">
        <v>0</v>
      </c>
      <c r="AH33" s="532">
        <f>IF(AG33&lt;2700,AG33*0.0097,IF(AG33&lt;3200,AG33*0.01095,IF(AG33&lt;3700,AG33*0.0122,IF(AG33&gt;3699,AG33*0.01345,""))))</f>
        <v>0</v>
      </c>
      <c r="AI33" s="532"/>
      <c r="AJ33" s="576">
        <v>4040.6834170854272</v>
      </c>
      <c r="AK33" s="517">
        <f>IF(AJ33&lt;2700,AJ33*0.007,IF(AJ33&lt;3200,AJ33*0.008,IF(AJ33&lt;3700,AJ33*0.0097,IF(AJ33&gt;3699,AJ33*0.01095,""))))</f>
        <v>44.245483417085424</v>
      </c>
      <c r="AL33" s="532"/>
      <c r="AM33" s="576">
        <v>3273.6482412060304</v>
      </c>
      <c r="AN33" s="517">
        <f>IF(AM33&lt;2700,AM33*0.007,IF(AM33&lt;3200,AM33*0.008,IF(AM33&lt;3700,AM33*0.0097,IF(AM33&gt;3699,AM33*0.01095,""))))</f>
        <v>31.754387939698496</v>
      </c>
      <c r="AO33" s="532"/>
      <c r="AP33" s="578">
        <v>0</v>
      </c>
      <c r="AQ33" s="532">
        <f>IF(AP33&lt;2700,AP33*0.0097,IF(AP33&lt;3200,AP33*0.01095,IF(AP33&lt;3700,AP33*0.0122,IF(AP33&gt;3699,AP33*0.01345,""))))</f>
        <v>0</v>
      </c>
      <c r="AR33" s="619">
        <v>12</v>
      </c>
      <c r="AS33" s="576">
        <v>4067.6984924623112</v>
      </c>
      <c r="AT33" s="532">
        <f>IF(AS33&lt;2700,AS33*0.008,IF(AS33&lt;3200,AS33*0.0097,IF(AS33&lt;3700,AS33*0.01095,IF(AS33&gt;3699,AS33*0.0122,""))))</f>
        <v>49.625921608040201</v>
      </c>
      <c r="AU33" s="532"/>
      <c r="AV33" s="578"/>
      <c r="AW33" s="532">
        <f>IF(AV33&lt;2700,AV33*0.0097,IF(AV33&lt;3200,AV33*0.01095,IF(AV33&lt;3700,AV33*0.0122,IF(AV33&gt;3699,AV33*0.01345,""))))</f>
        <v>0</v>
      </c>
      <c r="AX33" s="532"/>
      <c r="AY33" s="578"/>
      <c r="AZ33" s="532">
        <f>IF(AY33&lt;2700,AY33*0.0097,IF(AY33&lt;3200,AY33*0.01095,IF(AY33&lt;3700,AY33*0.0122,IF(AY33&gt;3699,AY33*0.01345,""))))</f>
        <v>0</v>
      </c>
      <c r="BA33" s="532"/>
      <c r="BB33" s="581">
        <f t="shared" si="70"/>
        <v>44204.385125628141</v>
      </c>
      <c r="BC33" s="582">
        <f t="shared" si="70"/>
        <v>469.28788245226127</v>
      </c>
      <c r="BD33" s="727">
        <f t="shared" si="70"/>
        <v>12</v>
      </c>
      <c r="BE33" s="586"/>
      <c r="BF33" s="637">
        <f t="shared" si="17"/>
        <v>481.28788245226127</v>
      </c>
      <c r="BG33" s="578">
        <v>3433.8090452261308</v>
      </c>
      <c r="BH33" s="532">
        <f>IF(BG33&lt;2700,BG33*0.008,IF(BG33&lt;3200,BG33*0.0097,IF(BG33&lt;3700,BG33*0.01095,IF(BG33&gt;3699,BG33*0.0122,""))))</f>
        <v>37.60020904522613</v>
      </c>
      <c r="BI33" s="532"/>
      <c r="BJ33" s="578">
        <v>0</v>
      </c>
      <c r="BK33" s="532">
        <f>IF(BJ33&lt;2700,BJ33*0.0097,IF(BJ33&lt;3200,BJ33*0.01095,IF(BJ33&lt;3700,BJ33*0.0122,IF(BJ33&gt;3699,BJ33*0.01345,""))))</f>
        <v>0</v>
      </c>
      <c r="BL33" s="532">
        <v>0</v>
      </c>
      <c r="BM33" s="576">
        <v>2175.1959798994972</v>
      </c>
      <c r="BN33" s="532">
        <f>IF(BM33&lt;2700,BM33*0.008,IF(BM33&lt;3200,BM33*0.0097,IF(BM33&lt;3700,BM33*0.01095,IF(BM33&gt;3699,BM33*0.0122,""))))</f>
        <v>17.401567839195977</v>
      </c>
      <c r="BO33" s="532"/>
      <c r="BP33" s="576">
        <v>2744.9246231155776</v>
      </c>
      <c r="BQ33" s="532">
        <f>IF(BP33&lt;2700,BP33*0.008,IF(BP33&lt;3200,BP33*0.0097,IF(BP33&lt;3700,BP33*0.01095,IF(BP33&gt;3699,BP33*0.0122,""))))</f>
        <v>26.625768844221103</v>
      </c>
      <c r="BR33" s="532"/>
      <c r="BS33" s="576">
        <v>2624.8040201005028</v>
      </c>
      <c r="BT33" s="532">
        <f>IF(BS33&lt;2700,BS33*0.008,IF(BS33&lt;3200,BS33*0.0097,IF(BS33&lt;3700,BS33*0.01095,IF(BS33&gt;3699,BS33*0.0122,""))))</f>
        <v>20.998432160804022</v>
      </c>
      <c r="BU33" s="532"/>
      <c r="BV33" s="576">
        <v>2994.3316582914572</v>
      </c>
      <c r="BW33" s="532">
        <f>IF(BV33&lt;2700,BV33*0.008,IF(BV33&lt;3200,BV33*0.0097,IF(BV33&lt;3700,BV33*0.01095,IF(BV33&gt;3699,BV33*0.0122,""))))</f>
        <v>29.045017085427137</v>
      </c>
      <c r="BX33" s="532"/>
      <c r="BY33" s="576">
        <v>0</v>
      </c>
      <c r="BZ33" s="586">
        <f>IF(BY33&lt;2700,BY33*0.0097,IF(BY33&lt;3200,BY33*0.01095,IF(BY33&lt;3700,BY33*0.0122,IF(BY33&gt;3699,BY33*0.01345,""))))</f>
        <v>0</v>
      </c>
      <c r="CA33" s="532"/>
      <c r="CB33" s="578">
        <v>0</v>
      </c>
      <c r="CC33" s="532">
        <f>IF(CB33&lt;2700,CB33*0.0097,IF(CB33&lt;3200,CB33*0.01095,IF(CB33&lt;3700,CB33*0.0122,IF(CB33&gt;3699,CB33*0.01345,""))))</f>
        <v>0</v>
      </c>
      <c r="CD33" s="532">
        <v>0</v>
      </c>
      <c r="CE33" s="576">
        <v>2471.8793969849244</v>
      </c>
      <c r="CF33" s="532">
        <f>IF(CE33&lt;2700,CE33*0.008,IF(CE33&lt;3200,CE33*0.0097,IF(CE33&lt;3700,CE33*0.01095,IF(CE33&gt;3699,CE33*0.0122,""))))</f>
        <v>19.775035175879395</v>
      </c>
      <c r="CG33" s="532"/>
      <c r="CH33" s="578">
        <v>0</v>
      </c>
      <c r="CI33" s="532">
        <f>IF(CH33&lt;2700,CH33*0.0097,IF(CH33&lt;3200,CH33*0.01095,IF(CH33&lt;3700,CH33*0.0122,IF(CH33&gt;3699,CH33*0.01345,""))))</f>
        <v>0</v>
      </c>
      <c r="CJ33" s="532">
        <v>0</v>
      </c>
      <c r="CK33" s="578">
        <v>0</v>
      </c>
      <c r="CL33" s="532">
        <f>IF(CK33&lt;2700,CK33*0.0097,IF(CK33&lt;3200,CK33*0.01095,IF(CK33&lt;3700,CK33*0.0122,IF(CK33&gt;3699,CK33*0.01345,""))))</f>
        <v>0</v>
      </c>
      <c r="CM33" s="532">
        <v>0</v>
      </c>
      <c r="CN33" s="578">
        <v>0</v>
      </c>
      <c r="CO33" s="532">
        <f>IF(CN33&lt;2700,CN33*0.0097,IF(CN33&lt;3200,CN33*0.01095,IF(CN33&lt;3700,CN33*0.0122,IF(CN33&gt;3699,CN33*0.01345,""))))</f>
        <v>0</v>
      </c>
      <c r="CP33" s="532"/>
      <c r="CQ33" s="578">
        <v>0</v>
      </c>
      <c r="CR33" s="532">
        <f>IF(CQ33&lt;2700,CQ33*0.0097,IF(CQ33&lt;3200,CQ33*0.01095,IF(CQ33&lt;3700,CQ33*0.0122,IF(CQ33&gt;3699,CQ33*0.01345,""))))</f>
        <v>0</v>
      </c>
      <c r="CS33" s="532"/>
      <c r="CT33" s="1148">
        <f t="shared" si="72"/>
        <v>16444.944723618089</v>
      </c>
      <c r="CU33" s="623">
        <f t="shared" si="72"/>
        <v>151.44603015075376</v>
      </c>
      <c r="CV33" s="624">
        <f t="shared" si="31"/>
        <v>0</v>
      </c>
      <c r="CW33" s="586"/>
      <c r="CX33" s="1149">
        <f t="shared" si="32"/>
        <v>151.44603015075376</v>
      </c>
      <c r="CY33" s="1150">
        <f t="shared" si="71"/>
        <v>60649.329849246235</v>
      </c>
      <c r="CZ33" s="1151">
        <f t="shared" si="71"/>
        <v>620.73391260301503</v>
      </c>
      <c r="DA33" s="1152">
        <f t="shared" si="71"/>
        <v>12</v>
      </c>
      <c r="DB33" s="1153">
        <f t="shared" si="34"/>
        <v>632.73391260301503</v>
      </c>
      <c r="DC33" s="920" t="s">
        <v>737</v>
      </c>
      <c r="DD33" s="570"/>
      <c r="DE33" s="570"/>
      <c r="DF33" s="570"/>
      <c r="DG33" s="570"/>
      <c r="DH33" s="570"/>
      <c r="DI33" s="570"/>
      <c r="DJ33" s="570"/>
      <c r="DK33" s="570"/>
      <c r="DL33" s="570"/>
      <c r="DM33" s="570"/>
      <c r="DN33" s="570"/>
      <c r="DO33" s="570"/>
      <c r="DP33" s="570"/>
      <c r="DQ33" s="570"/>
      <c r="DR33" s="570"/>
      <c r="DS33" s="570"/>
      <c r="DT33" s="570"/>
      <c r="DU33" s="570"/>
      <c r="DV33" s="570"/>
      <c r="DW33" s="570"/>
      <c r="DX33" s="570"/>
      <c r="DY33" s="570"/>
      <c r="DZ33" s="570"/>
      <c r="EA33" s="570"/>
      <c r="EB33" s="570"/>
      <c r="EC33" s="570"/>
      <c r="ED33" s="570"/>
      <c r="EE33" s="570"/>
      <c r="EF33" s="570"/>
      <c r="EG33" s="570"/>
      <c r="EH33" s="570"/>
      <c r="EI33" s="570"/>
      <c r="EJ33" s="570"/>
      <c r="EK33" s="570"/>
      <c r="EL33" s="570"/>
      <c r="EM33" s="570"/>
      <c r="EN33" s="570"/>
      <c r="EO33" s="570"/>
      <c r="EP33" s="570"/>
      <c r="EQ33" s="570"/>
      <c r="ER33" s="570"/>
    </row>
    <row r="34" spans="1:148" s="571" customFormat="1" ht="15.75" customHeight="1" x14ac:dyDescent="0.25">
      <c r="A34" s="1140">
        <f t="shared" si="74"/>
        <v>28</v>
      </c>
      <c r="B34" s="972" t="s">
        <v>84</v>
      </c>
      <c r="C34" s="921" t="s">
        <v>756</v>
      </c>
      <c r="D34" s="975" t="s">
        <v>767</v>
      </c>
      <c r="E34" s="976" t="s">
        <v>768</v>
      </c>
      <c r="F34" s="576">
        <v>0</v>
      </c>
      <c r="G34" s="532">
        <f>IF(F34&lt;2700,F34*0.0097,IF(F34&lt;3200,F34*0.01095,IF(F34&lt;3700,F34*0.0122,IF(F34&gt;3699,F34*0.01345,""))))</f>
        <v>0</v>
      </c>
      <c r="H34" s="619">
        <v>20</v>
      </c>
      <c r="I34" s="576">
        <v>1612.7035175879398</v>
      </c>
      <c r="J34" s="532">
        <f>IF(I34&lt;2700,I34*0.008,IF(I34&lt;3200,I34*0.0097,IF(I34&lt;3700,I34*0.01095,IF(I34&gt;3699,I34*0.0122,""))))</f>
        <v>12.901628140703519</v>
      </c>
      <c r="K34" s="619">
        <f>30-J34</f>
        <v>17.098371859296481</v>
      </c>
      <c r="L34" s="576">
        <v>0</v>
      </c>
      <c r="M34" s="532">
        <f>IF(L34&lt;2700,L34*0.0097,IF(L34&lt;3200,L34*0.01095,IF(L34&lt;3700,L34*0.0122,IF(L34&gt;3699,L34*0.01345,""))))</f>
        <v>0</v>
      </c>
      <c r="N34" s="619">
        <v>20</v>
      </c>
      <c r="O34" s="578"/>
      <c r="P34" s="532">
        <f>IF(O34&lt;2700,O34*0.0097,IF(O34&lt;3200,O34*0.01095,IF(O34&lt;3700,O34*0.0122,IF(O34&gt;3699,O34*0.01345,""))))</f>
        <v>0</v>
      </c>
      <c r="Q34" s="619"/>
      <c r="R34" s="576">
        <v>3512.924623115578</v>
      </c>
      <c r="S34" s="517">
        <f>IF(R34&lt;2700,R34*0.007,IF(R34&lt;3200,R34*0.008,IF(R34&lt;3700,R34*0.0097,IF(R34&gt;3699,R34*0.01095,""))))</f>
        <v>34.07536884422111</v>
      </c>
      <c r="T34" s="619"/>
      <c r="U34" s="576">
        <v>3316.1005025125628</v>
      </c>
      <c r="V34" s="517">
        <f>IF(U34&lt;2700,U34*0.007,IF(U34&lt;3200,U34*0.008,IF(U34&lt;3700,U34*0.0097,IF(U34&gt;3699,U34*0.01095,""))))</f>
        <v>32.166174874371862</v>
      </c>
      <c r="W34" s="619"/>
      <c r="X34" s="578">
        <v>2485.8693467336684</v>
      </c>
      <c r="Y34" s="517">
        <f>IF(X34&lt;2700,X34*0.007,IF(X34&lt;3200,X34*0.008,IF(X34&lt;3700,X34*0.0097,IF(X34&gt;3699,X34*0.01095,""))))</f>
        <v>17.40108542713568</v>
      </c>
      <c r="Z34" s="619"/>
      <c r="AA34" s="578">
        <v>2361.4070351758796</v>
      </c>
      <c r="AB34" s="517">
        <f>IF(AA34&lt;2700,AA34*0.007,IF(AA34&lt;3200,AA34*0.008,IF(AA34&lt;3700,AA34*0.0097,IF(AA34&gt;3699,AA34*0.01095,""))))</f>
        <v>16.529849246231159</v>
      </c>
      <c r="AC34" s="619"/>
      <c r="AD34" s="576">
        <v>6922.1306532663311</v>
      </c>
      <c r="AE34" s="517">
        <f>IF(AD34&lt;2700,AD34*0.007,IF(AD34&lt;3200,AD34*0.008,IF(AD34&lt;3700,AD34*0.0097,IF(AD34&gt;3699,AD34*0.01095,""))))</f>
        <v>75.797330653266329</v>
      </c>
      <c r="AF34" s="619"/>
      <c r="AG34" s="576">
        <v>0</v>
      </c>
      <c r="AH34" s="532">
        <f>IF(AG34&lt;2700,AG34*0.0097,IF(AG34&lt;3200,AG34*0.01095,IF(AG34&lt;3700,AG34*0.0122,IF(AG34&gt;3699,AG34*0.01345,""))))</f>
        <v>0</v>
      </c>
      <c r="AI34" s="619"/>
      <c r="AJ34" s="576">
        <v>4146.8140703517583</v>
      </c>
      <c r="AK34" s="517">
        <f>IF(AJ34&lt;2700,AJ34*0.007,IF(AJ34&lt;3200,AJ34*0.008,IF(AJ34&lt;3700,AJ34*0.0097,IF(AJ34&gt;3699,AJ34*0.01095,""))))</f>
        <v>45.407614070351755</v>
      </c>
      <c r="AL34" s="619"/>
      <c r="AM34" s="576">
        <v>3157.3869346733673</v>
      </c>
      <c r="AN34" s="517">
        <f>IF(AM34&lt;2700,AM34*0.007,IF(AM34&lt;3200,AM34*0.008,IF(AM34&lt;3700,AM34*0.0097,IF(AM34&gt;3699,AM34*0.01095,""))))</f>
        <v>25.259095477386939</v>
      </c>
      <c r="AO34" s="619"/>
      <c r="AP34" s="578">
        <v>0</v>
      </c>
      <c r="AQ34" s="532">
        <f>IF(AP34&lt;2700,AP34*0.0097,IF(AP34&lt;3200,AP34*0.01095,IF(AP34&lt;3700,AP34*0.0122,IF(AP34&gt;3699,AP34*0.01345,""))))</f>
        <v>0</v>
      </c>
      <c r="AR34" s="619">
        <v>14</v>
      </c>
      <c r="AS34" s="576">
        <v>3583.3567839195985</v>
      </c>
      <c r="AT34" s="532">
        <f>IF(AS34&lt;2700,AS34*0.008,IF(AS34&lt;3200,AS34*0.0097,IF(AS34&lt;3700,AS34*0.01095,IF(AS34&gt;3699,AS34*0.0122,""))))</f>
        <v>39.2377567839196</v>
      </c>
      <c r="AU34" s="619"/>
      <c r="AV34" s="578"/>
      <c r="AW34" s="532">
        <f>IF(AV34&lt;2700,AV34*0.0097,IF(AV34&lt;3200,AV34*0.01095,IF(AV34&lt;3700,AV34*0.0122,IF(AV34&gt;3699,AV34*0.01345,""))))</f>
        <v>0</v>
      </c>
      <c r="AX34" s="619"/>
      <c r="AY34" s="578"/>
      <c r="AZ34" s="532">
        <f>IF(AY34&lt;2700,AY34*0.0097,IF(AY34&lt;3200,AY34*0.01095,IF(AY34&lt;3700,AY34*0.0122,IF(AY34&gt;3699,AY34*0.01345,""))))</f>
        <v>0</v>
      </c>
      <c r="BA34" s="619"/>
      <c r="BB34" s="581">
        <f t="shared" si="70"/>
        <v>31098.693467336685</v>
      </c>
      <c r="BC34" s="582">
        <f t="shared" si="70"/>
        <v>298.77590351758801</v>
      </c>
      <c r="BD34" s="727">
        <f t="shared" si="70"/>
        <v>71.098371859296478</v>
      </c>
      <c r="BE34" s="586"/>
      <c r="BF34" s="637">
        <f t="shared" si="17"/>
        <v>369.8742753768845</v>
      </c>
      <c r="BG34" s="578">
        <v>3196.9447236180904</v>
      </c>
      <c r="BH34" s="532">
        <f>IF(BG34&lt;2700,BG34*0.008,IF(BG34&lt;3200,BG34*0.0097,IF(BG34&lt;3700,BG34*0.01095,IF(BG34&gt;3699,BG34*0.0122,""))))</f>
        <v>31.010363819095478</v>
      </c>
      <c r="BI34" s="619"/>
      <c r="BJ34" s="578">
        <v>0</v>
      </c>
      <c r="BK34" s="532">
        <f>IF(BJ34&lt;2700,BJ34*0.0097,IF(BJ34&lt;3200,BJ34*0.01095,IF(BJ34&lt;3700,BJ34*0.0122,IF(BJ34&gt;3699,BJ34*0.01345,""))))</f>
        <v>0</v>
      </c>
      <c r="BL34" s="619">
        <v>0</v>
      </c>
      <c r="BM34" s="576">
        <v>2853.4673366834168</v>
      </c>
      <c r="BN34" s="532">
        <f>IF(BM34&lt;2700,BM34*0.008,IF(BM34&lt;3200,BM34*0.0097,IF(BM34&lt;3700,BM34*0.01095,IF(BM34&gt;3699,BM34*0.0122,""))))</f>
        <v>27.678633165829144</v>
      </c>
      <c r="BO34" s="619"/>
      <c r="BP34" s="576">
        <v>3258.211055276382</v>
      </c>
      <c r="BQ34" s="532">
        <f>IF(BP34&lt;2700,BP34*0.008,IF(BP34&lt;3200,BP34*0.0097,IF(BP34&lt;3700,BP34*0.01095,IF(BP34&gt;3699,BP34*0.0122,""))))</f>
        <v>35.67741105527638</v>
      </c>
      <c r="BR34" s="619"/>
      <c r="BS34" s="576">
        <v>0</v>
      </c>
      <c r="BT34" s="532">
        <f>IF(BS34&lt;2700,BS34*0.0097,IF(BS34&lt;3200,BS34*0.01095,IF(BS34&lt;3700,BS34*0.0122,IF(BS34&gt;3699,BS34*0.01345,""))))</f>
        <v>0</v>
      </c>
      <c r="BU34" s="532">
        <v>18</v>
      </c>
      <c r="BV34" s="576">
        <v>0</v>
      </c>
      <c r="BW34" s="532">
        <f>IF(BV34&lt;2700,BV34*0.0097,IF(BV34&lt;3200,BV34*0.01095,IF(BV34&lt;3700,BV34*0.0122,IF(BV34&gt;3699,BV34*0.01345,""))))</f>
        <v>0</v>
      </c>
      <c r="BX34" s="532">
        <v>18</v>
      </c>
      <c r="BY34" s="576">
        <v>0</v>
      </c>
      <c r="BZ34" s="532">
        <f>IF(BY34&lt;2700,BY34*0.0097,IF(BY34&lt;3200,BY34*0.01095,IF(BY34&lt;3700,BY34*0.0122,IF(BY34&gt;3699,BY34*0.01345,""))))</f>
        <v>0</v>
      </c>
      <c r="CA34" s="532">
        <v>18</v>
      </c>
      <c r="CB34" s="578">
        <v>0</v>
      </c>
      <c r="CC34" s="532">
        <f>IF(CB34&lt;2700,CB34*0.0097,IF(CB34&lt;3200,CB34*0.01095,IF(CB34&lt;3700,CB34*0.0122,IF(CB34&gt;3699,CB34*0.01345,""))))</f>
        <v>0</v>
      </c>
      <c r="CD34" s="619">
        <v>0</v>
      </c>
      <c r="CE34" s="576">
        <v>3462.7537688442217</v>
      </c>
      <c r="CF34" s="532">
        <f>IF(CE34&lt;2700,CE34*0.008,IF(CE34&lt;3200,CE34*0.0097,IF(CE34&lt;3700,CE34*0.01095,IF(CE34&gt;3699,CE34*0.0122,""))))</f>
        <v>37.917153768844223</v>
      </c>
      <c r="CG34" s="619"/>
      <c r="CH34" s="578">
        <v>0</v>
      </c>
      <c r="CI34" s="532">
        <f>IF(CH34&lt;2700,CH34*0.0097,IF(CH34&lt;3200,CH34*0.01095,IF(CH34&lt;3700,CH34*0.0122,IF(CH34&gt;3699,CH34*0.01345,""))))</f>
        <v>0</v>
      </c>
      <c r="CJ34" s="532"/>
      <c r="CK34" s="578">
        <v>0</v>
      </c>
      <c r="CL34" s="532">
        <f>IF(CK34&lt;2700,CK34*0.0097,IF(CK34&lt;3200,CK34*0.01095,IF(CK34&lt;3700,CK34*0.0122,IF(CK34&gt;3699,CK34*0.01345,""))))</f>
        <v>0</v>
      </c>
      <c r="CM34" s="619"/>
      <c r="CN34" s="578">
        <v>0</v>
      </c>
      <c r="CO34" s="532">
        <f>IF(CN34&lt;2700,CN34*0.0097,IF(CN34&lt;3200,CN34*0.01095,IF(CN34&lt;3700,CN34*0.0122,IF(CN34&gt;3699,CN34*0.01345,""))))</f>
        <v>0</v>
      </c>
      <c r="CP34" s="619"/>
      <c r="CQ34" s="578">
        <v>0</v>
      </c>
      <c r="CR34" s="532">
        <f>IF(CQ34&lt;2700,CQ34*0.0097,IF(CQ34&lt;3200,CQ34*0.01095,IF(CQ34&lt;3700,CQ34*0.0122,IF(CQ34&gt;3699,CQ34*0.01345,""))))</f>
        <v>0</v>
      </c>
      <c r="CS34" s="619"/>
      <c r="CT34" s="1148">
        <f t="shared" si="72"/>
        <v>12771.376884422112</v>
      </c>
      <c r="CU34" s="623">
        <f t="shared" si="72"/>
        <v>132.28356180904524</v>
      </c>
      <c r="CV34" s="624">
        <f t="shared" si="31"/>
        <v>54</v>
      </c>
      <c r="CW34" s="586"/>
      <c r="CX34" s="1149">
        <f t="shared" si="32"/>
        <v>186.28356180904524</v>
      </c>
      <c r="CY34" s="1150">
        <f t="shared" si="71"/>
        <v>43870.070351758797</v>
      </c>
      <c r="CZ34" s="1151">
        <f t="shared" si="71"/>
        <v>431.05946532663324</v>
      </c>
      <c r="DA34" s="1152">
        <f t="shared" si="71"/>
        <v>125.09837185929648</v>
      </c>
      <c r="DB34" s="1153">
        <f t="shared" si="34"/>
        <v>556.15783718592968</v>
      </c>
      <c r="DC34" s="920" t="s">
        <v>737</v>
      </c>
      <c r="DD34" s="570"/>
      <c r="DE34" s="570"/>
      <c r="DF34" s="570"/>
      <c r="DG34" s="570"/>
      <c r="DH34" s="570"/>
      <c r="DI34" s="570"/>
      <c r="DJ34" s="570"/>
      <c r="DK34" s="570"/>
      <c r="DL34" s="570"/>
      <c r="DM34" s="570"/>
      <c r="DN34" s="570"/>
      <c r="DO34" s="570"/>
      <c r="DP34" s="570"/>
      <c r="DQ34" s="570"/>
      <c r="DR34" s="570"/>
      <c r="DS34" s="570"/>
      <c r="DT34" s="570"/>
      <c r="DU34" s="570"/>
      <c r="DV34" s="570"/>
      <c r="DW34" s="570"/>
      <c r="DX34" s="570"/>
      <c r="DY34" s="570"/>
      <c r="DZ34" s="570"/>
      <c r="EA34" s="570"/>
      <c r="EB34" s="570"/>
      <c r="EC34" s="570"/>
      <c r="ED34" s="570"/>
      <c r="EE34" s="570"/>
      <c r="EF34" s="570"/>
      <c r="EG34" s="570"/>
      <c r="EH34" s="570"/>
      <c r="EI34" s="570"/>
      <c r="EJ34" s="570"/>
      <c r="EK34" s="570"/>
      <c r="EL34" s="570"/>
      <c r="EM34" s="570"/>
      <c r="EN34" s="570"/>
      <c r="EO34" s="570"/>
      <c r="EP34" s="570"/>
      <c r="EQ34" s="570"/>
      <c r="ER34" s="570"/>
    </row>
    <row r="35" spans="1:148" s="571" customFormat="1" ht="15.75" customHeight="1" x14ac:dyDescent="0.25">
      <c r="A35" s="1140">
        <f t="shared" si="74"/>
        <v>29</v>
      </c>
      <c r="B35" s="972" t="s">
        <v>125</v>
      </c>
      <c r="C35" s="974" t="s">
        <v>756</v>
      </c>
      <c r="D35" s="975" t="s">
        <v>561</v>
      </c>
      <c r="E35" s="976" t="s">
        <v>562</v>
      </c>
      <c r="F35" s="576">
        <v>0</v>
      </c>
      <c r="G35" s="577">
        <f>IF(F35&lt;2700,F35*0.0105,IF(F35&lt;3200,F35*0.01175,IF(F35&lt;3700,F35*0.013,IF(F35&gt;3699,F35*0.01425,""))))</f>
        <v>0</v>
      </c>
      <c r="H35" s="619">
        <v>20</v>
      </c>
      <c r="I35" s="576">
        <v>0</v>
      </c>
      <c r="J35" s="577">
        <f>IF(I35&lt;2700,I35*0.0105,IF(I35&lt;3200,I35*0.01175,IF(I35&lt;3700,I35*0.013,IF(I35&gt;3699,I35*0.01425,""))))</f>
        <v>0</v>
      </c>
      <c r="K35" s="619">
        <v>25</v>
      </c>
      <c r="L35" s="576">
        <v>0</v>
      </c>
      <c r="M35" s="577">
        <f>IF(L35&lt;2700,L35*0.0105,IF(L35&lt;3200,L35*0.01175,IF(L35&lt;3700,L35*0.013,IF(L35&gt;3699,L35*0.01425,""))))</f>
        <v>0</v>
      </c>
      <c r="N35" s="619">
        <v>40</v>
      </c>
      <c r="O35" s="654"/>
      <c r="P35" s="577">
        <f>IF(O35&lt;2700,O35*0.0105,IF(O35&lt;3200,O35*0.01175,IF(O35&lt;3700,O35*0.013,IF(O35&gt;3699,O35*0.01425,""))))</f>
        <v>0</v>
      </c>
      <c r="Q35" s="619"/>
      <c r="R35" s="618">
        <v>0</v>
      </c>
      <c r="S35" s="577">
        <f>IF(R35&lt;2700,R35*0.0105,IF(R35&lt;3200,R35*0.01175,IF(R35&lt;3700,R35*0.013,IF(R35&gt;3699,R35*0.01425,""))))</f>
        <v>0</v>
      </c>
      <c r="T35" s="619">
        <v>18</v>
      </c>
      <c r="U35" s="618">
        <v>0</v>
      </c>
      <c r="V35" s="577">
        <f>IF(U35&lt;2700,U35*0.0105,IF(U35&lt;3200,U35*0.01175,IF(U35&lt;3700,U35*0.013,IF(U35&gt;3699,U35*0.01425,""))))</f>
        <v>0</v>
      </c>
      <c r="W35" s="619">
        <v>18</v>
      </c>
      <c r="X35" s="618">
        <v>0</v>
      </c>
      <c r="Y35" s="577">
        <f>IF(X35&lt;2700,X35*0.0105,IF(X35&lt;3200,X35*0.01175,IF(X35&lt;3700,X35*0.013,IF(X35&gt;3699,X35*0.01425,""))))</f>
        <v>0</v>
      </c>
      <c r="Z35" s="619">
        <v>18</v>
      </c>
      <c r="AA35" s="618">
        <v>0</v>
      </c>
      <c r="AB35" s="577">
        <f>IF(AA35&lt;2700,AA35*0.0105,IF(AA35&lt;3200,AA35*0.01175,IF(AA35&lt;3700,AA35*0.013,IF(AA35&gt;3699,AA35*0.01425,""))))</f>
        <v>0</v>
      </c>
      <c r="AC35" s="619">
        <v>18</v>
      </c>
      <c r="AD35" s="618">
        <v>0</v>
      </c>
      <c r="AE35" s="577">
        <f>IF(AD35&lt;2700,AD35*0.0105,IF(AD35&lt;3200,AD35*0.01175,IF(AD35&lt;3700,AD35*0.013,IF(AD35&gt;3699,AD35*0.01425,""))))</f>
        <v>0</v>
      </c>
      <c r="AF35" s="619">
        <v>18</v>
      </c>
      <c r="AG35" s="618">
        <v>0</v>
      </c>
      <c r="AH35" s="577">
        <f>IF(AG35&lt;2700,AG35*0.0105,IF(AG35&lt;3200,AG35*0.01175,IF(AG35&lt;3700,AG35*0.013,IF(AG35&gt;3699,AG35*0.01425,""))))</f>
        <v>0</v>
      </c>
      <c r="AI35" s="619">
        <v>18</v>
      </c>
      <c r="AJ35" s="618">
        <v>0</v>
      </c>
      <c r="AK35" s="577">
        <f>IF(AJ35&lt;2700,AJ35*0.0105,IF(AJ35&lt;3200,AJ35*0.01175,IF(AJ35&lt;3700,AJ35*0.013,IF(AJ35&gt;3699,AJ35*0.01425,""))))</f>
        <v>0</v>
      </c>
      <c r="AL35" s="619">
        <v>18</v>
      </c>
      <c r="AM35" s="618">
        <v>0</v>
      </c>
      <c r="AN35" s="577">
        <f>IF(AM35&lt;2700,AM35*0.0105,IF(AM35&lt;3200,AM35*0.01175,IF(AM35&lt;3700,AM35*0.013,IF(AM35&gt;3699,AM35*0.01425,""))))</f>
        <v>0</v>
      </c>
      <c r="AO35" s="619">
        <v>18</v>
      </c>
      <c r="AP35" s="618">
        <v>0</v>
      </c>
      <c r="AQ35" s="577">
        <f>IF(AP35&lt;2700,AP35*0.0105,IF(AP35&lt;3200,AP35*0.01175,IF(AP35&lt;3700,AP35*0.013,IF(AP35&gt;3699,AP35*0.01425,""))))</f>
        <v>0</v>
      </c>
      <c r="AR35" s="619">
        <v>18</v>
      </c>
      <c r="AS35" s="618">
        <v>0</v>
      </c>
      <c r="AT35" s="577">
        <f>IF(AS35&lt;2700,AS35*0.01,IF(AS35&lt;3200,AS35*0.0105,IF(AS35&lt;3700,AS35*0.01175,IF(AS35&gt;3699,AS35*0.013,""))))</f>
        <v>0</v>
      </c>
      <c r="AU35" s="619">
        <v>18</v>
      </c>
      <c r="AV35" s="654"/>
      <c r="AW35" s="577">
        <f>IF(AV35&lt;2700,AV35*0.0105,IF(AV35&lt;3200,AV35*0.01175,IF(AV35&lt;3700,AV35*0.013,IF(AV35&gt;3699,AV35*0.01425,""))))</f>
        <v>0</v>
      </c>
      <c r="AX35" s="619"/>
      <c r="AY35" s="654"/>
      <c r="AZ35" s="577">
        <f>IF(AY35&lt;2700,AY35*0.0105,IF(AY35&lt;3200,AY35*0.01175,IF(AY35&lt;3700,AY35*0.013,IF(AY35&gt;3699,AY35*0.01425,""))))</f>
        <v>0</v>
      </c>
      <c r="BA35" s="619"/>
      <c r="BB35" s="581">
        <f t="shared" si="70"/>
        <v>0</v>
      </c>
      <c r="BC35" s="582">
        <f t="shared" si="70"/>
        <v>0</v>
      </c>
      <c r="BD35" s="727">
        <f t="shared" si="70"/>
        <v>265</v>
      </c>
      <c r="BE35" s="586"/>
      <c r="BF35" s="637">
        <f t="shared" si="17"/>
        <v>265</v>
      </c>
      <c r="BG35" s="654">
        <v>0</v>
      </c>
      <c r="BH35" s="577">
        <f>IF(BG35&lt;2700,BG35*0.0105,IF(BG35&lt;3200,BG35*0.01175,IF(BG35&lt;3700,BG35*0.013,IF(BG35&gt;3699,BG35*0.01425,""))))</f>
        <v>0</v>
      </c>
      <c r="BI35" s="619">
        <v>18</v>
      </c>
      <c r="BJ35" s="654">
        <v>0</v>
      </c>
      <c r="BK35" s="577">
        <f>IF(BJ35&lt;2700,BJ35*0.0105,IF(BJ35&lt;3200,BJ35*0.01175,IF(BJ35&lt;3700,BJ35*0.013,IF(BJ35&gt;3699,BJ35*0.01425,""))))</f>
        <v>0</v>
      </c>
      <c r="BL35" s="619">
        <v>18</v>
      </c>
      <c r="BM35" s="618">
        <v>3126.0301507537688</v>
      </c>
      <c r="BN35" s="577">
        <f>IF(BM35&lt;2700,BM35*0.01,IF(BM35&lt;3200,BM35*0.0105,IF(BM35&lt;3700,BM35*0.01175,IF(BM35&gt;3699,BM35*0.013,""))))</f>
        <v>32.823316582914572</v>
      </c>
      <c r="BO35" s="619"/>
      <c r="BP35" s="618">
        <v>2573.1859296482412</v>
      </c>
      <c r="BQ35" s="577">
        <f>IF(BP35&lt;2700,BP35*0.01,IF(BP35&lt;3200,BP35*0.0105,IF(BP35&lt;3700,BP35*0.01175,IF(BP35&gt;3699,BP35*0.013,""))))</f>
        <v>25.731859296482412</v>
      </c>
      <c r="BR35" s="619"/>
      <c r="BS35" s="618">
        <v>2940.78391959799</v>
      </c>
      <c r="BT35" s="577">
        <f>IF(BS35&lt;2700,BS35*0.01,IF(BS35&lt;3200,BS35*0.0105,IF(BS35&lt;3700,BS35*0.01175,IF(BS35&gt;3699,BS35*0.013,""))))</f>
        <v>30.878231155778899</v>
      </c>
      <c r="BU35" s="619"/>
      <c r="BV35" s="618">
        <v>2406.2713567839196</v>
      </c>
      <c r="BW35" s="577">
        <f>IF(BV35&lt;2700,BV35*0.01,IF(BV35&lt;3200,BV35*0.0105,IF(BV35&lt;3700,BV35*0.01175,IF(BV35&gt;3699,BV35*0.013,""))))</f>
        <v>24.062713567839197</v>
      </c>
      <c r="BX35" s="619"/>
      <c r="BY35" s="618">
        <v>1267.778894472362</v>
      </c>
      <c r="BZ35" s="577">
        <f>IF(BY35&lt;2700,BY35*0.01,IF(BY35&lt;3200,BY35*0.0105,IF(BY35&lt;3700,BY35*0.01175,IF(BY35&gt;3699,BY35*0.013,""))))</f>
        <v>12.67778894472362</v>
      </c>
      <c r="CA35" s="619"/>
      <c r="CB35" s="654">
        <v>0</v>
      </c>
      <c r="CC35" s="577">
        <f>IF(CB35&lt;2700,CB35*0.0105,IF(CB35&lt;3200,CB35*0.01175,IF(CB35&lt;3700,CB35*0.013,IF(CB35&gt;3699,CB35*0.01425,""))))</f>
        <v>0</v>
      </c>
      <c r="CD35" s="619">
        <v>0</v>
      </c>
      <c r="CE35" s="618">
        <v>3016.0402010050248</v>
      </c>
      <c r="CF35" s="577">
        <f>IF(CE35&lt;2700,CE35*0.01,IF(CE35&lt;3200,CE35*0.0105,IF(CE35&lt;3700,CE35*0.01175,IF(CE35&gt;3699,CE35*0.013,""))))</f>
        <v>31.668422110552761</v>
      </c>
      <c r="CG35" s="619"/>
      <c r="CH35" s="654">
        <v>0</v>
      </c>
      <c r="CI35" s="577">
        <f>IF(CH35&lt;2700,CH35*0.0105,IF(CH35&lt;3200,CH35*0.01175,IF(CH35&lt;3700,CH35*0.013,IF(CH35&gt;3699,CH35*0.01425,""))))</f>
        <v>0</v>
      </c>
      <c r="CJ35" s="619">
        <v>0</v>
      </c>
      <c r="CK35" s="654">
        <v>0</v>
      </c>
      <c r="CL35" s="577">
        <f>IF(CK35&lt;2700,CK35*0.0105,IF(CK35&lt;3200,CK35*0.01175,IF(CK35&lt;3700,CK35*0.013,IF(CK35&gt;3699,CK35*0.01425,""))))</f>
        <v>0</v>
      </c>
      <c r="CM35" s="619">
        <v>0</v>
      </c>
      <c r="CN35" s="578">
        <v>0</v>
      </c>
      <c r="CO35" s="577">
        <f>IF(CN35&lt;2700,CN35*0.0105,IF(CN35&lt;3200,CN35*0.01175,IF(CN35&lt;3700,CN35*0.013,IF(CN35&gt;3699,CN35*0.01425,""))))</f>
        <v>0</v>
      </c>
      <c r="CP35" s="619"/>
      <c r="CQ35" s="578">
        <v>0</v>
      </c>
      <c r="CR35" s="577">
        <f>IF(CQ35&lt;2700,CQ35*0.0105,IF(CQ35&lt;3200,CQ35*0.01175,IF(CQ35&lt;3700,CQ35*0.013,IF(CQ35&gt;3699,CQ35*0.01425,""))))</f>
        <v>0</v>
      </c>
      <c r="CS35" s="619"/>
      <c r="CT35" s="1148">
        <f t="shared" si="72"/>
        <v>15330.090452261305</v>
      </c>
      <c r="CU35" s="623">
        <f t="shared" si="72"/>
        <v>157.84233165829147</v>
      </c>
      <c r="CV35" s="624">
        <f t="shared" si="31"/>
        <v>36</v>
      </c>
      <c r="CW35" s="586"/>
      <c r="CX35" s="1149">
        <f t="shared" si="32"/>
        <v>193.84233165829147</v>
      </c>
      <c r="CY35" s="1150">
        <f t="shared" si="71"/>
        <v>15330.090452261305</v>
      </c>
      <c r="CZ35" s="1151">
        <f t="shared" si="71"/>
        <v>157.84233165829147</v>
      </c>
      <c r="DA35" s="1152">
        <f t="shared" si="71"/>
        <v>301</v>
      </c>
      <c r="DB35" s="1153">
        <f t="shared" si="34"/>
        <v>458.84233165829147</v>
      </c>
      <c r="DC35" s="920" t="s">
        <v>737</v>
      </c>
      <c r="DD35" s="570"/>
      <c r="DE35" s="570"/>
      <c r="DF35" s="570"/>
      <c r="DG35" s="570"/>
      <c r="DH35" s="570"/>
      <c r="DI35" s="570"/>
      <c r="DJ35" s="570"/>
      <c r="DK35" s="570"/>
      <c r="DL35" s="570"/>
      <c r="DM35" s="570"/>
      <c r="DN35" s="570"/>
      <c r="DO35" s="570"/>
      <c r="DP35" s="570"/>
      <c r="DQ35" s="570"/>
      <c r="DR35" s="570"/>
      <c r="DS35" s="570"/>
      <c r="DT35" s="570"/>
      <c r="DU35" s="570"/>
      <c r="DV35" s="570"/>
      <c r="DW35" s="570"/>
      <c r="DX35" s="570"/>
      <c r="DY35" s="570"/>
      <c r="DZ35" s="570"/>
      <c r="EA35" s="570"/>
      <c r="EB35" s="570"/>
      <c r="EC35" s="570"/>
      <c r="ED35" s="570"/>
      <c r="EE35" s="570"/>
      <c r="EF35" s="570"/>
      <c r="EG35" s="570"/>
      <c r="EH35" s="570"/>
      <c r="EI35" s="570"/>
      <c r="EJ35" s="570"/>
      <c r="EK35" s="570"/>
      <c r="EL35" s="570"/>
      <c r="EM35" s="570"/>
      <c r="EN35" s="570"/>
      <c r="EO35" s="570"/>
      <c r="EP35" s="570"/>
      <c r="EQ35" s="570"/>
      <c r="ER35" s="570"/>
    </row>
    <row r="36" spans="1:148" s="571" customFormat="1" ht="15.75" customHeight="1" x14ac:dyDescent="0.25">
      <c r="A36" s="1140">
        <f t="shared" si="74"/>
        <v>30</v>
      </c>
      <c r="B36" s="548" t="s">
        <v>50</v>
      </c>
      <c r="C36" s="921" t="s">
        <v>791</v>
      </c>
      <c r="D36" s="975" t="s">
        <v>696</v>
      </c>
      <c r="E36" s="976" t="s">
        <v>769</v>
      </c>
      <c r="F36" s="576">
        <v>0</v>
      </c>
      <c r="G36" s="532">
        <v>0</v>
      </c>
      <c r="H36" s="532">
        <v>20</v>
      </c>
      <c r="I36" s="576">
        <v>0</v>
      </c>
      <c r="J36" s="532">
        <v>0</v>
      </c>
      <c r="K36" s="532">
        <v>25</v>
      </c>
      <c r="L36" s="576">
        <v>0</v>
      </c>
      <c r="M36" s="532">
        <v>0</v>
      </c>
      <c r="N36" s="532">
        <v>40</v>
      </c>
      <c r="O36" s="578"/>
      <c r="P36" s="532">
        <v>0</v>
      </c>
      <c r="Q36" s="532"/>
      <c r="R36" s="578">
        <v>0</v>
      </c>
      <c r="S36" s="532">
        <v>0</v>
      </c>
      <c r="T36" s="532">
        <v>20</v>
      </c>
      <c r="U36" s="578">
        <v>0</v>
      </c>
      <c r="V36" s="532">
        <v>0</v>
      </c>
      <c r="W36" s="532">
        <v>20</v>
      </c>
      <c r="X36" s="578">
        <v>0</v>
      </c>
      <c r="Y36" s="532">
        <v>0</v>
      </c>
      <c r="Z36" s="619">
        <v>18</v>
      </c>
      <c r="AA36" s="578">
        <v>0</v>
      </c>
      <c r="AB36" s="532">
        <v>0</v>
      </c>
      <c r="AC36" s="532">
        <v>20</v>
      </c>
      <c r="AD36" s="578">
        <v>0</v>
      </c>
      <c r="AE36" s="532">
        <v>0</v>
      </c>
      <c r="AF36" s="532">
        <v>40</v>
      </c>
      <c r="AG36" s="578">
        <v>0</v>
      </c>
      <c r="AH36" s="532">
        <v>0</v>
      </c>
      <c r="AI36" s="532">
        <v>0</v>
      </c>
      <c r="AJ36" s="578">
        <v>0</v>
      </c>
      <c r="AK36" s="532">
        <v>0</v>
      </c>
      <c r="AL36" s="532">
        <v>20</v>
      </c>
      <c r="AM36" s="578">
        <v>0</v>
      </c>
      <c r="AN36" s="532">
        <v>0</v>
      </c>
      <c r="AO36" s="532">
        <v>20</v>
      </c>
      <c r="AP36" s="578">
        <v>0</v>
      </c>
      <c r="AQ36" s="532">
        <v>0</v>
      </c>
      <c r="AR36" s="532">
        <v>20</v>
      </c>
      <c r="AS36" s="578">
        <v>0</v>
      </c>
      <c r="AT36" s="532">
        <v>0</v>
      </c>
      <c r="AU36" s="532">
        <v>20</v>
      </c>
      <c r="AV36" s="578"/>
      <c r="AW36" s="532">
        <v>0</v>
      </c>
      <c r="AX36" s="532"/>
      <c r="AY36" s="578"/>
      <c r="AZ36" s="532">
        <v>0</v>
      </c>
      <c r="BA36" s="532"/>
      <c r="BB36" s="581">
        <f t="shared" si="70"/>
        <v>0</v>
      </c>
      <c r="BC36" s="582">
        <f t="shared" si="70"/>
        <v>0</v>
      </c>
      <c r="BD36" s="727">
        <f t="shared" si="70"/>
        <v>283</v>
      </c>
      <c r="BE36" s="586"/>
      <c r="BF36" s="637">
        <f t="shared" si="17"/>
        <v>283</v>
      </c>
      <c r="BG36" s="578">
        <v>0</v>
      </c>
      <c r="BH36" s="532">
        <v>0</v>
      </c>
      <c r="BI36" s="532">
        <v>20</v>
      </c>
      <c r="BJ36" s="578">
        <v>0</v>
      </c>
      <c r="BK36" s="532">
        <v>0</v>
      </c>
      <c r="BL36" s="532">
        <v>12</v>
      </c>
      <c r="BM36" s="576">
        <v>0</v>
      </c>
      <c r="BN36" s="532">
        <v>0</v>
      </c>
      <c r="BO36" s="532">
        <v>20</v>
      </c>
      <c r="BP36" s="576">
        <v>0</v>
      </c>
      <c r="BQ36" s="532">
        <v>0</v>
      </c>
      <c r="BR36" s="532">
        <v>20</v>
      </c>
      <c r="BS36" s="576">
        <v>0</v>
      </c>
      <c r="BT36" s="532">
        <v>0</v>
      </c>
      <c r="BU36" s="532">
        <v>20</v>
      </c>
      <c r="BV36" s="576">
        <v>0</v>
      </c>
      <c r="BW36" s="532">
        <v>0</v>
      </c>
      <c r="BX36" s="532">
        <v>20</v>
      </c>
      <c r="BY36" s="576">
        <v>0</v>
      </c>
      <c r="BZ36" s="532">
        <v>0</v>
      </c>
      <c r="CA36" s="532">
        <v>20</v>
      </c>
      <c r="CB36" s="578">
        <v>0</v>
      </c>
      <c r="CC36" s="532">
        <v>0</v>
      </c>
      <c r="CD36" s="532">
        <v>0</v>
      </c>
      <c r="CE36" s="578">
        <v>0</v>
      </c>
      <c r="CF36" s="532">
        <v>0</v>
      </c>
      <c r="CG36" s="532">
        <v>20</v>
      </c>
      <c r="CH36" s="578">
        <v>0</v>
      </c>
      <c r="CI36" s="532">
        <v>0</v>
      </c>
      <c r="CJ36" s="532"/>
      <c r="CK36" s="578">
        <v>0</v>
      </c>
      <c r="CL36" s="532">
        <v>0</v>
      </c>
      <c r="CM36" s="577">
        <v>18</v>
      </c>
      <c r="CN36" s="578">
        <v>0</v>
      </c>
      <c r="CO36" s="532">
        <v>0</v>
      </c>
      <c r="CP36" s="532"/>
      <c r="CQ36" s="578">
        <v>0</v>
      </c>
      <c r="CR36" s="532">
        <v>0</v>
      </c>
      <c r="CS36" s="532"/>
      <c r="CT36" s="1148">
        <f t="shared" si="72"/>
        <v>0</v>
      </c>
      <c r="CU36" s="623">
        <f t="shared" si="72"/>
        <v>0</v>
      </c>
      <c r="CV36" s="624">
        <f t="shared" si="31"/>
        <v>170</v>
      </c>
      <c r="CW36" s="586"/>
      <c r="CX36" s="1149">
        <f t="shared" si="32"/>
        <v>170</v>
      </c>
      <c r="CY36" s="1150">
        <f t="shared" si="71"/>
        <v>0</v>
      </c>
      <c r="CZ36" s="1151">
        <f t="shared" si="71"/>
        <v>0</v>
      </c>
      <c r="DA36" s="1152">
        <f t="shared" si="71"/>
        <v>453</v>
      </c>
      <c r="DB36" s="1153">
        <f t="shared" si="34"/>
        <v>453</v>
      </c>
      <c r="DC36" s="920" t="s">
        <v>770</v>
      </c>
      <c r="DD36" s="570"/>
      <c r="DE36" s="570"/>
      <c r="DF36" s="570"/>
      <c r="DG36" s="570"/>
      <c r="DH36" s="570"/>
      <c r="DI36" s="570"/>
      <c r="DJ36" s="570"/>
      <c r="DK36" s="570"/>
      <c r="DL36" s="570"/>
      <c r="DM36" s="570"/>
      <c r="DN36" s="570"/>
      <c r="DO36" s="570"/>
      <c r="DP36" s="570"/>
      <c r="DQ36" s="570"/>
      <c r="DR36" s="570"/>
      <c r="DS36" s="570"/>
      <c r="DT36" s="570"/>
      <c r="DU36" s="570"/>
      <c r="DV36" s="570"/>
      <c r="DW36" s="570"/>
      <c r="DX36" s="570"/>
      <c r="DY36" s="570"/>
      <c r="DZ36" s="570"/>
      <c r="EA36" s="570"/>
      <c r="EB36" s="570"/>
      <c r="EC36" s="570"/>
      <c r="ED36" s="570"/>
      <c r="EE36" s="570"/>
      <c r="EF36" s="570"/>
      <c r="EG36" s="570"/>
      <c r="EH36" s="570"/>
      <c r="EI36" s="570"/>
      <c r="EJ36" s="570"/>
      <c r="EK36" s="570"/>
      <c r="EL36" s="570"/>
      <c r="EM36" s="570"/>
      <c r="EN36" s="570"/>
      <c r="EO36" s="570"/>
      <c r="EP36" s="570"/>
      <c r="EQ36" s="570"/>
      <c r="ER36" s="570"/>
    </row>
    <row r="37" spans="1:148" s="571" customFormat="1" ht="15.75" customHeight="1" x14ac:dyDescent="0.25">
      <c r="A37" s="1140">
        <f t="shared" si="74"/>
        <v>31</v>
      </c>
      <c r="B37" s="1154" t="s">
        <v>103</v>
      </c>
      <c r="C37" s="974" t="s">
        <v>756</v>
      </c>
      <c r="D37" s="975" t="s">
        <v>771</v>
      </c>
      <c r="E37" s="976" t="s">
        <v>772</v>
      </c>
      <c r="F37" s="576">
        <v>3591.0753768844224</v>
      </c>
      <c r="G37" s="517">
        <f>IF(F37&lt;2700,F37*0.007,IF(F37&lt;3200,F37*0.008,IF(F37&lt;3700,F37*0.0097,IF(F37&gt;3699,F37*0.01095,""))))</f>
        <v>34.833431155778896</v>
      </c>
      <c r="H37" s="532"/>
      <c r="I37" s="576">
        <v>2202.6934673366836</v>
      </c>
      <c r="J37" s="517">
        <f>IF(I37&lt;2700,I37*0.007,IF(I37&lt;3200,I37*0.008,IF(I37&lt;3700,I37*0.0097,IF(I37&gt;3699,I37*0.01095,""))))</f>
        <v>15.418854271356786</v>
      </c>
      <c r="K37" s="532">
        <v>5</v>
      </c>
      <c r="L37" s="576">
        <v>3606.0301507537688</v>
      </c>
      <c r="M37" s="517">
        <f>IF(L37&lt;2700,L37*0.007,IF(L37&lt;3200,L37*0.008,IF(L37&lt;3700,L37*0.0097,IF(L37&gt;3699,L37*0.01095,""))))</f>
        <v>34.978492462311557</v>
      </c>
      <c r="N37" s="532"/>
      <c r="O37" s="578"/>
      <c r="P37" s="532">
        <f>IF(O37&lt;2700,O37*0.0097,IF(O37&lt;3200,O37*0.01095,IF(O37&lt;3700,O37*0.0122,IF(O37&gt;3699,O37*0.01345,""))))</f>
        <v>0</v>
      </c>
      <c r="Q37" s="532"/>
      <c r="R37" s="576">
        <v>3175.2361809045228</v>
      </c>
      <c r="S37" s="517">
        <f>IF(R37&lt;2700,R37*0.007,IF(R37&lt;3200,R37*0.008,IF(R37&lt;3700,R37*0.0097,IF(R37&gt;3699,R37*0.01095,""))))</f>
        <v>25.401889447236183</v>
      </c>
      <c r="T37" s="532"/>
      <c r="U37" s="618">
        <v>0</v>
      </c>
      <c r="V37" s="532">
        <f>IF(U37&lt;2700,U37*0.0097,IF(U37&lt;3200,U37*0.01095,IF(U37&lt;3700,U37*0.0122,IF(U37&gt;3699,U37*0.01345,""))))</f>
        <v>0</v>
      </c>
      <c r="W37" s="619">
        <v>18</v>
      </c>
      <c r="X37" s="618">
        <v>0</v>
      </c>
      <c r="Y37" s="532">
        <f>IF(X37&lt;2700,X37*0.0097,IF(X37&lt;3200,X37*0.01095,IF(X37&lt;3700,X37*0.0122,IF(X37&gt;3699,X37*0.01345,""))))</f>
        <v>0</v>
      </c>
      <c r="Z37" s="619">
        <v>18</v>
      </c>
      <c r="AA37" s="618">
        <v>0</v>
      </c>
      <c r="AB37" s="532">
        <f>IF(AA37&lt;2700,AA37*0.0097,IF(AA37&lt;3200,AA37*0.01095,IF(AA37&lt;3700,AA37*0.0122,IF(AA37&gt;3699,AA37*0.01345,""))))</f>
        <v>0</v>
      </c>
      <c r="AC37" s="619">
        <v>18</v>
      </c>
      <c r="AD37" s="576">
        <v>0</v>
      </c>
      <c r="AE37" s="532">
        <f>IF(AD37&lt;2700,AD37*0.008,IF(AD37&lt;3200,AD37*0.0097,IF(AD37&lt;3700,AD37*0.01095,IF(AD37&gt;3699,AD37*0.0122,""))))</f>
        <v>0</v>
      </c>
      <c r="AF37" s="619">
        <v>18</v>
      </c>
      <c r="AG37" s="576">
        <v>0</v>
      </c>
      <c r="AH37" s="532">
        <f>IF(AG37&lt;2700,AG37*0.0097,IF(AG37&lt;3200,AG37*0.01095,IF(AG37&lt;3700,AG37*0.0122,IF(AG37&gt;3699,AG37*0.01345,""))))</f>
        <v>0</v>
      </c>
      <c r="AI37" s="619">
        <v>18</v>
      </c>
      <c r="AJ37" s="578">
        <v>0</v>
      </c>
      <c r="AK37" s="532">
        <f>IF(AJ37&lt;2700,AJ37*0.008,IF(AJ37&lt;3200,AJ37*0.0097,IF(AJ37&lt;3700,AJ37*0.01095,IF(AJ37&gt;3699,AJ37*0.0122,""))))</f>
        <v>0</v>
      </c>
      <c r="AL37" s="619">
        <v>18</v>
      </c>
      <c r="AM37" s="578">
        <v>0</v>
      </c>
      <c r="AN37" s="532">
        <f>IF(AM37&lt;2700,AM37*0.008,IF(AM37&lt;3200,AM37*0.0097,IF(AM37&lt;3700,AM37*0.01095,IF(AM37&gt;3699,AM37*0.0122,""))))</f>
        <v>0</v>
      </c>
      <c r="AO37" s="619">
        <v>18</v>
      </c>
      <c r="AP37" s="578">
        <v>0</v>
      </c>
      <c r="AQ37" s="532">
        <f>IF(AP37&lt;2700,AP37*0.0097,IF(AP37&lt;3200,AP37*0.01095,IF(AP37&lt;3700,AP37*0.0122,IF(AP37&gt;3699,AP37*0.01345,""))))</f>
        <v>0</v>
      </c>
      <c r="AR37" s="532">
        <v>0</v>
      </c>
      <c r="AS37" s="578">
        <v>0</v>
      </c>
      <c r="AT37" s="532">
        <f>IF(AS37&lt;2700,AS37*0.0097,IF(AS37&lt;3200,AS37*0.01095,IF(AS37&lt;3700,AS37*0.0122,IF(AS37&gt;3699,AS37*0.01345,""))))</f>
        <v>0</v>
      </c>
      <c r="AU37" s="532">
        <v>18</v>
      </c>
      <c r="AV37" s="578"/>
      <c r="AW37" s="532">
        <f>IF(AV37&lt;2700,AV37*0.0097,IF(AV37&lt;3200,AV37*0.01095,IF(AV37&lt;3700,AV37*0.0122,IF(AV37&gt;3699,AV37*0.01345,""))))</f>
        <v>0</v>
      </c>
      <c r="AX37" s="532"/>
      <c r="AY37" s="578"/>
      <c r="AZ37" s="532">
        <f>IF(AY37&lt;2700,AY37*0.0097,IF(AY37&lt;3200,AY37*0.01095,IF(AY37&lt;3700,AY37*0.0122,IF(AY37&gt;3699,AY37*0.01345,""))))</f>
        <v>0</v>
      </c>
      <c r="BA37" s="532"/>
      <c r="BB37" s="581">
        <f t="shared" si="70"/>
        <v>12575.035175879397</v>
      </c>
      <c r="BC37" s="582">
        <f t="shared" si="70"/>
        <v>110.63266733668343</v>
      </c>
      <c r="BD37" s="727">
        <f t="shared" si="70"/>
        <v>149</v>
      </c>
      <c r="BE37" s="586"/>
      <c r="BF37" s="637">
        <f t="shared" si="17"/>
        <v>259.63266733668343</v>
      </c>
      <c r="BG37" s="578">
        <v>0</v>
      </c>
      <c r="BH37" s="532">
        <f>IF(BG37&lt;2700,BG37*0.0097,IF(BG37&lt;3200,BG37*0.01095,IF(BG37&lt;3700,BG37*0.0122,IF(BG37&gt;3699,BG37*0.01345,""))))</f>
        <v>0</v>
      </c>
      <c r="BI37" s="532">
        <v>18</v>
      </c>
      <c r="BJ37" s="578">
        <v>0</v>
      </c>
      <c r="BK37" s="532">
        <f>IF(BJ37&lt;2700,BJ37*0.0097,IF(BJ37&lt;3200,BJ37*0.01095,IF(BJ37&lt;3700,BJ37*0.0122,IF(BJ37&gt;3699,BJ37*0.01345,""))))</f>
        <v>0</v>
      </c>
      <c r="BL37" s="532">
        <v>12</v>
      </c>
      <c r="BM37" s="576">
        <v>0</v>
      </c>
      <c r="BN37" s="532">
        <f>IF(BM37&lt;2700,BM37*0.0097,IF(BM37&lt;3200,BM37*0.01095,IF(BM37&lt;3700,BM37*0.0122,IF(BM37&gt;3699,BM37*0.01345,""))))</f>
        <v>0</v>
      </c>
      <c r="BO37" s="532">
        <v>18</v>
      </c>
      <c r="BP37" s="576">
        <v>0</v>
      </c>
      <c r="BQ37" s="532">
        <f>IF(BP37&lt;2700,BP37*0.0097,IF(BP37&lt;3200,BP37*0.01095,IF(BP37&lt;3700,BP37*0.0122,IF(BP37&gt;3699,BP37*0.01345,""))))</f>
        <v>0</v>
      </c>
      <c r="BR37" s="532">
        <v>18</v>
      </c>
      <c r="BS37" s="576">
        <v>0</v>
      </c>
      <c r="BT37" s="532">
        <f>IF(BS37&lt;2700,BS37*0.0097,IF(BS37&lt;3200,BS37*0.01095,IF(BS37&lt;3700,BS37*0.0122,IF(BS37&gt;3699,BS37*0.01345,""))))</f>
        <v>0</v>
      </c>
      <c r="BU37" s="532">
        <v>18</v>
      </c>
      <c r="BV37" s="576">
        <v>0</v>
      </c>
      <c r="BW37" s="532">
        <f>IF(BV37&lt;2700,BV37*0.008,IF(BV37&lt;3200,BV37*0.0097,IF(BV37&lt;3700,BV37*0.01095,IF(BV37&gt;3699,BV37*0.0122,""))))</f>
        <v>0</v>
      </c>
      <c r="BX37" s="532">
        <v>18</v>
      </c>
      <c r="BY37" s="576">
        <v>0</v>
      </c>
      <c r="BZ37" s="532">
        <f>IF(BY37&lt;2700,BY37*0.0097,IF(BY37&lt;3200,BY37*0.01095,IF(BY37&lt;3700,BY37*0.0122,IF(BY37&gt;3699,BY37*0.01345,""))))</f>
        <v>0</v>
      </c>
      <c r="CA37" s="532">
        <v>18</v>
      </c>
      <c r="CB37" s="578">
        <v>0</v>
      </c>
      <c r="CC37" s="532">
        <f>IF(CB37&lt;2700,CB37*0.0097,IF(CB37&lt;3200,CB37*0.01095,IF(CB37&lt;3700,CB37*0.0122,IF(CB37&gt;3699,CB37*0.01345,""))))</f>
        <v>0</v>
      </c>
      <c r="CD37" s="532">
        <v>10</v>
      </c>
      <c r="CE37" s="578">
        <v>0</v>
      </c>
      <c r="CF37" s="532">
        <f>IF(CE37&lt;2700,CE37*0.0097,IF(CE37&lt;3200,CE37*0.01095,IF(CE37&lt;3700,CE37*0.0122,IF(CE37&gt;3699,CE37*0.01345,""))))</f>
        <v>0</v>
      </c>
      <c r="CG37" s="532">
        <v>18</v>
      </c>
      <c r="CH37" s="578">
        <v>0</v>
      </c>
      <c r="CI37" s="532">
        <f>IF(CH37&lt;2700,CH37*0.0097,IF(CH37&lt;3200,CH37*0.01095,IF(CH37&lt;3700,CH37*0.0122,IF(CH37&gt;3699,CH37*0.01345,""))))</f>
        <v>0</v>
      </c>
      <c r="CJ37" s="532">
        <v>10</v>
      </c>
      <c r="CK37" s="578">
        <v>0</v>
      </c>
      <c r="CL37" s="532">
        <f>IF(CK37&lt;2700,CK37*0.0097,IF(CK37&lt;3200,CK37*0.01095,IF(CK37&lt;3700,CK37*0.0122,IF(CK37&gt;3699,CK37*0.01345,""))))</f>
        <v>0</v>
      </c>
      <c r="CM37" s="532"/>
      <c r="CN37" s="578">
        <v>0</v>
      </c>
      <c r="CO37" s="532">
        <f>IF(CN37&lt;2700,CN37*0.0097,IF(CN37&lt;3200,CN37*0.01095,IF(CN37&lt;3700,CN37*0.0122,IF(CN37&gt;3699,CN37*0.01345,""))))</f>
        <v>0</v>
      </c>
      <c r="CP37" s="532"/>
      <c r="CQ37" s="578">
        <v>0</v>
      </c>
      <c r="CR37" s="532">
        <f>IF(CQ37&lt;2700,CQ37*0.0097,IF(CQ37&lt;3200,CQ37*0.01095,IF(CQ37&lt;3700,CQ37*0.0122,IF(CQ37&gt;3699,CQ37*0.01345,""))))</f>
        <v>0</v>
      </c>
      <c r="CS37" s="532"/>
      <c r="CT37" s="1148">
        <f t="shared" si="72"/>
        <v>0</v>
      </c>
      <c r="CU37" s="623">
        <f t="shared" si="72"/>
        <v>0</v>
      </c>
      <c r="CV37" s="624">
        <f t="shared" si="31"/>
        <v>158</v>
      </c>
      <c r="CW37" s="586"/>
      <c r="CX37" s="1149">
        <f t="shared" si="32"/>
        <v>158</v>
      </c>
      <c r="CY37" s="1150">
        <f t="shared" si="71"/>
        <v>12575.035175879397</v>
      </c>
      <c r="CZ37" s="1151">
        <f t="shared" si="71"/>
        <v>110.63266733668343</v>
      </c>
      <c r="DA37" s="1152">
        <f t="shared" si="71"/>
        <v>307</v>
      </c>
      <c r="DB37" s="1153">
        <f t="shared" si="34"/>
        <v>417.63266733668343</v>
      </c>
      <c r="DC37" s="920" t="s">
        <v>740</v>
      </c>
      <c r="DD37" s="570"/>
      <c r="DE37" s="570"/>
      <c r="DF37" s="570"/>
      <c r="DG37" s="570"/>
      <c r="DH37" s="570"/>
      <c r="DI37" s="570"/>
      <c r="DJ37" s="570"/>
      <c r="DK37" s="570"/>
      <c r="DL37" s="570"/>
      <c r="DM37" s="570"/>
      <c r="DN37" s="570"/>
      <c r="DO37" s="570"/>
      <c r="DP37" s="570"/>
      <c r="DQ37" s="570"/>
      <c r="DR37" s="570"/>
      <c r="DS37" s="570"/>
      <c r="DT37" s="570"/>
      <c r="DU37" s="570"/>
      <c r="DV37" s="570"/>
      <c r="DW37" s="570"/>
      <c r="DX37" s="570"/>
      <c r="DY37" s="570"/>
      <c r="DZ37" s="570"/>
      <c r="EA37" s="570"/>
      <c r="EB37" s="570"/>
      <c r="EC37" s="570"/>
      <c r="ED37" s="570"/>
      <c r="EE37" s="570"/>
      <c r="EF37" s="570"/>
      <c r="EG37" s="570"/>
      <c r="EH37" s="570"/>
      <c r="EI37" s="570"/>
      <c r="EJ37" s="570"/>
      <c r="EK37" s="570"/>
      <c r="EL37" s="570"/>
      <c r="EM37" s="570"/>
      <c r="EN37" s="570"/>
      <c r="EO37" s="570"/>
      <c r="EP37" s="570"/>
      <c r="EQ37" s="570"/>
      <c r="ER37" s="570"/>
    </row>
    <row r="38" spans="1:148" s="571" customFormat="1" ht="15.75" customHeight="1" x14ac:dyDescent="0.25">
      <c r="A38" s="1140">
        <f t="shared" si="74"/>
        <v>32</v>
      </c>
      <c r="B38" s="972" t="s">
        <v>102</v>
      </c>
      <c r="C38" s="974" t="s">
        <v>756</v>
      </c>
      <c r="D38" s="975" t="s">
        <v>773</v>
      </c>
      <c r="E38" s="976" t="s">
        <v>774</v>
      </c>
      <c r="F38" s="576">
        <v>0</v>
      </c>
      <c r="G38" s="532">
        <f>IF(F38&lt;2700,F38*0.0097,IF(F38&lt;3200,F38*0.01095,IF(F38&lt;3700,F38*0.0122,IF(F38&gt;3699,F38*0.01345,""))))</f>
        <v>0</v>
      </c>
      <c r="H38" s="619">
        <v>20</v>
      </c>
      <c r="I38" s="576">
        <v>0</v>
      </c>
      <c r="J38" s="532">
        <f>IF(I38&lt;2700,I38*0.0097,IF(I38&lt;3200,I38*0.01095,IF(I38&lt;3700,I38*0.0122,IF(I38&gt;3699,I38*0.01345,""))))</f>
        <v>0</v>
      </c>
      <c r="K38" s="619">
        <v>25</v>
      </c>
      <c r="L38" s="576">
        <v>0</v>
      </c>
      <c r="M38" s="532">
        <f>IF(L38&lt;2700,L38*0.0097,IF(L38&lt;3200,L38*0.01095,IF(L38&lt;3700,L38*0.0122,IF(L38&gt;3699,L38*0.01345,""))))</f>
        <v>0</v>
      </c>
      <c r="N38" s="619">
        <v>40</v>
      </c>
      <c r="O38" s="654"/>
      <c r="P38" s="532">
        <f>IF(O38&lt;2700,O38*0.0097,IF(O38&lt;3200,O38*0.01095,IF(O38&lt;3700,O38*0.0122,IF(O38&gt;3699,O38*0.01345,""))))</f>
        <v>0</v>
      </c>
      <c r="Q38" s="619"/>
      <c r="R38" s="618">
        <v>0</v>
      </c>
      <c r="S38" s="532">
        <f>IF(R38&lt;2700,R38*0.0097,IF(R38&lt;3200,R38*0.01095,IF(R38&lt;3700,R38*0.0122,IF(R38&gt;3699,R38*0.01345,""))))</f>
        <v>0</v>
      </c>
      <c r="T38" s="619">
        <v>18</v>
      </c>
      <c r="U38" s="618">
        <v>0</v>
      </c>
      <c r="V38" s="532">
        <f>IF(U38&lt;2700,U38*0.0097,IF(U38&lt;3200,U38*0.01095,IF(U38&lt;3700,U38*0.0122,IF(U38&gt;3699,U38*0.01345,""))))</f>
        <v>0</v>
      </c>
      <c r="W38" s="619">
        <v>18</v>
      </c>
      <c r="X38" s="618">
        <v>0</v>
      </c>
      <c r="Y38" s="532">
        <f>IF(X38&lt;2700,X38*0.0097,IF(X38&lt;3200,X38*0.01095,IF(X38&lt;3700,X38*0.0122,IF(X38&gt;3699,X38*0.01345,""))))</f>
        <v>0</v>
      </c>
      <c r="Z38" s="619">
        <v>18</v>
      </c>
      <c r="AA38" s="618">
        <v>0</v>
      </c>
      <c r="AB38" s="532">
        <f>IF(AA38&lt;2700,AA38*0.0097,IF(AA38&lt;3200,AA38*0.01095,IF(AA38&lt;3700,AA38*0.0122,IF(AA38&gt;3699,AA38*0.01345,""))))</f>
        <v>0</v>
      </c>
      <c r="AC38" s="619">
        <v>18</v>
      </c>
      <c r="AD38" s="576">
        <v>0</v>
      </c>
      <c r="AE38" s="532">
        <f>IF(AD38&lt;2700,AD38*0.0097,IF(AD38&lt;3200,AD38*0.01095,IF(AD38&lt;3700,AD38*0.0122,IF(AD38&gt;3699,AD38*0.01345,""))))</f>
        <v>0</v>
      </c>
      <c r="AF38" s="619">
        <v>18</v>
      </c>
      <c r="AG38" s="576">
        <v>0</v>
      </c>
      <c r="AH38" s="532">
        <f>IF(AG38&lt;2700,AG38*0.0097,IF(AG38&lt;3200,AG38*0.01095,IF(AG38&lt;3700,AG38*0.0122,IF(AG38&gt;3699,AG38*0.01345,""))))</f>
        <v>0</v>
      </c>
      <c r="AI38" s="619">
        <v>18</v>
      </c>
      <c r="AJ38" s="576">
        <v>0</v>
      </c>
      <c r="AK38" s="532">
        <v>0</v>
      </c>
      <c r="AL38" s="619">
        <v>18</v>
      </c>
      <c r="AM38" s="576">
        <v>0</v>
      </c>
      <c r="AN38" s="532">
        <v>0</v>
      </c>
      <c r="AO38" s="619">
        <v>18</v>
      </c>
      <c r="AP38" s="576">
        <v>0</v>
      </c>
      <c r="AQ38" s="532">
        <v>0</v>
      </c>
      <c r="AR38" s="619">
        <v>18</v>
      </c>
      <c r="AS38" s="576">
        <v>0</v>
      </c>
      <c r="AT38" s="532">
        <f>IF(AS38&lt;2700,AS38*0.008,IF(AS38&lt;3200,AS38*0.0097,IF(AS38&lt;3700,AS38*0.01095,IF(AS38&gt;3699,AS38*0.0122,""))))</f>
        <v>0</v>
      </c>
      <c r="AU38" s="532">
        <v>18</v>
      </c>
      <c r="AV38" s="654"/>
      <c r="AW38" s="532">
        <f>IF(AV38&lt;2700,AV38*0.0097,IF(AV38&lt;3200,AV38*0.01095,IF(AV38&lt;3700,AV38*0.0122,IF(AV38&gt;3699,AV38*0.01345,""))))</f>
        <v>0</v>
      </c>
      <c r="AX38" s="619"/>
      <c r="AY38" s="654"/>
      <c r="AZ38" s="532">
        <f>IF(AY38&lt;2700,AY38*0.0097,IF(AY38&lt;3200,AY38*0.01095,IF(AY38&lt;3700,AY38*0.0122,IF(AY38&gt;3699,AY38*0.01345,""))))</f>
        <v>0</v>
      </c>
      <c r="BA38" s="619"/>
      <c r="BB38" s="581">
        <f t="shared" si="70"/>
        <v>0</v>
      </c>
      <c r="BC38" s="582">
        <f t="shared" si="70"/>
        <v>0</v>
      </c>
      <c r="BD38" s="727">
        <f t="shared" si="70"/>
        <v>265</v>
      </c>
      <c r="BE38" s="586"/>
      <c r="BF38" s="637">
        <f t="shared" si="17"/>
        <v>265</v>
      </c>
      <c r="BG38" s="578">
        <v>0</v>
      </c>
      <c r="BH38" s="532">
        <v>0</v>
      </c>
      <c r="BI38" s="532">
        <v>18</v>
      </c>
      <c r="BJ38" s="578">
        <v>0</v>
      </c>
      <c r="BK38" s="532">
        <v>0</v>
      </c>
      <c r="BL38" s="532">
        <v>18</v>
      </c>
      <c r="BM38" s="618">
        <v>2688.4824120603012</v>
      </c>
      <c r="BN38" s="532">
        <f>IF(BM38&lt;2700,BM38*0.009,IF(BM38&lt;3200,BM38*0.0101,IF(BM38&lt;3700,BM38*0.01135,IF(BM38&gt;3699,BM38*0.0126,""))))</f>
        <v>24.196341708542707</v>
      </c>
      <c r="BO38" s="619"/>
      <c r="BP38" s="618">
        <v>2289.0452261306532</v>
      </c>
      <c r="BQ38" s="532">
        <f>IF(BP38&lt;2700,BP38*0.009,IF(BP38&lt;3200,BP38*0.0101,IF(BP38&lt;3700,BP38*0.01135,IF(BP38&gt;3699,BP38*0.0126,""))))</f>
        <v>20.601407035175878</v>
      </c>
      <c r="BR38" s="619"/>
      <c r="BS38" s="618">
        <v>2610.3316582914572</v>
      </c>
      <c r="BT38" s="532">
        <f>IF(BS38&lt;2700,BS38*0.0097,IF(BS38&lt;3200,BS38*0.01095,IF(BS38&lt;3700,BS38*0.0122,IF(BS38&gt;3699,BS38*0.01345,""))))</f>
        <v>25.320217085427135</v>
      </c>
      <c r="BU38" s="619"/>
      <c r="BV38" s="618">
        <v>2656.1608040201008</v>
      </c>
      <c r="BW38" s="532">
        <f>IF(BV38&lt;2700,BV38*0.008,IF(BV38&lt;3200,BV38*0.0097,IF(BV38&lt;3700,BV38*0.01095,IF(BV38&gt;3699,BV38*0.0122,""))))</f>
        <v>21.249286432160808</v>
      </c>
      <c r="BX38" s="619"/>
      <c r="BY38" s="618">
        <v>1495.9597989949748</v>
      </c>
      <c r="BZ38" s="532">
        <f>IF(BY38&lt;2700,BY38*0.008,IF(BY38&lt;3200,BY38*0.0097,IF(BY38&lt;3700,BY38*0.01095,IF(BY38&gt;3699,BY38*0.0122,""))))</f>
        <v>11.967678391959799</v>
      </c>
      <c r="CA38" s="619"/>
      <c r="CB38" s="654">
        <v>0</v>
      </c>
      <c r="CC38" s="532">
        <f>IF(CB38&lt;2700,CB38*0.0097,IF(CB38&lt;3200,CB38*0.01095,IF(CB38&lt;3700,CB38*0.0122,IF(CB38&gt;3699,CB38*0.01345,""))))</f>
        <v>0</v>
      </c>
      <c r="CD38" s="619">
        <v>10</v>
      </c>
      <c r="CE38" s="618">
        <v>3770.5326633165828</v>
      </c>
      <c r="CF38" s="532">
        <f>IF(CE38&lt;2700,CE38*0.008,IF(CE38&lt;3200,CE38*0.0097,IF(CE38&lt;3700,CE38*0.01095,IF(CE38&gt;3699,CE38*0.0122,""))))</f>
        <v>46.000498492462313</v>
      </c>
      <c r="CG38" s="619"/>
      <c r="CH38" s="654">
        <v>0</v>
      </c>
      <c r="CI38" s="532">
        <f>IF(CH38&lt;2700,CH38*0.0097,IF(CH38&lt;3200,CH38*0.01095,IF(CH38&lt;3700,CH38*0.0122,IF(CH38&gt;3699,CH38*0.01345,""))))</f>
        <v>0</v>
      </c>
      <c r="CJ38" s="619">
        <v>18</v>
      </c>
      <c r="CK38" s="654">
        <v>0</v>
      </c>
      <c r="CL38" s="532">
        <f>IF(CK38&lt;2700,CK38*0.0097,IF(CK38&lt;3200,CK38*0.01095,IF(CK38&lt;3700,CK38*0.0122,IF(CK38&gt;3699,CK38*0.01345,""))))</f>
        <v>0</v>
      </c>
      <c r="CM38" s="619">
        <v>0</v>
      </c>
      <c r="CN38" s="654">
        <v>0</v>
      </c>
      <c r="CO38" s="532">
        <f>IF(CN38&lt;2700,CN38*0.0097,IF(CN38&lt;3200,CN38*0.01095,IF(CN38&lt;3700,CN38*0.0122,IF(CN38&gt;3699,CN38*0.01345,""))))</f>
        <v>0</v>
      </c>
      <c r="CP38" s="619"/>
      <c r="CQ38" s="654">
        <v>0</v>
      </c>
      <c r="CR38" s="532">
        <f>IF(CQ38&lt;2700,CQ38*0.0097,IF(CQ38&lt;3200,CQ38*0.01095,IF(CQ38&lt;3700,CQ38*0.0122,IF(CQ38&gt;3699,CQ38*0.01345,""))))</f>
        <v>0</v>
      </c>
      <c r="CS38" s="619"/>
      <c r="CT38" s="1148">
        <f t="shared" si="72"/>
        <v>15510.512562814069</v>
      </c>
      <c r="CU38" s="623">
        <f t="shared" si="72"/>
        <v>149.33542914572865</v>
      </c>
      <c r="CV38" s="624">
        <f t="shared" si="31"/>
        <v>64</v>
      </c>
      <c r="CW38" s="586"/>
      <c r="CX38" s="1149">
        <f t="shared" si="32"/>
        <v>213.33542914572865</v>
      </c>
      <c r="CY38" s="1150">
        <f t="shared" si="71"/>
        <v>15510.512562814069</v>
      </c>
      <c r="CZ38" s="1151">
        <f t="shared" si="71"/>
        <v>149.33542914572865</v>
      </c>
      <c r="DA38" s="1152">
        <f t="shared" si="71"/>
        <v>329</v>
      </c>
      <c r="DB38" s="1153">
        <f t="shared" si="34"/>
        <v>478.33542914572865</v>
      </c>
      <c r="DC38" s="920" t="s">
        <v>740</v>
      </c>
      <c r="DD38" s="570"/>
      <c r="DE38" s="570"/>
      <c r="DF38" s="570"/>
      <c r="DG38" s="570"/>
      <c r="DH38" s="570"/>
      <c r="DI38" s="570"/>
      <c r="DJ38" s="570"/>
      <c r="DK38" s="570"/>
      <c r="DL38" s="570"/>
      <c r="DM38" s="570"/>
      <c r="DN38" s="570"/>
      <c r="DO38" s="570"/>
      <c r="DP38" s="570"/>
      <c r="DQ38" s="570"/>
      <c r="DR38" s="570"/>
      <c r="DS38" s="570"/>
      <c r="DT38" s="570"/>
      <c r="DU38" s="570"/>
      <c r="DV38" s="570"/>
      <c r="DW38" s="570"/>
      <c r="DX38" s="570"/>
      <c r="DY38" s="570"/>
      <c r="DZ38" s="570"/>
      <c r="EA38" s="570"/>
      <c r="EB38" s="570"/>
      <c r="EC38" s="570"/>
      <c r="ED38" s="570"/>
      <c r="EE38" s="570"/>
      <c r="EF38" s="570"/>
      <c r="EG38" s="570"/>
      <c r="EH38" s="570"/>
      <c r="EI38" s="570"/>
      <c r="EJ38" s="570"/>
      <c r="EK38" s="570"/>
      <c r="EL38" s="570"/>
      <c r="EM38" s="570"/>
      <c r="EN38" s="570"/>
      <c r="EO38" s="570"/>
      <c r="EP38" s="570"/>
      <c r="EQ38" s="570"/>
      <c r="ER38" s="570"/>
    </row>
    <row r="39" spans="1:148" s="571" customFormat="1" ht="15.75" customHeight="1" x14ac:dyDescent="0.25">
      <c r="A39" s="1140">
        <f t="shared" si="74"/>
        <v>33</v>
      </c>
      <c r="B39" s="972" t="s">
        <v>104</v>
      </c>
      <c r="C39" s="974" t="s">
        <v>756</v>
      </c>
      <c r="D39" s="1155" t="s">
        <v>775</v>
      </c>
      <c r="E39" s="1156"/>
      <c r="F39" s="618">
        <v>3114.934673366834</v>
      </c>
      <c r="G39" s="598">
        <f>IF(F39&lt;2700,F39*0.0085,IF(F39&lt;3200,F39*0.01,IF(F39&lt;3700,F39*0.0105,IF(F39&gt;3699,F39*0.01175,""))))</f>
        <v>31.149346733668342</v>
      </c>
      <c r="H39" s="619"/>
      <c r="I39" s="618">
        <v>3233.6080402010048</v>
      </c>
      <c r="J39" s="598">
        <f>IF(I39&lt;2700,I39*0.0085,IF(I39&lt;3200,I39*0.01,IF(I39&lt;3700,I39*0.0105,IF(I39&gt;3699,I39*0.01175,""))))</f>
        <v>33.95288442211055</v>
      </c>
      <c r="K39" s="619"/>
      <c r="L39" s="618">
        <v>3523.5376884422108</v>
      </c>
      <c r="M39" s="598">
        <f>IF(L39&lt;2700,L39*0.0085,IF(L39&lt;3200,L39*0.01,IF(L39&lt;3700,L39*0.0105,IF(L39&gt;3699,L39*0.01175,""))))</f>
        <v>36.997145728643218</v>
      </c>
      <c r="N39" s="619"/>
      <c r="O39" s="654"/>
      <c r="P39" s="577">
        <f>IF(O39&lt;2700,O39*0.0105,IF(O39&lt;3200,O39*0.01175,IF(O39&lt;3700,O39*0.013,IF(O39&gt;3699,O39*0.01425,""))))</f>
        <v>0</v>
      </c>
      <c r="Q39" s="619"/>
      <c r="R39" s="618">
        <v>0</v>
      </c>
      <c r="S39" s="577">
        <f>IF(R39&lt;2700,R39*0.0105,IF(R39&lt;3200,R39*0.01175,IF(R39&lt;3700,R39*0.013,IF(R39&gt;3699,R39*0.01425,""))))</f>
        <v>0</v>
      </c>
      <c r="T39" s="619">
        <v>0</v>
      </c>
      <c r="U39" s="618">
        <v>0</v>
      </c>
      <c r="V39" s="577">
        <f>IF(U39&lt;2700,U39*0.0105,IF(U39&lt;3200,U39*0.01175,IF(U39&lt;3700,U39*0.013,IF(U39&gt;3699,U39*0.01425,""))))</f>
        <v>0</v>
      </c>
      <c r="W39" s="619">
        <v>18</v>
      </c>
      <c r="X39" s="618">
        <v>0</v>
      </c>
      <c r="Y39" s="577">
        <f>IF(X39&lt;2700,X39*0.0105,IF(X39&lt;3200,X39*0.01175,IF(X39&lt;3700,X39*0.013,IF(X39&gt;3699,X39*0.01425,""))))</f>
        <v>0</v>
      </c>
      <c r="Z39" s="619">
        <v>18</v>
      </c>
      <c r="AA39" s="618">
        <v>0</v>
      </c>
      <c r="AB39" s="577">
        <f>IF(AA39&lt;2700,AA39*0.0105,IF(AA39&lt;3200,AA39*0.01175,IF(AA39&lt;3700,AA39*0.013,IF(AA39&gt;3699,AA39*0.01425,""))))</f>
        <v>0</v>
      </c>
      <c r="AC39" s="619">
        <v>18</v>
      </c>
      <c r="AD39" s="618">
        <v>0</v>
      </c>
      <c r="AE39" s="532">
        <f>IF(AD39&lt;2700,AD39*0.008,IF(AD39&lt;3200,AD39*0.0097,IF(AD39&lt;3700,AD39*0.01095,IF(AD39&gt;3699,AD39*0.0122,""))))</f>
        <v>0</v>
      </c>
      <c r="AF39" s="619">
        <v>40</v>
      </c>
      <c r="AG39" s="618">
        <v>0</v>
      </c>
      <c r="AH39" s="577">
        <f>IF(AG39&lt;2700,AG39*0.0105,IF(AG39&lt;3200,AG39*0.01175,IF(AG39&lt;3700,AG39*0.013,IF(AG39&gt;3699,AG39*0.01425,""))))</f>
        <v>0</v>
      </c>
      <c r="AI39" s="619"/>
      <c r="AJ39" s="576">
        <v>2605.507537688442</v>
      </c>
      <c r="AK39" s="517">
        <f>IF(AJ39&lt;2700,AJ39*0.007,IF(AJ39&lt;3200,AJ39*0.008,IF(AJ39&lt;3700,AJ39*0.0097,IF(AJ39&gt;3699,AJ39*0.01095,""))))</f>
        <v>18.238552763819094</v>
      </c>
      <c r="AL39" s="532">
        <f>35-AK39</f>
        <v>16.761447236180906</v>
      </c>
      <c r="AM39" s="618">
        <v>2827.4170854271356</v>
      </c>
      <c r="AN39" s="517">
        <f>IF(AM39&lt;2700,AM39*0.007,IF(AM39&lt;3200,AM39*0.008,IF(AM39&lt;3700,AM39*0.0097,IF(AM39&gt;3699,AM39*0.01095,""))))</f>
        <v>22.619336683417085</v>
      </c>
      <c r="AO39" s="619"/>
      <c r="AP39" s="654">
        <v>0</v>
      </c>
      <c r="AQ39" s="577">
        <f>IF(AP39&lt;2700,AP39*0.0105,IF(AP39&lt;3200,AP39*0.01175,IF(AP39&lt;3700,AP39*0.013,IF(AP39&gt;3699,AP39*0.01425,""))))</f>
        <v>0</v>
      </c>
      <c r="AR39" s="619">
        <v>12</v>
      </c>
      <c r="AS39" s="618">
        <v>0</v>
      </c>
      <c r="AT39" s="577">
        <f>IF(AS39&lt;2700,AS39*0.0105,IF(AS39&lt;3200,AS39*0.01175,IF(AS39&lt;3700,AS39*0.013,IF(AS39&gt;3699,AS39*0.01425,""))))</f>
        <v>0</v>
      </c>
      <c r="AU39" s="619">
        <v>18</v>
      </c>
      <c r="AV39" s="654"/>
      <c r="AW39" s="577">
        <f>IF(AV39&lt;2700,AV39*0.0105,IF(AV39&lt;3200,AV39*0.01175,IF(AV39&lt;3700,AV39*0.013,IF(AV39&gt;3699,AV39*0.01425,""))))</f>
        <v>0</v>
      </c>
      <c r="AX39" s="619"/>
      <c r="AY39" s="654"/>
      <c r="AZ39" s="577">
        <f>IF(AY39&lt;2700,AY39*0.0105,IF(AY39&lt;3200,AY39*0.01175,IF(AY39&lt;3700,AY39*0.013,IF(AY39&gt;3699,AY39*0.01425,""))))</f>
        <v>0</v>
      </c>
      <c r="BA39" s="619"/>
      <c r="BB39" s="581">
        <f t="shared" si="70"/>
        <v>15305.005025125627</v>
      </c>
      <c r="BC39" s="582">
        <f t="shared" si="70"/>
        <v>142.9572663316583</v>
      </c>
      <c r="BD39" s="727">
        <f t="shared" si="70"/>
        <v>140.76144723618091</v>
      </c>
      <c r="BE39" s="586"/>
      <c r="BF39" s="637">
        <f t="shared" si="17"/>
        <v>283.71871356783925</v>
      </c>
      <c r="BG39" s="654">
        <v>0</v>
      </c>
      <c r="BH39" s="577">
        <f>IF(BG39&lt;2700,BG39*0.0105,IF(BG39&lt;3200,BG39*0.01175,IF(BG39&lt;3700,BG39*0.013,IF(BG39&gt;3699,BG39*0.01425,""))))</f>
        <v>0</v>
      </c>
      <c r="BI39" s="619">
        <v>18</v>
      </c>
      <c r="BJ39" s="654">
        <v>0</v>
      </c>
      <c r="BK39" s="577">
        <f>IF(BJ39&lt;2700,BJ39*0.0105,IF(BJ39&lt;3200,BJ39*0.01175,IF(BJ39&lt;3700,BJ39*0.013,IF(BJ39&gt;3699,BJ39*0.01425,""))))</f>
        <v>0</v>
      </c>
      <c r="BL39" s="619">
        <v>0</v>
      </c>
      <c r="BM39" s="618">
        <v>0</v>
      </c>
      <c r="BN39" s="577">
        <f>IF(BM39&lt;2700,BM39*0.0105,IF(BM39&lt;3200,BM39*0.01175,IF(BM39&lt;3700,BM39*0.013,IF(BM39&gt;3699,BM39*0.01425,""))))</f>
        <v>0</v>
      </c>
      <c r="BO39" s="619">
        <v>18</v>
      </c>
      <c r="BP39" s="618">
        <v>0</v>
      </c>
      <c r="BQ39" s="577">
        <f>IF(BP39&lt;2700,BP39*0.0105,IF(BP39&lt;3200,BP39*0.01175,IF(BP39&lt;3700,BP39*0.013,IF(BP39&gt;3699,BP39*0.01425,""))))</f>
        <v>0</v>
      </c>
      <c r="BR39" s="619">
        <v>18</v>
      </c>
      <c r="BS39" s="618">
        <v>0</v>
      </c>
      <c r="BT39" s="577">
        <f>IF(BS39&lt;2700,BS39*0.0105,IF(BS39&lt;3200,BS39*0.01175,IF(BS39&lt;3700,BS39*0.013,IF(BS39&gt;3699,BS39*0.01425,""))))</f>
        <v>0</v>
      </c>
      <c r="BU39" s="619">
        <v>18</v>
      </c>
      <c r="BV39" s="618">
        <v>0</v>
      </c>
      <c r="BW39" s="532">
        <f>IF(BV39&lt;2700,BV39*0.008,IF(BV39&lt;3200,BV39*0.0097,IF(BV39&lt;3700,BV39*0.01095,IF(BV39&gt;3699,BV39*0.0122,""))))</f>
        <v>0</v>
      </c>
      <c r="BX39" s="619">
        <v>18</v>
      </c>
      <c r="BY39" s="618">
        <v>0</v>
      </c>
      <c r="BZ39" s="577">
        <f>IF(BY39&lt;2700,BY39*0.0105,IF(BY39&lt;3200,BY39*0.01175,IF(BY39&lt;3700,BY39*0.013,IF(BY39&gt;3699,BY39*0.01425,""))))</f>
        <v>0</v>
      </c>
      <c r="CA39" s="619">
        <v>18</v>
      </c>
      <c r="CB39" s="654">
        <v>0</v>
      </c>
      <c r="CC39" s="577">
        <f>IF(CB39&lt;2700,CB39*0.0105,IF(CB39&lt;3200,CB39*0.01175,IF(CB39&lt;3700,CB39*0.013,IF(CB39&gt;3699,CB39*0.01425,""))))</f>
        <v>0</v>
      </c>
      <c r="CD39" s="619">
        <v>0</v>
      </c>
      <c r="CE39" s="618">
        <v>0</v>
      </c>
      <c r="CF39" s="577">
        <f>IF(CE39&lt;2700,CE39*0.0105,IF(CE39&lt;3200,CE39*0.01175,IF(CE39&lt;3700,CE39*0.013,IF(CE39&gt;3699,CE39*0.01425,""))))</f>
        <v>0</v>
      </c>
      <c r="CG39" s="619">
        <v>18</v>
      </c>
      <c r="CH39" s="654">
        <v>0</v>
      </c>
      <c r="CI39" s="577">
        <f>IF(CH39&lt;2700,CH39*0.0105,IF(CH39&lt;3200,CH39*0.01175,IF(CH39&lt;3700,CH39*0.013,IF(CH39&gt;3699,CH39*0.01425,""))))</f>
        <v>0</v>
      </c>
      <c r="CJ39" s="619">
        <v>0</v>
      </c>
      <c r="CK39" s="654">
        <v>0</v>
      </c>
      <c r="CL39" s="577">
        <f>IF(CK39&lt;2700,CK39*0.0105,IF(CK39&lt;3200,CK39*0.01175,IF(CK39&lt;3700,CK39*0.013,IF(CK39&gt;3699,CK39*0.01425,""))))</f>
        <v>0</v>
      </c>
      <c r="CM39" s="619"/>
      <c r="CN39" s="654">
        <v>0</v>
      </c>
      <c r="CO39" s="577">
        <f>IF(CN39&lt;2700,CN39*0.0105,IF(CN39&lt;3200,CN39*0.01175,IF(CN39&lt;3700,CN39*0.013,IF(CN39&gt;3699,CN39*0.01425,""))))</f>
        <v>0</v>
      </c>
      <c r="CP39" s="619"/>
      <c r="CQ39" s="654">
        <v>0</v>
      </c>
      <c r="CR39" s="577">
        <f>IF(CQ39&lt;2700,CQ39*0.0105,IF(CQ39&lt;3200,CQ39*0.01175,IF(CQ39&lt;3700,CQ39*0.013,IF(CQ39&gt;3699,CQ39*0.01425,""))))</f>
        <v>0</v>
      </c>
      <c r="CS39" s="619"/>
      <c r="CT39" s="1148">
        <f t="shared" si="72"/>
        <v>0</v>
      </c>
      <c r="CU39" s="623">
        <f t="shared" si="72"/>
        <v>0</v>
      </c>
      <c r="CV39" s="624">
        <f t="shared" si="31"/>
        <v>126</v>
      </c>
      <c r="CW39" s="586"/>
      <c r="CX39" s="1149">
        <f t="shared" si="32"/>
        <v>126</v>
      </c>
      <c r="CY39" s="1150">
        <f t="shared" si="71"/>
        <v>15305.005025125627</v>
      </c>
      <c r="CZ39" s="1151">
        <f t="shared" si="71"/>
        <v>142.9572663316583</v>
      </c>
      <c r="DA39" s="1152">
        <f t="shared" si="71"/>
        <v>266.76144723618091</v>
      </c>
      <c r="DB39" s="1153">
        <f t="shared" si="34"/>
        <v>409.71871356783925</v>
      </c>
      <c r="DC39" s="920" t="s">
        <v>737</v>
      </c>
      <c r="DD39" s="570"/>
      <c r="DE39" s="570"/>
      <c r="DF39" s="570"/>
      <c r="DG39" s="570"/>
      <c r="DH39" s="570"/>
      <c r="DI39" s="570"/>
      <c r="DJ39" s="570"/>
      <c r="DK39" s="570"/>
      <c r="DL39" s="570"/>
      <c r="DM39" s="570"/>
      <c r="DN39" s="570"/>
      <c r="DO39" s="570"/>
      <c r="DP39" s="570"/>
      <c r="DQ39" s="570"/>
      <c r="DR39" s="570"/>
      <c r="DS39" s="570"/>
      <c r="DT39" s="570"/>
      <c r="DU39" s="570"/>
      <c r="DV39" s="570"/>
      <c r="DW39" s="570"/>
      <c r="DX39" s="570"/>
      <c r="DY39" s="570"/>
      <c r="DZ39" s="570"/>
      <c r="EA39" s="570"/>
      <c r="EB39" s="570"/>
      <c r="EC39" s="570"/>
      <c r="ED39" s="570"/>
      <c r="EE39" s="570"/>
      <c r="EF39" s="570"/>
      <c r="EG39" s="570"/>
      <c r="EH39" s="570"/>
      <c r="EI39" s="570"/>
      <c r="EJ39" s="570"/>
      <c r="EK39" s="570"/>
      <c r="EL39" s="570"/>
      <c r="EM39" s="570"/>
      <c r="EN39" s="570"/>
      <c r="EO39" s="570"/>
      <c r="EP39" s="570"/>
      <c r="EQ39" s="570"/>
      <c r="ER39" s="570"/>
    </row>
    <row r="40" spans="1:148" s="571" customFormat="1" ht="15.75" customHeight="1" x14ac:dyDescent="0.25">
      <c r="A40" s="1140">
        <f t="shared" si="74"/>
        <v>34</v>
      </c>
      <c r="B40" s="972" t="s">
        <v>264</v>
      </c>
      <c r="C40" s="974" t="s">
        <v>756</v>
      </c>
      <c r="D40" s="975" t="s">
        <v>776</v>
      </c>
      <c r="E40" s="976" t="s">
        <v>777</v>
      </c>
      <c r="F40" s="618">
        <v>0</v>
      </c>
      <c r="G40" s="532">
        <f>IF(F40&lt;2700,F40*0.0101,IF(F40&lt;3200,F40*0.01135,IF(F40&lt;3700,F40*0.0126,IF(F40&gt;3699,F40*0.01385,""))))</f>
        <v>0</v>
      </c>
      <c r="H40" s="577"/>
      <c r="I40" s="618">
        <v>0</v>
      </c>
      <c r="J40" s="532">
        <f>IF(I40&lt;2700,I40*0.0101,IF(I40&lt;3200,I40*0.01135,IF(I40&lt;3700,I40*0.0126,IF(I40&gt;3699,I40*0.01385,""))))</f>
        <v>0</v>
      </c>
      <c r="K40" s="577"/>
      <c r="L40" s="618">
        <v>0</v>
      </c>
      <c r="M40" s="532">
        <f>IF(L40&lt;2700,L40*0.0101,IF(L40&lt;3200,L40*0.01135,IF(L40&lt;3700,L40*0.0126,IF(L40&gt;3699,L40*0.01385,""))))</f>
        <v>0</v>
      </c>
      <c r="N40" s="577">
        <v>20</v>
      </c>
      <c r="O40" s="654"/>
      <c r="P40" s="532">
        <f>IF(O40&lt;2700,O40*0.0101,IF(O40&lt;3200,O40*0.01135,IF(O40&lt;3700,O40*0.0126,IF(O40&gt;3699,O40*0.01385,""))))</f>
        <v>0</v>
      </c>
      <c r="Q40" s="577"/>
      <c r="R40" s="618">
        <v>0</v>
      </c>
      <c r="S40" s="532">
        <f>IF(R40&lt;2700,R40*0.0101,IF(R40&lt;3200,R40*0.01135,IF(R40&lt;3700,R40*0.0126,IF(R40&gt;3699,R40*0.01385,""))))</f>
        <v>0</v>
      </c>
      <c r="T40" s="577">
        <v>0</v>
      </c>
      <c r="U40" s="618">
        <v>0</v>
      </c>
      <c r="V40" s="532">
        <f>IF(U40&lt;2700,U40*0.0101,IF(U40&lt;3200,U40*0.01135,IF(U40&lt;3700,U40*0.0126,IF(U40&gt;3699,U40*0.01385,""))))</f>
        <v>0</v>
      </c>
      <c r="W40" s="577">
        <v>0</v>
      </c>
      <c r="X40" s="618">
        <v>0</v>
      </c>
      <c r="Y40" s="532">
        <f>IF(X40&lt;2700,X40*0.0101,IF(X40&lt;3200,X40*0.01135,IF(X40&lt;3700,X40*0.0126,IF(X40&gt;3699,X40*0.01385,""))))</f>
        <v>0</v>
      </c>
      <c r="Z40" s="577">
        <v>0</v>
      </c>
      <c r="AA40" s="654">
        <v>0</v>
      </c>
      <c r="AB40" s="532">
        <f>IF(AA40&lt;2700,AA40*0.0101,IF(AA40&lt;3200,AA40*0.01135,IF(AA40&lt;3700,AA40*0.0126,IF(AA40&gt;3699,AA40*0.01385,""))))</f>
        <v>0</v>
      </c>
      <c r="AC40" s="619">
        <v>18</v>
      </c>
      <c r="AD40" s="618">
        <v>2742.51256281407</v>
      </c>
      <c r="AE40" s="517">
        <f>IF(AD40&lt;2700,AD40*0.0075,IF(AD40&lt;3200,AD40*0.009,IF(AD40&lt;3700,AD40*0.0101,IF(AD40&gt;3699,AD40*0.01135,""))))</f>
        <v>24.682613065326628</v>
      </c>
      <c r="AF40" s="577">
        <v>15</v>
      </c>
      <c r="AG40" s="618">
        <v>0</v>
      </c>
      <c r="AH40" s="532">
        <f>IF(AG40&lt;2700,AG40*0.0101,IF(AG40&lt;3200,AG40*0.01135,IF(AG40&lt;3700,AG40*0.0126,IF(AG40&gt;3699,AG40*0.01385,""))))</f>
        <v>0</v>
      </c>
      <c r="AI40" s="577"/>
      <c r="AJ40" s="576">
        <v>2605.507537688442</v>
      </c>
      <c r="AK40" s="517">
        <f>IF(AJ40&lt;2700,AJ40*0.0075,IF(AJ40&lt;3200,AJ40*0.009,IF(AJ40&lt;3700,AJ40*0.0101,IF(AJ40&gt;3699,AJ40*0.01135,""))))</f>
        <v>19.541306532663313</v>
      </c>
      <c r="AL40" s="532">
        <f>35-AK40</f>
        <v>15.458693467336687</v>
      </c>
      <c r="AM40" s="618">
        <v>0</v>
      </c>
      <c r="AN40" s="532">
        <f>IF(AM40&lt;2700,AM40*0.009,IF(AM40&lt;3200,AM40*0.0101,IF(AM40&lt;3700,AM40*0.01135,IF(AM40&gt;3699,AM40*0.0126,""))))</f>
        <v>0</v>
      </c>
      <c r="AO40" s="619">
        <v>18</v>
      </c>
      <c r="AP40" s="654">
        <v>0</v>
      </c>
      <c r="AQ40" s="532">
        <f>IF(AP40&lt;2700,AP40*0.0101,IF(AP40&lt;3200,AP40*0.01135,IF(AP40&lt;3700,AP40*0.0126,IF(AP40&gt;3699,AP40*0.01385,""))))</f>
        <v>0</v>
      </c>
      <c r="AR40" s="577">
        <v>12</v>
      </c>
      <c r="AS40" s="618">
        <v>3283.7788944723611</v>
      </c>
      <c r="AT40" s="517">
        <f>IF(AS40&lt;2700,AS40*0.0075,IF(AS40&lt;3200,AS40*0.009,IF(AS40&lt;3700,AS40*0.0101,IF(AS40&gt;3699,AS40*0.01135,""))))</f>
        <v>33.166166834170845</v>
      </c>
      <c r="AU40" s="577"/>
      <c r="AV40" s="654"/>
      <c r="AW40" s="532">
        <f>IF(AV40&lt;2700,AV40*0.0101,IF(AV40&lt;3200,AV40*0.01135,IF(AV40&lt;3700,AV40*0.0126,IF(AV40&gt;3699,AV40*0.01385,""))))</f>
        <v>0</v>
      </c>
      <c r="AX40" s="577"/>
      <c r="AY40" s="654"/>
      <c r="AZ40" s="532">
        <f>IF(AY40&lt;2700,AY40*0.0101,IF(AY40&lt;3200,AY40*0.01135,IF(AY40&lt;3700,AY40*0.0126,IF(AY40&gt;3699,AY40*0.01385,""))))</f>
        <v>0</v>
      </c>
      <c r="BA40" s="577"/>
      <c r="BB40" s="581">
        <f t="shared" si="70"/>
        <v>8631.7989949748735</v>
      </c>
      <c r="BC40" s="582">
        <f t="shared" si="70"/>
        <v>77.390086432160786</v>
      </c>
      <c r="BD40" s="727">
        <f t="shared" si="70"/>
        <v>98.458693467336687</v>
      </c>
      <c r="BE40" s="586"/>
      <c r="BF40" s="637">
        <f t="shared" si="17"/>
        <v>175.84877989949746</v>
      </c>
      <c r="BG40" s="654">
        <v>3462.7537688442208</v>
      </c>
      <c r="BH40" s="532">
        <f>IF(BG40&lt;2700,BG40*0.009,IF(BG40&lt;3200,BG40*0.0101,IF(BG40&lt;3700,BG40*0.01135,IF(BG40&gt;3699,BG40*0.0126,""))))</f>
        <v>39.302255276381906</v>
      </c>
      <c r="BI40" s="577"/>
      <c r="BJ40" s="654">
        <v>0</v>
      </c>
      <c r="BK40" s="532">
        <f>IF(BJ40&lt;2700,BJ40*0.0101,IF(BJ40&lt;3200,BJ40*0.01135,IF(BJ40&lt;3700,BJ40*0.0126,IF(BJ40&gt;3699,BJ40*0.01385,""))))</f>
        <v>0</v>
      </c>
      <c r="BL40" s="577">
        <v>12</v>
      </c>
      <c r="BM40" s="618">
        <v>2597.3065326633164</v>
      </c>
      <c r="BN40" s="532">
        <f>IF(BM40&lt;2700,BM40*0.009,IF(BM40&lt;3200,BM40*0.0101,IF(BM40&lt;3700,BM40*0.01135,IF(BM40&gt;3699,BM40*0.0126,""))))</f>
        <v>23.375758793969844</v>
      </c>
      <c r="BO40" s="577"/>
      <c r="BP40" s="618">
        <v>0</v>
      </c>
      <c r="BQ40" s="532">
        <f>IF(BP40&lt;2700,BP40*0.0101,IF(BP40&lt;3200,BP40*0.01135,IF(BP40&lt;3700,BP40*0.0126,IF(BP40&gt;3699,BP40*0.01385,""))))</f>
        <v>0</v>
      </c>
      <c r="BR40" s="577">
        <v>18</v>
      </c>
      <c r="BS40" s="618">
        <v>0</v>
      </c>
      <c r="BT40" s="532">
        <f>IF(BS40&lt;2700,BS40*0.0101,IF(BS40&lt;3200,BS40*0.01135,IF(BS40&lt;3700,BS40*0.0126,IF(BS40&gt;3699,BS40*0.01385,""))))</f>
        <v>0</v>
      </c>
      <c r="BU40" s="577">
        <v>18</v>
      </c>
      <c r="BV40" s="618">
        <v>0</v>
      </c>
      <c r="BW40" s="586">
        <f>IF(BV40&lt;2700,BV40*0.0101,IF(BV40&lt;3200,BV40*0.01135,IF(BV40&lt;3700,BV40*0.0126,IF(BV40&gt;3699,BV40*0.01385,""))))</f>
        <v>0</v>
      </c>
      <c r="BX40" s="586">
        <v>0</v>
      </c>
      <c r="BY40" s="618"/>
      <c r="BZ40" s="532">
        <f>IF(BY40&lt;2700,BY40*0.0101,IF(BY40&lt;3200,BY40*0.01135,IF(BY40&lt;3700,BY40*0.0126,IF(BY40&gt;3699,BY40*0.01385,""))))</f>
        <v>0</v>
      </c>
      <c r="CA40" s="577"/>
      <c r="CB40" s="654">
        <v>0</v>
      </c>
      <c r="CC40" s="532">
        <f>IF(CB40&lt;2700,CB40*0.0101,IF(CB40&lt;3200,CB40*0.01135,IF(CB40&lt;3700,CB40*0.0126,IF(CB40&gt;3699,CB40*0.01385,""))))</f>
        <v>0</v>
      </c>
      <c r="CD40" s="577">
        <v>10</v>
      </c>
      <c r="CE40" s="618">
        <v>0</v>
      </c>
      <c r="CF40" s="532">
        <f>IF(CE40&lt;2700,CE40*0.0101,IF(CE40&lt;3200,CE40*0.01135,IF(CE40&lt;3700,CE40*0.0126,IF(CE40&gt;3699,CE40*0.01385,""))))</f>
        <v>0</v>
      </c>
      <c r="CG40" s="577">
        <v>0</v>
      </c>
      <c r="CH40" s="654">
        <v>0</v>
      </c>
      <c r="CI40" s="532">
        <f>IF(CH40&lt;2700,CH40*0.0101,IF(CH40&lt;3200,CH40*0.01135,IF(CH40&lt;3700,CH40*0.0126,IF(CH40&gt;3699,CH40*0.01385,""))))</f>
        <v>0</v>
      </c>
      <c r="CJ40" s="577">
        <v>18</v>
      </c>
      <c r="CK40" s="654">
        <v>0</v>
      </c>
      <c r="CL40" s="532">
        <f>IF(CK40&lt;2700,CK40*0.0101,IF(CK40&lt;3200,CK40*0.01135,IF(CK40&lt;3700,CK40*0.0126,IF(CK40&gt;3699,CK40*0.01385,""))))</f>
        <v>0</v>
      </c>
      <c r="CM40" s="577"/>
      <c r="CN40" s="654">
        <v>0</v>
      </c>
      <c r="CO40" s="532">
        <f>IF(CN40&lt;2700,CN40*0.0101,IF(CN40&lt;3200,CN40*0.01135,IF(CN40&lt;3700,CN40*0.0126,IF(CN40&gt;3699,CN40*0.01385,""))))</f>
        <v>0</v>
      </c>
      <c r="CP40" s="577"/>
      <c r="CQ40" s="654">
        <v>0</v>
      </c>
      <c r="CR40" s="532">
        <f>IF(CQ40&lt;2700,CQ40*0.0101,IF(CQ40&lt;3200,CQ40*0.01135,IF(CQ40&lt;3700,CQ40*0.0126,IF(CQ40&gt;3699,CQ40*0.01385,""))))</f>
        <v>0</v>
      </c>
      <c r="CS40" s="577"/>
      <c r="CT40" s="1148">
        <f t="shared" si="72"/>
        <v>6060.0603015075376</v>
      </c>
      <c r="CU40" s="623">
        <f t="shared" si="72"/>
        <v>62.67801407035175</v>
      </c>
      <c r="CV40" s="624">
        <f t="shared" si="31"/>
        <v>76</v>
      </c>
      <c r="CW40" s="586"/>
      <c r="CX40" s="1149">
        <f t="shared" si="32"/>
        <v>138.67801407035176</v>
      </c>
      <c r="CY40" s="1150">
        <f t="shared" si="71"/>
        <v>14691.859296482411</v>
      </c>
      <c r="CZ40" s="1151">
        <f t="shared" si="71"/>
        <v>140.06810050251255</v>
      </c>
      <c r="DA40" s="1152">
        <f t="shared" si="71"/>
        <v>174.45869346733667</v>
      </c>
      <c r="DB40" s="1153">
        <f t="shared" si="34"/>
        <v>314.52679396984922</v>
      </c>
      <c r="DC40" s="920" t="s">
        <v>778</v>
      </c>
      <c r="DD40" s="570"/>
      <c r="DE40" s="570"/>
      <c r="DF40" s="570"/>
      <c r="DG40" s="570"/>
      <c r="DH40" s="570"/>
      <c r="DI40" s="570"/>
      <c r="DJ40" s="570"/>
      <c r="DK40" s="570"/>
      <c r="DL40" s="570"/>
      <c r="DM40" s="570"/>
      <c r="DN40" s="570"/>
      <c r="DO40" s="570"/>
      <c r="DP40" s="570"/>
      <c r="DQ40" s="570"/>
      <c r="DR40" s="570"/>
      <c r="DS40" s="570"/>
      <c r="DT40" s="570"/>
      <c r="DU40" s="570"/>
      <c r="DV40" s="570"/>
      <c r="DW40" s="570"/>
      <c r="DX40" s="570"/>
      <c r="DY40" s="570"/>
      <c r="DZ40" s="570"/>
      <c r="EA40" s="570"/>
      <c r="EB40" s="570"/>
      <c r="EC40" s="570"/>
      <c r="ED40" s="570"/>
      <c r="EE40" s="570"/>
      <c r="EF40" s="570"/>
      <c r="EG40" s="570"/>
      <c r="EH40" s="570"/>
      <c r="EI40" s="570"/>
      <c r="EJ40" s="570"/>
      <c r="EK40" s="570"/>
      <c r="EL40" s="570"/>
      <c r="EM40" s="570"/>
      <c r="EN40" s="570"/>
      <c r="EO40" s="570"/>
      <c r="EP40" s="570"/>
      <c r="EQ40" s="570"/>
      <c r="ER40" s="570"/>
    </row>
    <row r="41" spans="1:148" s="571" customFormat="1" ht="15.75" customHeight="1" x14ac:dyDescent="0.25">
      <c r="A41" s="1140">
        <f t="shared" si="74"/>
        <v>35</v>
      </c>
      <c r="B41" s="972" t="s">
        <v>82</v>
      </c>
      <c r="C41" s="974" t="s">
        <v>756</v>
      </c>
      <c r="D41" s="975" t="s">
        <v>779</v>
      </c>
      <c r="E41" s="976" t="s">
        <v>780</v>
      </c>
      <c r="F41" s="576">
        <v>0</v>
      </c>
      <c r="G41" s="532">
        <f>IF(F41&lt;2700,F41*0.0097,IF(F41&lt;3200,F41*0.01095,IF(F41&lt;3700,F41*0.0122,IF(F41&gt;3699,F41*0.01345,""))))</f>
        <v>0</v>
      </c>
      <c r="H41" s="619">
        <v>25</v>
      </c>
      <c r="I41" s="576">
        <v>2625.7688442211056</v>
      </c>
      <c r="J41" s="517">
        <f>IF(I41&lt;2700,I41*0.007,IF(I41&lt;3200,I41*0.008,IF(I41&lt;3700,I41*0.0097,IF(I41&gt;3699,I41*0.01095,""))))</f>
        <v>18.38038190954774</v>
      </c>
      <c r="K41" s="619">
        <f>40-J41</f>
        <v>21.61961809045226</v>
      </c>
      <c r="L41" s="576">
        <v>3790.7939698492464</v>
      </c>
      <c r="M41" s="517">
        <f>IF(L41&lt;2700,L41*0.007,IF(L41&lt;3200,L41*0.008,IF(L41&lt;3700,L41*0.0097,IF(L41&gt;3699,L41*0.01095,""))))</f>
        <v>41.50919396984925</v>
      </c>
      <c r="N41" s="619"/>
      <c r="O41" s="578"/>
      <c r="P41" s="532">
        <f>IF(O41&lt;2700,O41*0.0097,IF(O41&lt;3200,O41*0.01095,IF(O41&lt;3700,O41*0.0122,IF(O41&gt;3699,O41*0.01345,""))))</f>
        <v>0</v>
      </c>
      <c r="Q41" s="619"/>
      <c r="R41" s="576">
        <v>4258.2512562814072</v>
      </c>
      <c r="S41" s="517">
        <f>IF(R41&lt;2700,R41*0.007,IF(R41&lt;3200,R41*0.008,IF(R41&lt;3700,R41*0.0097,IF(R41&gt;3699,R41*0.01095,""))))</f>
        <v>46.62785125628141</v>
      </c>
      <c r="T41" s="619"/>
      <c r="U41" s="576">
        <v>3747.8592964824115</v>
      </c>
      <c r="V41" s="517">
        <f t="shared" ref="V41:V42" si="75">IF(U41&lt;2700,U41*0.007,IF(U41&lt;3200,U41*0.008,IF(U41&lt;3700,U41*0.0097,IF(U41&gt;3699,U41*0.01095,""))))</f>
        <v>41.039059296482407</v>
      </c>
      <c r="W41" s="619"/>
      <c r="X41" s="578">
        <v>3012.1809045226132</v>
      </c>
      <c r="Y41" s="517">
        <f t="shared" ref="Y41:Y43" si="76">IF(X41&lt;2700,X41*0.007,IF(X41&lt;3200,X41*0.008,IF(X41&lt;3700,X41*0.0097,IF(X41&gt;3699,X41*0.01095,""))))</f>
        <v>24.097447236180905</v>
      </c>
      <c r="Z41" s="619"/>
      <c r="AA41" s="578">
        <v>2680.7638190954772</v>
      </c>
      <c r="AB41" s="517">
        <f>IF(AA41&lt;2700,AA41*0.007,IF(AA41&lt;3200,AA41*0.008,IF(AA41&lt;3700,AA41*0.0097,IF(AA41&gt;3699,AA41*0.01095,""))))</f>
        <v>18.765346733668341</v>
      </c>
      <c r="AC41" s="619"/>
      <c r="AD41" s="576">
        <v>7911.0753768844224</v>
      </c>
      <c r="AE41" s="517">
        <f>IF(AD41&lt;2700,AD41*0.007,IF(AD41&lt;3200,AD41*0.008,IF(AD41&lt;3700,AD41*0.0097,IF(AD41&gt;3699,AD41*0.01095,""))))</f>
        <v>86.626275376884422</v>
      </c>
      <c r="AF41" s="619"/>
      <c r="AG41" s="576">
        <v>0</v>
      </c>
      <c r="AH41" s="532">
        <f>IF(AG41&lt;2700,AG41*0.0097,IF(AG41&lt;3200,AG41*0.01095,IF(AG41&lt;3700,AG41*0.0122,IF(AG41&gt;3699,AG41*0.01345,""))))</f>
        <v>0</v>
      </c>
      <c r="AI41" s="619"/>
      <c r="AJ41" s="576">
        <v>4200.844221105528</v>
      </c>
      <c r="AK41" s="517">
        <f>IF(AJ41&lt;2700,AJ41*0.007,IF(AJ41&lt;3200,AJ41*0.008,IF(AJ41&lt;3700,AJ41*0.0097,IF(AJ41&gt;3699,AJ41*0.01095,""))))</f>
        <v>45.999244221105528</v>
      </c>
      <c r="AL41" s="619"/>
      <c r="AM41" s="576">
        <v>3554.4120603015072</v>
      </c>
      <c r="AN41" s="517">
        <f>IF(AM41&lt;2700,AM41*0.007,IF(AM41&lt;3200,AM41*0.008,IF(AM41&lt;3700,AM41*0.0097,IF(AM41&gt;3699,AM41*0.01095,""))))</f>
        <v>34.477796984924623</v>
      </c>
      <c r="AO41" s="619"/>
      <c r="AP41" s="578">
        <v>0</v>
      </c>
      <c r="AQ41" s="586">
        <f>IF(AP41&lt;2700,AP41*0.0097,IF(AP41&lt;3200,AP41*0.01095,IF(AP41&lt;3700,AP41*0.0122,IF(AP41&gt;3699,AP41*0.01345,""))))</f>
        <v>0</v>
      </c>
      <c r="AR41" s="586">
        <v>0</v>
      </c>
      <c r="AS41" s="576">
        <v>4656.723618090452</v>
      </c>
      <c r="AT41" s="532">
        <f>IF(AS41&lt;2700,AS41*0.008,IF(AS41&lt;3200,AS41*0.0097,IF(AS41&lt;3700,AS41*0.01095,IF(AS41&gt;3699,AS41*0.0122,""))))</f>
        <v>56.812028140703518</v>
      </c>
      <c r="AU41" s="619"/>
      <c r="AV41" s="578"/>
      <c r="AW41" s="532">
        <f>IF(AV41&lt;2700,AV41*0.0097,IF(AV41&lt;3200,AV41*0.01095,IF(AV41&lt;3700,AV41*0.0122,IF(AV41&gt;3699,AV41*0.01345,""))))</f>
        <v>0</v>
      </c>
      <c r="AX41" s="619"/>
      <c r="AY41" s="578"/>
      <c r="AZ41" s="532">
        <f>IF(AY41&lt;2700,AY41*0.0097,IF(AY41&lt;3200,AY41*0.01095,IF(AY41&lt;3700,AY41*0.0122,IF(AY41&gt;3699,AY41*0.01345,""))))</f>
        <v>0</v>
      </c>
      <c r="BA41" s="619"/>
      <c r="BB41" s="581">
        <f t="shared" si="70"/>
        <v>40438.673366834169</v>
      </c>
      <c r="BC41" s="582">
        <f t="shared" si="70"/>
        <v>414.33462512562812</v>
      </c>
      <c r="BD41" s="727">
        <f t="shared" si="70"/>
        <v>46.619618090452263</v>
      </c>
      <c r="BE41" s="586"/>
      <c r="BF41" s="637">
        <f t="shared" si="17"/>
        <v>460.95424321608039</v>
      </c>
      <c r="BG41" s="578">
        <v>4331.0954773869344</v>
      </c>
      <c r="BH41" s="532">
        <f>IF(BG41&lt;2700,BG41*0.008,IF(BG41&lt;3200,BG41*0.0097,IF(BG41&lt;3700,BG41*0.01095,IF(BG41&gt;3699,BG41*0.0122,""))))</f>
        <v>52.839364824120601</v>
      </c>
      <c r="BI41" s="532"/>
      <c r="BJ41" s="578">
        <v>0</v>
      </c>
      <c r="BK41" s="532">
        <f>IF(BJ41&lt;2700,BJ41*0.0097,IF(BJ41&lt;3200,BJ41*0.01095,IF(BJ41&lt;3700,BJ41*0.0122,IF(BJ41&gt;3699,BJ41*0.01345,""))))</f>
        <v>0</v>
      </c>
      <c r="BL41" s="532">
        <v>12</v>
      </c>
      <c r="BM41" s="576">
        <v>0</v>
      </c>
      <c r="BN41" s="532">
        <f>IF(BM41&lt;2700,BM41*0.0097,IF(BM41&lt;3200,BM41*0.01095,IF(BM41&lt;3700,BM41*0.0122,IF(BM41&gt;3699,BM41*0.01345,""))))</f>
        <v>0</v>
      </c>
      <c r="BO41" s="619">
        <v>18</v>
      </c>
      <c r="BP41" s="576">
        <v>0</v>
      </c>
      <c r="BQ41" s="586">
        <f>IF(BP41&lt;2700,BP41*0.0097,IF(BP41&lt;3200,BP41*0.01095,IF(BP41&lt;3700,BP41*0.0122,IF(BP41&gt;3699,BP41*0.01345,""))))</f>
        <v>0</v>
      </c>
      <c r="BR41" s="619"/>
      <c r="BS41" s="576">
        <v>0</v>
      </c>
      <c r="BT41" s="532">
        <f>IF(BS41&lt;2700,BS41*0.0097,IF(BS41&lt;3200,BS41*0.01095,IF(BS41&lt;3700,BS41*0.0122,IF(BS41&gt;3699,BS41*0.01345,""))))</f>
        <v>0</v>
      </c>
      <c r="BU41" s="619">
        <v>18</v>
      </c>
      <c r="BV41" s="576">
        <v>0</v>
      </c>
      <c r="BW41" s="532">
        <f>IF(BV41&lt;2700,BV41*0.0097,IF(BV41&lt;3200,BV41*0.01095,IF(BV41&lt;3700,BV41*0.0122,IF(BV41&gt;3699,BV41*0.01345,""))))</f>
        <v>0</v>
      </c>
      <c r="BX41" s="619">
        <v>18</v>
      </c>
      <c r="BY41" s="576">
        <v>0</v>
      </c>
      <c r="BZ41" s="532">
        <f>IF(BY41&lt;2700,BY41*0.0097,IF(BY41&lt;3200,BY41*0.01095,IF(BY41&lt;3700,BY41*0.0122,IF(BY41&gt;3699,BY41*0.01345,""))))</f>
        <v>0</v>
      </c>
      <c r="CA41" s="619">
        <v>18</v>
      </c>
      <c r="CB41" s="578">
        <v>0</v>
      </c>
      <c r="CC41" s="532">
        <f>IF(CB41&lt;2700,CB41*0.0097,IF(CB41&lt;3200,CB41*0.01095,IF(CB41&lt;3700,CB41*0.0122,IF(CB41&gt;3699,CB41*0.01345,""))))</f>
        <v>0</v>
      </c>
      <c r="CD41" s="619">
        <v>10</v>
      </c>
      <c r="CE41" s="576">
        <v>4419.3768844221104</v>
      </c>
      <c r="CF41" s="532">
        <f>IF(CE41&lt;2700,CE41*0.008,IF(CE41&lt;3200,CE41*0.0097,IF(CE41&lt;3700,CE41*0.01095,IF(CE41&gt;3699,CE41*0.0122,""))))</f>
        <v>53.916397989949751</v>
      </c>
      <c r="CG41" s="619"/>
      <c r="CH41" s="578">
        <v>0</v>
      </c>
      <c r="CI41" s="532">
        <f>IF(CH41&lt;2700,CH41*0.0097,IF(CH41&lt;3200,CH41*0.01095,IF(CH41&lt;3700,CH41*0.0122,IF(CH41&gt;3699,CH41*0.01345,""))))</f>
        <v>0</v>
      </c>
      <c r="CJ41" s="532">
        <v>18</v>
      </c>
      <c r="CK41" s="578">
        <v>0</v>
      </c>
      <c r="CL41" s="532">
        <f>IF(CK41&lt;2700,CK41*0.0097,IF(CK41&lt;3200,CK41*0.01095,IF(CK41&lt;3700,CK41*0.0122,IF(CK41&gt;3699,CK41*0.01345,""))))</f>
        <v>0</v>
      </c>
      <c r="CM41" s="619">
        <v>18</v>
      </c>
      <c r="CN41" s="578">
        <v>0</v>
      </c>
      <c r="CO41" s="532">
        <f>IF(CN41&lt;2700,CN41*0.0097,IF(CN41&lt;3200,CN41*0.01095,IF(CN41&lt;3700,CN41*0.0122,IF(CN41&gt;3699,CN41*0.01345,""))))</f>
        <v>0</v>
      </c>
      <c r="CP41" s="619"/>
      <c r="CQ41" s="578">
        <v>0</v>
      </c>
      <c r="CR41" s="532">
        <f>IF(CQ41&lt;2700,CQ41*0.0097,IF(CQ41&lt;3200,CQ41*0.01095,IF(CQ41&lt;3700,CQ41*0.0122,IF(CQ41&gt;3699,CQ41*0.01345,""))))</f>
        <v>0</v>
      </c>
      <c r="CS41" s="619"/>
      <c r="CT41" s="1148">
        <f t="shared" si="72"/>
        <v>8750.4723618090447</v>
      </c>
      <c r="CU41" s="623">
        <f t="shared" si="72"/>
        <v>106.75576281407035</v>
      </c>
      <c r="CV41" s="624">
        <f t="shared" si="31"/>
        <v>130</v>
      </c>
      <c r="CW41" s="586"/>
      <c r="CX41" s="1149">
        <f t="shared" si="32"/>
        <v>236.75576281407035</v>
      </c>
      <c r="CY41" s="1150">
        <f t="shared" si="71"/>
        <v>49189.145728643212</v>
      </c>
      <c r="CZ41" s="1151">
        <f t="shared" si="71"/>
        <v>521.09038793969853</v>
      </c>
      <c r="DA41" s="1152">
        <f t="shared" si="71"/>
        <v>176.61961809045226</v>
      </c>
      <c r="DB41" s="1153">
        <f t="shared" si="34"/>
        <v>697.71000603015079</v>
      </c>
      <c r="DC41" s="920" t="s">
        <v>770</v>
      </c>
      <c r="DD41" s="570"/>
      <c r="DE41" s="570"/>
      <c r="DF41" s="570"/>
      <c r="DG41" s="570"/>
      <c r="DH41" s="570"/>
      <c r="DI41" s="570"/>
      <c r="DJ41" s="570"/>
      <c r="DK41" s="570"/>
      <c r="DL41" s="570"/>
      <c r="DM41" s="570"/>
      <c r="DN41" s="570"/>
      <c r="DO41" s="570"/>
      <c r="DP41" s="570"/>
      <c r="DQ41" s="570"/>
      <c r="DR41" s="570"/>
      <c r="DS41" s="570"/>
      <c r="DT41" s="570"/>
      <c r="DU41" s="570"/>
      <c r="DV41" s="570"/>
      <c r="DW41" s="570"/>
      <c r="DX41" s="570"/>
      <c r="DY41" s="570"/>
      <c r="DZ41" s="570"/>
      <c r="EA41" s="570"/>
      <c r="EB41" s="570"/>
      <c r="EC41" s="570"/>
      <c r="ED41" s="570"/>
      <c r="EE41" s="570"/>
      <c r="EF41" s="570"/>
      <c r="EG41" s="570"/>
      <c r="EH41" s="570"/>
      <c r="EI41" s="570"/>
      <c r="EJ41" s="570"/>
      <c r="EK41" s="570"/>
      <c r="EL41" s="570"/>
      <c r="EM41" s="570"/>
      <c r="EN41" s="570"/>
      <c r="EO41" s="570"/>
      <c r="EP41" s="570"/>
      <c r="EQ41" s="570"/>
      <c r="ER41" s="570"/>
    </row>
    <row r="42" spans="1:148" s="571" customFormat="1" ht="15.75" customHeight="1" x14ac:dyDescent="0.25">
      <c r="A42" s="1140">
        <f t="shared" si="74"/>
        <v>36</v>
      </c>
      <c r="B42" s="972" t="s">
        <v>159</v>
      </c>
      <c r="C42" s="974" t="s">
        <v>756</v>
      </c>
      <c r="D42" s="975" t="s">
        <v>783</v>
      </c>
      <c r="E42" s="976" t="s">
        <v>784</v>
      </c>
      <c r="F42" s="618">
        <v>3577.0854271356784</v>
      </c>
      <c r="G42" s="517">
        <f>IF(F42&lt;2700,F42*0.007,IF(F42&lt;3200,F42*0.008,IF(F42&lt;3700,F42*0.0097,IF(F42&gt;3699,F42*0.01095,""))))</f>
        <v>34.697728643216081</v>
      </c>
      <c r="H42" s="619"/>
      <c r="I42" s="618">
        <v>3163.6582914572864</v>
      </c>
      <c r="J42" s="517">
        <f>IF(I42&lt;2700,I42*0.007,IF(I42&lt;3200,I42*0.008,IF(I42&lt;3700,I42*0.0097,IF(I42&gt;3699,I42*0.01095,""))))</f>
        <v>25.309266331658293</v>
      </c>
      <c r="K42" s="619"/>
      <c r="L42" s="618">
        <v>0</v>
      </c>
      <c r="M42" s="532">
        <f>IF(L42&lt;2700,L42*0.0097,IF(L42&lt;3200,L42*0.01095,IF(L42&lt;3700,L42*0.0122,IF(L42&gt;3699,L42*0.01345,""))))</f>
        <v>0</v>
      </c>
      <c r="N42" s="619"/>
      <c r="O42" s="654"/>
      <c r="P42" s="532">
        <f>IF(O42&lt;2700,O42*0.0097,IF(O42&lt;3200,O42*0.01095,IF(O42&lt;3700,O42*0.0122,IF(O42&gt;3699,O42*0.01345,""))))</f>
        <v>0</v>
      </c>
      <c r="Q42" s="619"/>
      <c r="R42" s="618">
        <v>3494.1105527638188</v>
      </c>
      <c r="S42" s="517">
        <f>IF(R42&lt;2700,R42*0.007,IF(R42&lt;3200,R42*0.008,IF(R42&lt;3700,R42*0.0097,IF(R42&gt;3699,R42*0.01095,""))))</f>
        <v>33.89287236180904</v>
      </c>
      <c r="T42" s="619"/>
      <c r="U42" s="618">
        <v>2730.934673366834</v>
      </c>
      <c r="V42" s="517">
        <f t="shared" si="75"/>
        <v>21.847477386934671</v>
      </c>
      <c r="W42" s="619"/>
      <c r="X42" s="654">
        <v>2272.1608040201004</v>
      </c>
      <c r="Y42" s="517">
        <f t="shared" si="76"/>
        <v>15.905125628140704</v>
      </c>
      <c r="Z42" s="619"/>
      <c r="AA42" s="654">
        <v>0</v>
      </c>
      <c r="AB42" s="532">
        <f>IF(AA42&lt;2700,AA42*0.0097,IF(AA42&lt;3200,AA42*0.01095,IF(AA42&lt;3700,AA42*0.0122,IF(AA42&gt;3699,AA42*0.01345,""))))</f>
        <v>0</v>
      </c>
      <c r="AC42" s="619">
        <v>18</v>
      </c>
      <c r="AD42" s="618">
        <v>1253.7889447236182</v>
      </c>
      <c r="AE42" s="517">
        <f>IF(AD42&lt;2700,AD42*0.007,IF(AD42&lt;3200,AD42*0.008,IF(AD42&lt;3700,AD42*0.0097,IF(AD42&gt;3699,AD42*0.01095,""))))</f>
        <v>8.7765226130653282</v>
      </c>
      <c r="AF42" s="619">
        <v>40</v>
      </c>
      <c r="AG42" s="618">
        <v>0</v>
      </c>
      <c r="AH42" s="532">
        <f>IF(AG42&lt;2700,AG42*0.0097,IF(AG42&lt;3200,AG42*0.01095,IF(AG42&lt;3700,AG42*0.0122,IF(AG42&gt;3699,AG42*0.01345,""))))</f>
        <v>0</v>
      </c>
      <c r="AI42" s="619"/>
      <c r="AJ42" s="618">
        <v>3792.7236180904524</v>
      </c>
      <c r="AK42" s="517">
        <f>IF(AJ42&lt;2700,AJ42*0.007,IF(AJ42&lt;3200,AJ42*0.008,IF(AJ42&lt;3700,AJ42*0.0097,IF(AJ42&gt;3699,AJ42*0.01095,""))))</f>
        <v>41.530323618090456</v>
      </c>
      <c r="AL42" s="619"/>
      <c r="AM42" s="618">
        <v>2992.4020100502516</v>
      </c>
      <c r="AN42" s="517">
        <f>IF(AM42&lt;2700,AM42*0.007,IF(AM42&lt;3200,AM42*0.008,IF(AM42&lt;3700,AM42*0.0097,IF(AM42&gt;3699,AM42*0.01095,""))))</f>
        <v>23.939216080402012</v>
      </c>
      <c r="AO42" s="619"/>
      <c r="AP42" s="654">
        <v>0</v>
      </c>
      <c r="AQ42" s="532">
        <f>IF(AP42&lt;2700,AP42*0.0097,IF(AP42&lt;3200,AP42*0.01095,IF(AP42&lt;3700,AP42*0.0122,IF(AP42&gt;3699,AP42*0.01345,""))))</f>
        <v>0</v>
      </c>
      <c r="AR42" s="619"/>
      <c r="AS42" s="618">
        <v>3283.7788944723611</v>
      </c>
      <c r="AT42" s="532">
        <f>IF(AS42&lt;2700,AS42*0.008,IF(AS42&lt;3200,AS42*0.0097,IF(AS42&lt;3700,AS42*0.01095,IF(AS42&gt;3699,AS42*0.0122,""))))</f>
        <v>35.957378894472356</v>
      </c>
      <c r="AU42" s="619"/>
      <c r="AV42" s="654"/>
      <c r="AW42" s="532">
        <f>IF(AV42&lt;2700,AV42*0.0097,IF(AV42&lt;3200,AV42*0.01095,IF(AV42&lt;3700,AV42*0.0122,IF(AV42&gt;3699,AV42*0.01345,""))))</f>
        <v>0</v>
      </c>
      <c r="AX42" s="619"/>
      <c r="AY42" s="654"/>
      <c r="AZ42" s="532">
        <f>IF(AY42&lt;2700,AY42*0.0097,IF(AY42&lt;3200,AY42*0.01095,IF(AY42&lt;3700,AY42*0.0122,IF(AY42&gt;3699,AY42*0.01345,""))))</f>
        <v>0</v>
      </c>
      <c r="BA42" s="619"/>
      <c r="BB42" s="581">
        <f t="shared" si="70"/>
        <v>26560.643216080403</v>
      </c>
      <c r="BC42" s="582">
        <f t="shared" si="70"/>
        <v>241.85591155778894</v>
      </c>
      <c r="BD42" s="727">
        <f t="shared" si="70"/>
        <v>58</v>
      </c>
      <c r="BE42" s="586"/>
      <c r="BF42" s="637">
        <f t="shared" si="17"/>
        <v>299.85591155778894</v>
      </c>
      <c r="BG42" s="654">
        <v>3462.7537688442208</v>
      </c>
      <c r="BH42" s="532">
        <f>IF(BG42&lt;2700,BG42*0.008,IF(BG42&lt;3200,BG42*0.0097,IF(BG42&lt;3700,BG42*0.01095,IF(BG42&gt;3699,BG42*0.0122,""))))</f>
        <v>37.917153768844216</v>
      </c>
      <c r="BI42" s="619"/>
      <c r="BJ42" s="654">
        <v>0</v>
      </c>
      <c r="BK42" s="532">
        <f>IF(BJ42&lt;2700,BJ42*0.0097,IF(BJ42&lt;3200,BJ42*0.01095,IF(BJ42&lt;3700,BJ42*0.0122,IF(BJ42&gt;3699,BJ42*0.01345,""))))</f>
        <v>0</v>
      </c>
      <c r="BL42" s="619">
        <v>0</v>
      </c>
      <c r="BM42" s="618">
        <v>2597.3065326633164</v>
      </c>
      <c r="BN42" s="532">
        <f>IF(BM42&lt;2700,BM42*0.008,IF(BM42&lt;3200,BM42*0.0097,IF(BM42&lt;3700,BM42*0.01095,IF(BM42&gt;3699,BM42*0.0122,""))))</f>
        <v>20.77845226130653</v>
      </c>
      <c r="BO42" s="619"/>
      <c r="BP42" s="618">
        <v>0</v>
      </c>
      <c r="BQ42" s="532">
        <f>IF(BP42&lt;2700,BP42*0.0097,IF(BP42&lt;3200,BP42*0.01095,IF(BP42&lt;3700,BP42*0.0122,IF(BP42&gt;3699,BP42*0.01345,""))))</f>
        <v>0</v>
      </c>
      <c r="BR42" s="619">
        <v>18</v>
      </c>
      <c r="BS42" s="618">
        <v>0</v>
      </c>
      <c r="BT42" s="532">
        <f>IF(BS42&lt;2700,BS42*0.0097,IF(BS42&lt;3200,BS42*0.01095,IF(BS42&lt;3700,BS42*0.0122,IF(BS42&gt;3699,BS42*0.01345,""))))</f>
        <v>0</v>
      </c>
      <c r="BU42" s="619">
        <v>18</v>
      </c>
      <c r="BV42" s="618">
        <v>0</v>
      </c>
      <c r="BW42" s="532">
        <f>IF(BV42&lt;2700,BV42*0.0097,IF(BV42&lt;3200,BV42*0.01095,IF(BV42&lt;3700,BV42*0.0122,IF(BV42&gt;3699,BV42*0.01345,""))))</f>
        <v>0</v>
      </c>
      <c r="BX42" s="619">
        <v>18</v>
      </c>
      <c r="BY42" s="618">
        <v>1689.4070351758794</v>
      </c>
      <c r="BZ42" s="532">
        <f>IF(BY42&lt;2700,BY42*0.008,IF(BY42&lt;3200,BY42*0.0097,IF(BY42&lt;3700,BY42*0.01095,IF(BY42&gt;3699,BY42*0.0122,""))))</f>
        <v>13.515256281407035</v>
      </c>
      <c r="CA42" s="619"/>
      <c r="CB42" s="654">
        <v>0</v>
      </c>
      <c r="CC42" s="532">
        <f>IF(CB42&lt;2700,CB42*0.0097,IF(CB42&lt;3200,CB42*0.01095,IF(CB42&lt;3700,CB42*0.0122,IF(CB42&gt;3699,CB42*0.01345,""))))</f>
        <v>0</v>
      </c>
      <c r="CD42" s="619">
        <v>10</v>
      </c>
      <c r="CE42" s="618">
        <v>0</v>
      </c>
      <c r="CF42" s="532">
        <f>IF(CE42&lt;2700,CE42*0.0097,IF(CE42&lt;3200,CE42*0.01095,IF(CE42&lt;3700,CE42*0.0122,IF(CE42&gt;3699,CE42*0.01345,""))))</f>
        <v>0</v>
      </c>
      <c r="CG42" s="619">
        <v>0</v>
      </c>
      <c r="CH42" s="654">
        <v>0</v>
      </c>
      <c r="CI42" s="532">
        <f>IF(CH42&lt;2700,CH42*0.0097,IF(CH42&lt;3200,CH42*0.01095,IF(CH42&lt;3700,CH42*0.0122,IF(CH42&gt;3699,CH42*0.01345,""))))</f>
        <v>0</v>
      </c>
      <c r="CJ42" s="619">
        <v>0</v>
      </c>
      <c r="CK42" s="654">
        <v>0</v>
      </c>
      <c r="CL42" s="532">
        <f>IF(CK42&lt;2700,CK42*0.0097,IF(CK42&lt;3200,CK42*0.01095,IF(CK42&lt;3700,CK42*0.0122,IF(CK42&gt;3699,CK42*0.01345,""))))</f>
        <v>0</v>
      </c>
      <c r="CM42" s="619"/>
      <c r="CN42" s="654">
        <v>0</v>
      </c>
      <c r="CO42" s="532">
        <f>IF(CN42&lt;2700,CN42*0.0097,IF(CN42&lt;3200,CN42*0.01095,IF(CN42&lt;3700,CN42*0.0122,IF(CN42&gt;3699,CN42*0.01345,""))))</f>
        <v>0</v>
      </c>
      <c r="CP42" s="619"/>
      <c r="CQ42" s="654">
        <v>0</v>
      </c>
      <c r="CR42" s="532">
        <f>IF(CQ42&lt;2700,CQ42*0.0097,IF(CQ42&lt;3200,CQ42*0.01095,IF(CQ42&lt;3700,CQ42*0.0122,IF(CQ42&gt;3699,CQ42*0.01345,""))))</f>
        <v>0</v>
      </c>
      <c r="CS42" s="619"/>
      <c r="CT42" s="1148">
        <f t="shared" si="72"/>
        <v>7749.4673366834168</v>
      </c>
      <c r="CU42" s="623">
        <f t="shared" si="72"/>
        <v>72.210862311557776</v>
      </c>
      <c r="CV42" s="624">
        <f t="shared" si="31"/>
        <v>64</v>
      </c>
      <c r="CW42" s="586"/>
      <c r="CX42" s="1149">
        <f t="shared" si="32"/>
        <v>136.21086231155778</v>
      </c>
      <c r="CY42" s="1150">
        <f t="shared" si="71"/>
        <v>34310.110552763821</v>
      </c>
      <c r="CZ42" s="1151">
        <f t="shared" si="71"/>
        <v>314.06677386934672</v>
      </c>
      <c r="DA42" s="1152">
        <f t="shared" si="71"/>
        <v>122</v>
      </c>
      <c r="DB42" s="1153">
        <f t="shared" si="34"/>
        <v>436.06677386934672</v>
      </c>
      <c r="DC42" s="920" t="s">
        <v>785</v>
      </c>
      <c r="DD42" s="570"/>
      <c r="DE42" s="570"/>
      <c r="DF42" s="570"/>
      <c r="DG42" s="570"/>
      <c r="DH42" s="570"/>
      <c r="DI42" s="570"/>
      <c r="DJ42" s="570"/>
      <c r="DK42" s="570"/>
      <c r="DL42" s="570"/>
      <c r="DM42" s="570"/>
      <c r="DN42" s="570"/>
      <c r="DO42" s="570"/>
      <c r="DP42" s="570"/>
      <c r="DQ42" s="570"/>
      <c r="DR42" s="570"/>
      <c r="DS42" s="570"/>
      <c r="DT42" s="570"/>
      <c r="DU42" s="570"/>
      <c r="DV42" s="570"/>
      <c r="DW42" s="570"/>
      <c r="DX42" s="570"/>
      <c r="DY42" s="570"/>
      <c r="DZ42" s="570"/>
      <c r="EA42" s="570"/>
      <c r="EB42" s="570"/>
      <c r="EC42" s="570"/>
      <c r="ED42" s="570"/>
      <c r="EE42" s="570"/>
      <c r="EF42" s="570"/>
      <c r="EG42" s="570"/>
      <c r="EH42" s="570"/>
      <c r="EI42" s="570"/>
      <c r="EJ42" s="570"/>
      <c r="EK42" s="570"/>
      <c r="EL42" s="570"/>
      <c r="EM42" s="570"/>
      <c r="EN42" s="570"/>
      <c r="EO42" s="570"/>
      <c r="EP42" s="570"/>
      <c r="EQ42" s="570"/>
      <c r="ER42" s="570"/>
    </row>
    <row r="43" spans="1:148" s="571" customFormat="1" ht="15.75" customHeight="1" x14ac:dyDescent="0.25">
      <c r="A43" s="1140">
        <f t="shared" si="74"/>
        <v>37</v>
      </c>
      <c r="B43" s="972" t="s">
        <v>263</v>
      </c>
      <c r="C43" s="974" t="s">
        <v>786</v>
      </c>
      <c r="D43" s="975" t="s">
        <v>787</v>
      </c>
      <c r="E43" s="976" t="s">
        <v>788</v>
      </c>
      <c r="F43" s="576">
        <v>0</v>
      </c>
      <c r="G43" s="532">
        <f>IF(F43&lt;2700,F43*0.0097,IF(F43&lt;3200,F43*0.01095,IF(F43&lt;3700,F43*0.0122,IF(F43&gt;3699,F43*0.01345,""))))</f>
        <v>0</v>
      </c>
      <c r="H43" s="619">
        <v>18</v>
      </c>
      <c r="I43" s="576">
        <v>0</v>
      </c>
      <c r="J43" s="532">
        <f>IF(I43&lt;2700,I43*0.0097,IF(I43&lt;3200,I43*0.01095,IF(I43&lt;3700,I43*0.0122,IF(I43&gt;3699,I43*0.01345,""))))</f>
        <v>0</v>
      </c>
      <c r="K43" s="619">
        <v>18</v>
      </c>
      <c r="L43" s="576">
        <v>4248.1206030150761</v>
      </c>
      <c r="M43" s="517">
        <f>IF(L43&lt;2700,L43*0.007,IF(L43&lt;3200,L43*0.008,IF(L43&lt;3700,L43*0.0097,IF(L43&gt;3699,L43*0.01095,""))))</f>
        <v>46.51692060301508</v>
      </c>
      <c r="N43" s="619"/>
      <c r="O43" s="578"/>
      <c r="P43" s="532">
        <f>IF(O43&lt;2700,O43*0.0097,IF(O43&lt;3200,O43*0.01095,IF(O43&lt;3700,O43*0.0122,IF(O43&gt;3699,O43*0.01345,""))))</f>
        <v>0</v>
      </c>
      <c r="Q43" s="619"/>
      <c r="R43" s="576">
        <v>4235.577889447236</v>
      </c>
      <c r="S43" s="517">
        <f>IF(R43&lt;2700,R43*0.007,IF(R43&lt;3200,R43*0.008,IF(R43&lt;3700,R43*0.0097,IF(R43&gt;3699,R43*0.01095,""))))</f>
        <v>46.379577889447233</v>
      </c>
      <c r="T43" s="619"/>
      <c r="U43" s="576">
        <v>2880</v>
      </c>
      <c r="V43" s="517">
        <f>IF(U43&lt;2700,U43*0.007,IF(U43&lt;3200,U43*0.008,IF(U43&lt;3700,U43*0.0097,IF(U43&gt;3699,U43*0.01095,""))))</f>
        <v>23.04</v>
      </c>
      <c r="W43" s="619"/>
      <c r="X43" s="578">
        <v>2844.7839195979896</v>
      </c>
      <c r="Y43" s="517">
        <f t="shared" si="76"/>
        <v>22.758271356783919</v>
      </c>
      <c r="Z43" s="619"/>
      <c r="AA43" s="578">
        <v>2501.788944723618</v>
      </c>
      <c r="AB43" s="517">
        <f>IF(AA43&lt;2700,AA43*0.007,IF(AA43&lt;3200,AA43*0.008,IF(AA43&lt;3700,AA43*0.0097,IF(AA43&gt;3699,AA43*0.01095,""))))</f>
        <v>17.512522613065325</v>
      </c>
      <c r="AC43" s="619"/>
      <c r="AD43" s="576">
        <v>6204.3015075376898</v>
      </c>
      <c r="AE43" s="517">
        <f>IF(AD43&lt;2700,AD43*0.007,IF(AD43&lt;3200,AD43*0.008,IF(AD43&lt;3700,AD43*0.0097,IF(AD43&gt;3699,AD43*0.01095,""))))</f>
        <v>67.937101507537704</v>
      </c>
      <c r="AF43" s="619">
        <v>5</v>
      </c>
      <c r="AG43" s="576">
        <v>0</v>
      </c>
      <c r="AH43" s="532">
        <f>IF(AG43&lt;2700,AG43*0.0097,IF(AG43&lt;3200,AG43*0.01095,IF(AG43&lt;3700,AG43*0.0122,IF(AG43&gt;3699,AG43*0.01345,""))))</f>
        <v>0</v>
      </c>
      <c r="AI43" s="619"/>
      <c r="AJ43" s="576">
        <v>3698.653266331658</v>
      </c>
      <c r="AK43" s="517">
        <f>IF(AJ43&lt;2700,AJ43*0.007,IF(AJ43&lt;3200,AJ43*0.008,IF(AJ43&lt;3700,AJ43*0.0097,IF(AJ43&gt;3699,AJ43*0.01095,""))))</f>
        <v>35.876936683417085</v>
      </c>
      <c r="AL43" s="619"/>
      <c r="AM43" s="576">
        <v>0</v>
      </c>
      <c r="AN43" s="532">
        <f>IF(AM43&lt;2700,AM43*0.0097,IF(AM43&lt;3200,AM43*0.01095,IF(AM43&lt;3700,AM43*0.0122,IF(AM43&gt;3699,AM43*0.01345,""))))</f>
        <v>0</v>
      </c>
      <c r="AO43" s="619"/>
      <c r="AP43" s="578">
        <v>0</v>
      </c>
      <c r="AQ43" s="532">
        <f>IF(AP43&lt;2700,AP43*0.0097,IF(AP43&lt;3200,AP43*0.01095,IF(AP43&lt;3700,AP43*0.0122,IF(AP43&gt;3699,AP43*0.01345,""))))</f>
        <v>0</v>
      </c>
      <c r="AR43" s="619">
        <v>14</v>
      </c>
      <c r="AS43" s="576">
        <v>4090.3718592964824</v>
      </c>
      <c r="AT43" s="532">
        <f>IF(AS43&lt;2700,AS43*0.008,IF(AS43&lt;3200,AS43*0.0097,IF(AS43&lt;3700,AS43*0.01095,IF(AS43&gt;3699,AS43*0.0122,""))))</f>
        <v>49.90253668341709</v>
      </c>
      <c r="AU43" s="619"/>
      <c r="AV43" s="578"/>
      <c r="AW43" s="532">
        <f>IF(AV43&lt;2700,AV43*0.0097,IF(AV43&lt;3200,AV43*0.01095,IF(AV43&lt;3700,AV43*0.0122,IF(AV43&gt;3699,AV43*0.01345,""))))</f>
        <v>0</v>
      </c>
      <c r="AX43" s="619"/>
      <c r="AY43" s="578"/>
      <c r="AZ43" s="532">
        <f>IF(AY43&lt;2700,AY43*0.0097,IF(AY43&lt;3200,AY43*0.01095,IF(AY43&lt;3700,AY43*0.0122,IF(AY43&gt;3699,AY43*0.01345,""))))</f>
        <v>0</v>
      </c>
      <c r="BA43" s="619"/>
      <c r="BB43" s="581">
        <f t="shared" si="70"/>
        <v>30703.597989949751</v>
      </c>
      <c r="BC43" s="582">
        <f t="shared" si="70"/>
        <v>309.92386733668343</v>
      </c>
      <c r="BD43" s="727">
        <f t="shared" si="70"/>
        <v>55</v>
      </c>
      <c r="BE43" s="586"/>
      <c r="BF43" s="637">
        <f t="shared" si="17"/>
        <v>364.92386733668343</v>
      </c>
      <c r="BG43" s="578">
        <v>4243.29648241206</v>
      </c>
      <c r="BH43" s="532">
        <f>IF(BG43&lt;2700,BG43*0.008,IF(BG43&lt;3200,BG43*0.0097,IF(BG43&lt;3700,BG43*0.01095,IF(BG43&gt;3699,BG43*0.0122,""))))</f>
        <v>51.768217085427132</v>
      </c>
      <c r="BI43" s="619"/>
      <c r="BJ43" s="578">
        <v>0</v>
      </c>
      <c r="BK43" s="532">
        <f>IF(BJ43&lt;2700,BJ43*0.0097,IF(BJ43&lt;3200,BJ43*0.01095,IF(BJ43&lt;3700,BJ43*0.0122,IF(BJ43&gt;3699,BJ43*0.01345,""))))</f>
        <v>0</v>
      </c>
      <c r="BL43" s="532">
        <v>12</v>
      </c>
      <c r="BM43" s="576">
        <v>3133.7487437185928</v>
      </c>
      <c r="BN43" s="532">
        <f>IF(BM43&lt;2700,BM43*0.008,IF(BM43&lt;3200,BM43*0.0097,IF(BM43&lt;3700,BM43*0.01095,IF(BM43&gt;3699,BM43*0.0122,""))))</f>
        <v>30.397362814070352</v>
      </c>
      <c r="BO43" s="619"/>
      <c r="BP43" s="576">
        <v>3044.9849246231151</v>
      </c>
      <c r="BQ43" s="532">
        <f>IF(BP43&lt;2700,BP43*0.008,IF(BP43&lt;3200,BP43*0.0097,IF(BP43&lt;3700,BP43*0.01095,IF(BP43&gt;3699,BP43*0.0122,""))))</f>
        <v>29.536353768844219</v>
      </c>
      <c r="BR43" s="619"/>
      <c r="BS43" s="576">
        <v>0</v>
      </c>
      <c r="BT43" s="532">
        <f>IF(BS43&lt;2700,BS43*0.0097,IF(BS43&lt;3200,BS43*0.01095,IF(BS43&lt;3700,BS43*0.0122,IF(BS43&gt;3699,BS43*0.01345,""))))</f>
        <v>0</v>
      </c>
      <c r="BU43" s="532">
        <v>18</v>
      </c>
      <c r="BV43" s="576">
        <v>3044.9849246231151</v>
      </c>
      <c r="BW43" s="532">
        <f>IF(BV43&lt;2700,BV43*0.008,IF(BV43&lt;3200,BV43*0.0097,IF(BV43&lt;3700,BV43*0.01095,IF(BV43&gt;3699,BV43*0.0122,""))))</f>
        <v>29.536353768844219</v>
      </c>
      <c r="BX43" s="619"/>
      <c r="BY43" s="576">
        <v>1389.8291457286434</v>
      </c>
      <c r="BZ43" s="532">
        <f>IF(BY43&lt;2700,BY43*0.008,IF(BY43&lt;3200,BY43*0.0097,IF(BY43&lt;3700,BY43*0.01095,IF(BY43&gt;3699,BY43*0.0122,""))))</f>
        <v>11.118633165829147</v>
      </c>
      <c r="CA43" s="619"/>
      <c r="CB43" s="578">
        <v>0</v>
      </c>
      <c r="CC43" s="532">
        <f>IF(CB43&lt;2700,CB43*0.0097,IF(CB43&lt;3200,CB43*0.01095,IF(CB43&lt;3700,CB43*0.0122,IF(CB43&gt;3699,CB43*0.01345,""))))</f>
        <v>0</v>
      </c>
      <c r="CD43" s="619">
        <v>10</v>
      </c>
      <c r="CE43" s="576">
        <v>0</v>
      </c>
      <c r="CF43" s="532">
        <f>IF(CE43&lt;2700,CE43*0.0097,IF(CE43&lt;3200,CE43*0.01095,IF(CE43&lt;3700,CE43*0.0122,IF(CE43&gt;3699,CE43*0.01345,""))))</f>
        <v>0</v>
      </c>
      <c r="CG43" s="619">
        <v>18</v>
      </c>
      <c r="CH43" s="576">
        <v>0</v>
      </c>
      <c r="CI43" s="532">
        <f>IF(CH43&lt;2700,CH43*0.0097,IF(CH43&lt;3200,CH43*0.01095,IF(CH43&lt;3700,CH43*0.0122,IF(CH43&gt;3699,CH43*0.01345,""))))</f>
        <v>0</v>
      </c>
      <c r="CJ43" s="577">
        <v>18</v>
      </c>
      <c r="CK43" s="576">
        <v>0</v>
      </c>
      <c r="CL43" s="532">
        <f>IF(CK43&lt;2700,CK43*0.0097,IF(CK43&lt;3200,CK43*0.01095,IF(CK43&lt;3700,CK43*0.0122,IF(CK43&gt;3699,CK43*0.01345,""))))</f>
        <v>0</v>
      </c>
      <c r="CM43" s="619"/>
      <c r="CN43" s="576">
        <v>0</v>
      </c>
      <c r="CO43" s="532">
        <f>IF(CN43&lt;2700,CN43*0.0097,IF(CN43&lt;3200,CN43*0.01095,IF(CN43&lt;3700,CN43*0.0122,IF(CN43&gt;3699,CN43*0.01345,""))))</f>
        <v>0</v>
      </c>
      <c r="CP43" s="619"/>
      <c r="CQ43" s="576">
        <v>0</v>
      </c>
      <c r="CR43" s="532">
        <f>IF(CQ43&lt;2700,CQ43*0.0097,IF(CQ43&lt;3200,CQ43*0.01095,IF(CQ43&lt;3700,CQ43*0.0122,IF(CQ43&gt;3699,CQ43*0.01345,""))))</f>
        <v>0</v>
      </c>
      <c r="CS43" s="619"/>
      <c r="CT43" s="1148">
        <f t="shared" si="72"/>
        <v>14856.844221105526</v>
      </c>
      <c r="CU43" s="623">
        <f t="shared" si="72"/>
        <v>152.35692060301508</v>
      </c>
      <c r="CV43" s="624">
        <f t="shared" si="31"/>
        <v>76</v>
      </c>
      <c r="CW43" s="586"/>
      <c r="CX43" s="1149">
        <f t="shared" si="32"/>
        <v>228.35692060301508</v>
      </c>
      <c r="CY43" s="1150">
        <f t="shared" si="71"/>
        <v>45560.442211055277</v>
      </c>
      <c r="CZ43" s="1151">
        <f t="shared" si="71"/>
        <v>462.28078793969848</v>
      </c>
      <c r="DA43" s="1152">
        <f t="shared" si="71"/>
        <v>131</v>
      </c>
      <c r="DB43" s="1153">
        <f t="shared" si="34"/>
        <v>593.28078793969848</v>
      </c>
      <c r="DC43" s="920" t="s">
        <v>740</v>
      </c>
      <c r="DD43" s="570"/>
      <c r="DE43" s="570"/>
      <c r="DF43" s="570"/>
      <c r="DG43" s="570"/>
      <c r="DH43" s="570"/>
      <c r="DI43" s="570"/>
      <c r="DJ43" s="570"/>
      <c r="DK43" s="570"/>
      <c r="DL43" s="570"/>
      <c r="DM43" s="570"/>
      <c r="DN43" s="570"/>
      <c r="DO43" s="570"/>
      <c r="DP43" s="570"/>
      <c r="DQ43" s="570"/>
      <c r="DR43" s="570"/>
      <c r="DS43" s="570"/>
      <c r="DT43" s="570"/>
      <c r="DU43" s="570"/>
      <c r="DV43" s="570"/>
      <c r="DW43" s="570"/>
      <c r="DX43" s="570"/>
      <c r="DY43" s="570"/>
      <c r="DZ43" s="570"/>
      <c r="EA43" s="570"/>
      <c r="EB43" s="570"/>
      <c r="EC43" s="570"/>
      <c r="ED43" s="570"/>
      <c r="EE43" s="570"/>
      <c r="EF43" s="570"/>
      <c r="EG43" s="570"/>
      <c r="EH43" s="570"/>
      <c r="EI43" s="570"/>
      <c r="EJ43" s="570"/>
      <c r="EK43" s="570"/>
      <c r="EL43" s="570"/>
      <c r="EM43" s="570"/>
      <c r="EN43" s="570"/>
      <c r="EO43" s="570"/>
      <c r="EP43" s="570"/>
      <c r="EQ43" s="570"/>
      <c r="ER43" s="570"/>
    </row>
    <row r="44" spans="1:148" s="571" customFormat="1" ht="15.75" customHeight="1" x14ac:dyDescent="0.25">
      <c r="A44" s="1140">
        <f t="shared" si="74"/>
        <v>38</v>
      </c>
      <c r="B44" s="972" t="s">
        <v>93</v>
      </c>
      <c r="C44" s="974" t="s">
        <v>756</v>
      </c>
      <c r="D44" s="975" t="s">
        <v>789</v>
      </c>
      <c r="E44" s="1157" t="s">
        <v>790</v>
      </c>
      <c r="F44" s="576">
        <v>3582.8743718592964</v>
      </c>
      <c r="G44" s="517">
        <f>IF(F44&lt;2700,F44*0.007,IF(F44&lt;3200,F44*0.008,IF(F44&lt;3700,F44*0.0097,IF(F44&gt;3699,F44*0.01095,""))))</f>
        <v>34.753881407035173</v>
      </c>
      <c r="H44" s="532"/>
      <c r="I44" s="576">
        <v>0</v>
      </c>
      <c r="J44" s="586">
        <f>IF(I44&lt;2700,I44*0.0097,IF(I44&lt;3200,I44*0.01095,IF(I44&lt;3700,I44*0.0122,IF(I44&gt;3699,I44*0.01345,""))))</f>
        <v>0</v>
      </c>
      <c r="K44" s="532"/>
      <c r="L44" s="576">
        <v>3431.3969849246232</v>
      </c>
      <c r="M44" s="517">
        <f>IF(L44&lt;2700,L44*0.007,IF(L44&lt;3200,L44*0.008,IF(L44&lt;3700,L44*0.0097,IF(L44&gt;3699,L44*0.01095,""))))</f>
        <v>33.284550753768848</v>
      </c>
      <c r="N44" s="532"/>
      <c r="O44" s="578"/>
      <c r="P44" s="532">
        <f>IF(O44&lt;2700,O44*0.0097,IF(O44&lt;3200,O44*0.01095,IF(O44&lt;3700,O44*0.0122,IF(O44&gt;3699,O44*0.01345,""))))</f>
        <v>0</v>
      </c>
      <c r="Q44" s="532"/>
      <c r="R44" s="576">
        <v>0</v>
      </c>
      <c r="S44" s="532">
        <f>IF(R44&lt;2700,R44*0.0097,IF(R44&lt;3200,R44*0.01095,IF(R44&lt;3700,R44*0.0122,IF(R44&gt;3699,R44*0.01345,""))))</f>
        <v>0</v>
      </c>
      <c r="T44" s="532"/>
      <c r="U44" s="576">
        <v>3316.1005025125628</v>
      </c>
      <c r="V44" s="517">
        <f>IF(U44&lt;2700,U44*0.007,IF(U44&lt;3200,U44*0.008,IF(U44&lt;3700,U44*0.0097,IF(U44&gt;3699,U44*0.01095,""))))</f>
        <v>32.166174874371862</v>
      </c>
      <c r="W44" s="532"/>
      <c r="X44" s="578">
        <v>2485.8693467336684</v>
      </c>
      <c r="Y44" s="517">
        <f>IF(X44&lt;2700,X44*0.007,IF(X44&lt;3200,X44*0.008,IF(X44&lt;3700,X44*0.0097,IF(X44&gt;3699,X44*0.01095,""))))</f>
        <v>17.40108542713568</v>
      </c>
      <c r="Z44" s="532"/>
      <c r="AA44" s="578">
        <v>2361.4070351758796</v>
      </c>
      <c r="AB44" s="517">
        <f>IF(AA44&lt;2700,AA44*0.007,IF(AA44&lt;3200,AA44*0.008,IF(AA44&lt;3700,AA44*0.0097,IF(AA44&gt;3699,AA44*0.01095,""))))</f>
        <v>16.529849246231159</v>
      </c>
      <c r="AC44" s="532"/>
      <c r="AD44" s="576">
        <v>6922.1306532663311</v>
      </c>
      <c r="AE44" s="517">
        <f>IF(AD44&lt;2700,AD44*0.007,IF(AD44&lt;3200,AD44*0.008,IF(AD44&lt;3700,AD44*0.0097,IF(AD44&gt;3699,AD44*0.01095,""))))</f>
        <v>75.797330653266329</v>
      </c>
      <c r="AF44" s="532"/>
      <c r="AG44" s="576">
        <v>0</v>
      </c>
      <c r="AH44" s="532">
        <f>IF(AG44&lt;2700,AG44*0.0097,IF(AG44&lt;3200,AG44*0.01095,IF(AG44&lt;3700,AG44*0.0122,IF(AG44&gt;3699,AG44*0.01345,""))))</f>
        <v>0</v>
      </c>
      <c r="AI44" s="532"/>
      <c r="AJ44" s="576">
        <v>4146.8140703517583</v>
      </c>
      <c r="AK44" s="517">
        <f>IF(AJ44&lt;2700,AJ44*0.007,IF(AJ44&lt;3200,AJ44*0.008,IF(AJ44&lt;3700,AJ44*0.0097,IF(AJ44&gt;3699,AJ44*0.01095,""))))</f>
        <v>45.407614070351755</v>
      </c>
      <c r="AL44" s="532"/>
      <c r="AM44" s="576">
        <v>3157.3869346733673</v>
      </c>
      <c r="AN44" s="517">
        <f>IF(AM44&lt;2700,AM44*0.007,IF(AM44&lt;3200,AM44*0.008,IF(AM44&lt;3700,AM44*0.0097,IF(AM44&gt;3699,AM44*0.01095,""))))</f>
        <v>25.259095477386939</v>
      </c>
      <c r="AO44" s="532"/>
      <c r="AP44" s="578">
        <v>0</v>
      </c>
      <c r="AQ44" s="532">
        <f>IF(AP44&lt;2700,AP44*0.0097,IF(AP44&lt;3200,AP44*0.01095,IF(AP44&lt;3700,AP44*0.0122,IF(AP44&gt;3699,AP44*0.01345,""))))</f>
        <v>0</v>
      </c>
      <c r="AR44" s="619">
        <v>14</v>
      </c>
      <c r="AS44" s="576">
        <v>3583.3567839195985</v>
      </c>
      <c r="AT44" s="532">
        <f>IF(AS44&lt;2700,AS44*0.008,IF(AS44&lt;3200,AS44*0.0097,IF(AS44&lt;3700,AS44*0.01095,IF(AS44&gt;3699,AS44*0.0122,""))))</f>
        <v>39.2377567839196</v>
      </c>
      <c r="AU44" s="532"/>
      <c r="AV44" s="578"/>
      <c r="AW44" s="532">
        <f>IF(AV44&lt;2700,AV44*0.0097,IF(AV44&lt;3200,AV44*0.01095,IF(AV44&lt;3700,AV44*0.0122,IF(AV44&gt;3699,AV44*0.01345,""))))</f>
        <v>0</v>
      </c>
      <c r="AX44" s="532"/>
      <c r="AY44" s="578"/>
      <c r="AZ44" s="532">
        <f>IF(AY44&lt;2700,AY44*0.0097,IF(AY44&lt;3200,AY44*0.01095,IF(AY44&lt;3700,AY44*0.0122,IF(AY44&gt;3699,AY44*0.01345,""))))</f>
        <v>0</v>
      </c>
      <c r="BA44" s="532"/>
      <c r="BB44" s="581">
        <f t="shared" si="70"/>
        <v>32987.336683417088</v>
      </c>
      <c r="BC44" s="582">
        <f t="shared" si="70"/>
        <v>319.83733869346736</v>
      </c>
      <c r="BD44" s="727">
        <f t="shared" si="70"/>
        <v>14</v>
      </c>
      <c r="BE44" s="586"/>
      <c r="BF44" s="637">
        <f t="shared" si="17"/>
        <v>333.83733869346736</v>
      </c>
      <c r="BG44" s="578">
        <v>3196.9447236180904</v>
      </c>
      <c r="BH44" s="532">
        <f>IF(BG44&lt;2700,BG44*0.008,IF(BG44&lt;3200,BG44*0.0097,IF(BG44&lt;3700,BG44*0.01095,IF(BG44&gt;3699,BG44*0.0122,""))))</f>
        <v>31.010363819095478</v>
      </c>
      <c r="BI44" s="532"/>
      <c r="BJ44" s="578">
        <v>0</v>
      </c>
      <c r="BK44" s="532">
        <f>IF(BJ44&lt;2700,BJ44*0.0097,IF(BJ44&lt;3200,BJ44*0.01095,IF(BJ44&lt;3700,BJ44*0.0122,IF(BJ44&gt;3699,BJ44*0.01345,""))))</f>
        <v>0</v>
      </c>
      <c r="BL44" s="532">
        <v>12</v>
      </c>
      <c r="BM44" s="576">
        <v>2853.4673366834168</v>
      </c>
      <c r="BN44" s="532">
        <f>IF(BM44&lt;2700,BM44*0.008,IF(BM44&lt;3200,BM44*0.0097,IF(BM44&lt;3700,BM44*0.01095,IF(BM44&gt;3699,BM44*0.0122,""))))</f>
        <v>27.678633165829144</v>
      </c>
      <c r="BO44" s="532"/>
      <c r="BP44" s="576">
        <v>3258.211055276382</v>
      </c>
      <c r="BQ44" s="532">
        <f>IF(BP44&lt;2700,BP44*0.008,IF(BP44&lt;3200,BP44*0.0097,IF(BP44&lt;3700,BP44*0.01095,IF(BP44&gt;3699,BP44*0.0122,""))))</f>
        <v>35.67741105527638</v>
      </c>
      <c r="BR44" s="532"/>
      <c r="BS44" s="576">
        <v>0</v>
      </c>
      <c r="BT44" s="532">
        <f>IF(BS44&lt;2700,BS44*0.0097,IF(BS44&lt;3200,BS44*0.01095,IF(BS44&lt;3700,BS44*0.0122,IF(BS44&gt;3699,BS44*0.01345,""))))</f>
        <v>0</v>
      </c>
      <c r="BU44" s="619">
        <v>18</v>
      </c>
      <c r="BV44" s="576">
        <v>0</v>
      </c>
      <c r="BW44" s="532">
        <f>IF(BV44&lt;2700,BV44*0.0097,IF(BV44&lt;3200,BV44*0.01095,IF(BV44&lt;3700,BV44*0.0122,IF(BV44&gt;3699,BV44*0.01345,""))))</f>
        <v>0</v>
      </c>
      <c r="BX44" s="619">
        <v>18</v>
      </c>
      <c r="BY44" s="576">
        <v>0</v>
      </c>
      <c r="BZ44" s="532">
        <f>IF(BY44&lt;2700,BY44*0.0097,IF(BY44&lt;3200,BY44*0.01095,IF(BY44&lt;3700,BY44*0.0122,IF(BY44&gt;3699,BY44*0.01345,""))))</f>
        <v>0</v>
      </c>
      <c r="CA44" s="619">
        <v>18</v>
      </c>
      <c r="CB44" s="578">
        <v>0</v>
      </c>
      <c r="CC44" s="532">
        <f>IF(CB44&lt;2700,CB44*0.0097,IF(CB44&lt;3200,CB44*0.01095,IF(CB44&lt;3700,CB44*0.0122,IF(CB44&gt;3699,CB44*0.01345,""))))</f>
        <v>0</v>
      </c>
      <c r="CD44" s="532">
        <v>10</v>
      </c>
      <c r="CE44" s="576">
        <v>3462.7537688442217</v>
      </c>
      <c r="CF44" s="532">
        <f>IF(CE44&lt;2700,CE44*0.008,IF(CE44&lt;3200,CE44*0.0097,IF(CE44&lt;3700,CE44*0.01095,IF(CE44&gt;3699,CE44*0.0122,""))))</f>
        <v>37.917153768844223</v>
      </c>
      <c r="CG44" s="532"/>
      <c r="CH44" s="578">
        <v>0</v>
      </c>
      <c r="CI44" s="532">
        <f>IF(CH44&lt;2700,CH44*0.0097,IF(CH44&lt;3200,CH44*0.01095,IF(CH44&lt;3700,CH44*0.0122,IF(CH44&gt;3699,CH44*0.01345,""))))</f>
        <v>0</v>
      </c>
      <c r="CJ44" s="532">
        <v>18</v>
      </c>
      <c r="CK44" s="578">
        <v>0</v>
      </c>
      <c r="CL44" s="532">
        <f>IF(CK44&lt;2700,CK44*0.0097,IF(CK44&lt;3200,CK44*0.01095,IF(CK44&lt;3700,CK44*0.0122,IF(CK44&gt;3699,CK44*0.01345,""))))</f>
        <v>0</v>
      </c>
      <c r="CM44" s="532"/>
      <c r="CN44" s="578">
        <v>0</v>
      </c>
      <c r="CO44" s="532">
        <f>IF(CN44&lt;2700,CN44*0.0097,IF(CN44&lt;3200,CN44*0.01095,IF(CN44&lt;3700,CN44*0.0122,IF(CN44&gt;3699,CN44*0.01345,""))))</f>
        <v>0</v>
      </c>
      <c r="CP44" s="532"/>
      <c r="CQ44" s="578">
        <v>0</v>
      </c>
      <c r="CR44" s="532">
        <f>IF(CQ44&lt;2700,CQ44*0.0097,IF(CQ44&lt;3200,CQ44*0.01095,IF(CQ44&lt;3700,CQ44*0.0122,IF(CQ44&gt;3699,CQ44*0.01345,""))))</f>
        <v>0</v>
      </c>
      <c r="CS44" s="532"/>
      <c r="CT44" s="1148">
        <f t="shared" ref="CT44:CU64" si="77">BG44+BJ44+BM44+BP44+BS44+BV44+BY44+CB44+CH44+CK44+CN44+CQ44+CE44</f>
        <v>12771.376884422112</v>
      </c>
      <c r="CU44" s="623">
        <f t="shared" si="77"/>
        <v>132.28356180904524</v>
      </c>
      <c r="CV44" s="624">
        <f t="shared" si="31"/>
        <v>94</v>
      </c>
      <c r="CW44" s="586"/>
      <c r="CX44" s="1149">
        <f t="shared" si="32"/>
        <v>226.28356180904524</v>
      </c>
      <c r="CY44" s="1150">
        <f t="shared" si="71"/>
        <v>45758.713567839201</v>
      </c>
      <c r="CZ44" s="1151">
        <f t="shared" si="71"/>
        <v>452.1209005025126</v>
      </c>
      <c r="DA44" s="1152">
        <f t="shared" si="71"/>
        <v>108</v>
      </c>
      <c r="DB44" s="1153">
        <f t="shared" si="34"/>
        <v>560.12090050251254</v>
      </c>
      <c r="DC44" s="920" t="s">
        <v>740</v>
      </c>
      <c r="DD44" s="570"/>
      <c r="DE44" s="1158"/>
      <c r="DF44" s="1026"/>
      <c r="DG44" s="570"/>
      <c r="DH44" s="570"/>
      <c r="DI44" s="570"/>
      <c r="DJ44" s="570"/>
      <c r="DK44" s="570"/>
      <c r="DL44" s="570"/>
      <c r="DM44" s="570"/>
      <c r="DN44" s="570"/>
      <c r="DO44" s="570"/>
      <c r="DP44" s="570"/>
      <c r="DQ44" s="570"/>
      <c r="DR44" s="570"/>
      <c r="DS44" s="570"/>
      <c r="DT44" s="570"/>
      <c r="DU44" s="570"/>
      <c r="DV44" s="570"/>
      <c r="DW44" s="570"/>
      <c r="DX44" s="570"/>
      <c r="DY44" s="570"/>
      <c r="DZ44" s="570"/>
      <c r="EA44" s="570"/>
      <c r="EB44" s="570"/>
      <c r="EC44" s="570"/>
      <c r="ED44" s="570"/>
      <c r="EE44" s="570"/>
      <c r="EF44" s="570"/>
      <c r="EG44" s="570"/>
      <c r="EH44" s="570"/>
      <c r="EI44" s="570"/>
      <c r="EJ44" s="570"/>
      <c r="EK44" s="570"/>
      <c r="EL44" s="570"/>
      <c r="EM44" s="570"/>
      <c r="EN44" s="570"/>
      <c r="EO44" s="570"/>
      <c r="EP44" s="570"/>
      <c r="EQ44" s="570"/>
      <c r="ER44" s="570"/>
    </row>
    <row r="45" spans="1:148" s="571" customFormat="1" ht="15.75" customHeight="1" x14ac:dyDescent="0.25">
      <c r="A45" s="1140">
        <f t="shared" si="74"/>
        <v>39</v>
      </c>
      <c r="B45" s="972" t="s">
        <v>124</v>
      </c>
      <c r="C45" s="974" t="s">
        <v>756</v>
      </c>
      <c r="D45" s="975"/>
      <c r="E45" s="1156"/>
      <c r="F45" s="576">
        <v>0</v>
      </c>
      <c r="G45" s="532">
        <v>0</v>
      </c>
      <c r="H45" s="532">
        <v>20</v>
      </c>
      <c r="I45" s="576">
        <v>0</v>
      </c>
      <c r="J45" s="532">
        <v>0</v>
      </c>
      <c r="K45" s="532">
        <v>20</v>
      </c>
      <c r="L45" s="576">
        <v>0</v>
      </c>
      <c r="M45" s="532">
        <v>0</v>
      </c>
      <c r="N45" s="532">
        <v>20</v>
      </c>
      <c r="O45" s="578">
        <v>0</v>
      </c>
      <c r="P45" s="532">
        <v>0</v>
      </c>
      <c r="Q45" s="532">
        <v>15</v>
      </c>
      <c r="R45" s="576">
        <v>0</v>
      </c>
      <c r="S45" s="532">
        <v>0</v>
      </c>
      <c r="T45" s="532">
        <v>20</v>
      </c>
      <c r="U45" s="576">
        <v>0</v>
      </c>
      <c r="V45" s="532">
        <v>0</v>
      </c>
      <c r="W45" s="532">
        <v>20</v>
      </c>
      <c r="X45" s="576">
        <v>0</v>
      </c>
      <c r="Y45" s="532">
        <v>0</v>
      </c>
      <c r="Z45" s="532">
        <v>20</v>
      </c>
      <c r="AA45" s="576">
        <v>0</v>
      </c>
      <c r="AB45" s="532">
        <v>0</v>
      </c>
      <c r="AC45" s="532">
        <v>20</v>
      </c>
      <c r="AD45" s="576">
        <v>2742.51256281407</v>
      </c>
      <c r="AE45" s="598">
        <f>IF(AD45&lt;2700,AD45*0.0085,IF(AD45&lt;3200,AD45*0.01,IF(AD45&lt;3700,AD45*0.0105,IF(AD45&gt;3699,AD45*0.01175,""))))</f>
        <v>27.425125628140702</v>
      </c>
      <c r="AF45" s="532">
        <v>15</v>
      </c>
      <c r="AG45" s="576">
        <v>0</v>
      </c>
      <c r="AH45" s="532">
        <v>0</v>
      </c>
      <c r="AI45" s="532"/>
      <c r="AJ45" s="576">
        <v>3043.5376884422112</v>
      </c>
      <c r="AK45" s="598">
        <f>IF(AJ45&lt;2700,AJ45*0.0085,IF(AJ45&lt;3200,AJ45*0.01,IF(AJ45&lt;3700,AJ45*0.0105,IF(AJ45&gt;3699,AJ45*0.01175,""))))</f>
        <v>30.435376884422112</v>
      </c>
      <c r="AL45" s="532"/>
      <c r="AM45" s="576">
        <v>0</v>
      </c>
      <c r="AN45" s="577">
        <f>IF(AM45&lt;2700,AM45*0.01,IF(AM45&lt;3200,AM45*0.0105,IF(AM45&lt;3700,AM45*0.01175,IF(AM45&gt;3699,AM45*0.013,""))))</f>
        <v>0</v>
      </c>
      <c r="AO45" s="532">
        <v>20</v>
      </c>
      <c r="AP45" s="578">
        <v>0</v>
      </c>
      <c r="AQ45" s="577">
        <f>IF(AP45&lt;2700,AP45*0.0105,IF(AP45&lt;3200,AP45*0.01175,IF(AP45&lt;3700,AP45*0.013,IF(AP45&gt;3699,AP45*0.01425,""))))</f>
        <v>0</v>
      </c>
      <c r="AR45" s="532"/>
      <c r="AS45" s="576">
        <v>0</v>
      </c>
      <c r="AT45" s="577">
        <f>IF(AS45&lt;2700,AS45*0.0105,IF(AS45&lt;3200,AS45*0.01175,IF(AS45&lt;3700,AS45*0.013,IF(AS45&gt;3699,AS45*0.01425,""))))</f>
        <v>0</v>
      </c>
      <c r="AU45" s="532">
        <v>20</v>
      </c>
      <c r="AV45" s="578"/>
      <c r="AW45" s="532">
        <v>0</v>
      </c>
      <c r="AX45" s="532"/>
      <c r="AY45" s="578"/>
      <c r="AZ45" s="532">
        <v>0</v>
      </c>
      <c r="BA45" s="532"/>
      <c r="BB45" s="581">
        <f t="shared" si="70"/>
        <v>5786.0502512562816</v>
      </c>
      <c r="BC45" s="582">
        <f t="shared" si="70"/>
        <v>57.860502512562817</v>
      </c>
      <c r="BD45" s="727">
        <f t="shared" si="70"/>
        <v>210</v>
      </c>
      <c r="BE45" s="586"/>
      <c r="BF45" s="637">
        <f t="shared" si="17"/>
        <v>267.86050251256279</v>
      </c>
      <c r="BG45" s="578">
        <v>0</v>
      </c>
      <c r="BH45" s="577">
        <f>IF(BG45&lt;2700,BG45*0.0105,IF(BG45&lt;3200,BG45*0.01175,IF(BG45&lt;3700,BG45*0.013,IF(BG45&gt;3699,BG45*0.01425,""))))</f>
        <v>0</v>
      </c>
      <c r="BI45" s="532">
        <v>18</v>
      </c>
      <c r="BJ45" s="578">
        <v>0</v>
      </c>
      <c r="BK45" s="577">
        <f>IF(BJ45&lt;2700,BJ45*0.0105,IF(BJ45&lt;3200,BJ45*0.01175,IF(BJ45&lt;3700,BJ45*0.013,IF(BJ45&gt;3699,BJ45*0.01425,""))))</f>
        <v>0</v>
      </c>
      <c r="BL45" s="532">
        <v>0</v>
      </c>
      <c r="BM45" s="576">
        <v>0</v>
      </c>
      <c r="BN45" s="577">
        <f>IF(BM45&lt;2700,BM45*0.0105,IF(BM45&lt;3200,BM45*0.01175,IF(BM45&lt;3700,BM45*0.013,IF(BM45&gt;3699,BM45*0.01425,""))))</f>
        <v>0</v>
      </c>
      <c r="BO45" s="532">
        <v>0</v>
      </c>
      <c r="BP45" s="576">
        <v>0</v>
      </c>
      <c r="BQ45" s="577">
        <f>IF(BP45&lt;2700,BP45*0.0105,IF(BP45&lt;3200,BP45*0.01175,IF(BP45&lt;3700,BP45*0.013,IF(BP45&gt;3699,BP45*0.01425,""))))</f>
        <v>0</v>
      </c>
      <c r="BR45" s="532">
        <v>0</v>
      </c>
      <c r="BS45" s="576">
        <v>0</v>
      </c>
      <c r="BT45" s="577">
        <f>IF(BS45&lt;2700,BS45*0.0105,IF(BS45&lt;3200,BS45*0.01175,IF(BS45&lt;3700,BS45*0.013,IF(BS45&gt;3699,BS45*0.01425,""))))</f>
        <v>0</v>
      </c>
      <c r="BU45" s="532">
        <v>18</v>
      </c>
      <c r="BV45" s="576">
        <v>0</v>
      </c>
      <c r="BW45" s="577">
        <f>IF(BV45&lt;2700,BV45*0.01,IF(BV45&lt;3200,BV45*0.0105,IF(BV45&lt;3700,BV45*0.01175,IF(BV45&gt;3699,BV45*0.013,""))))</f>
        <v>0</v>
      </c>
      <c r="BX45" s="532">
        <v>18</v>
      </c>
      <c r="BY45" s="576">
        <v>0</v>
      </c>
      <c r="BZ45" s="532">
        <v>0</v>
      </c>
      <c r="CA45" s="532">
        <v>18</v>
      </c>
      <c r="CB45" s="578">
        <v>0</v>
      </c>
      <c r="CC45" s="532">
        <v>0</v>
      </c>
      <c r="CD45" s="532">
        <v>0</v>
      </c>
      <c r="CE45" s="576">
        <v>2471.8793969849244</v>
      </c>
      <c r="CF45" s="577">
        <f>IF(CE45&lt;2700,CE45*0.01,IF(CE45&lt;3200,CE45*0.0105,IF(CE45&lt;3700,CE45*0.01175,IF(CE45&gt;3699,CE45*0.013,""))))</f>
        <v>24.718793969849244</v>
      </c>
      <c r="CG45" s="532"/>
      <c r="CH45" s="578">
        <v>0</v>
      </c>
      <c r="CI45" s="532">
        <v>0</v>
      </c>
      <c r="CJ45" s="532">
        <v>0</v>
      </c>
      <c r="CK45" s="578">
        <v>0</v>
      </c>
      <c r="CL45" s="532">
        <v>0</v>
      </c>
      <c r="CM45" s="532"/>
      <c r="CN45" s="578">
        <v>0</v>
      </c>
      <c r="CO45" s="532">
        <v>0</v>
      </c>
      <c r="CP45" s="532"/>
      <c r="CQ45" s="578">
        <v>0</v>
      </c>
      <c r="CR45" s="532">
        <v>0</v>
      </c>
      <c r="CS45" s="532"/>
      <c r="CT45" s="1148">
        <f t="shared" si="77"/>
        <v>2471.8793969849244</v>
      </c>
      <c r="CU45" s="623">
        <f t="shared" si="77"/>
        <v>24.718793969849244</v>
      </c>
      <c r="CV45" s="624">
        <f t="shared" si="31"/>
        <v>72</v>
      </c>
      <c r="CW45" s="586"/>
      <c r="CX45" s="1149">
        <f t="shared" si="32"/>
        <v>96.718793969849244</v>
      </c>
      <c r="CY45" s="1150">
        <f t="shared" si="71"/>
        <v>8257.9296482412065</v>
      </c>
      <c r="CZ45" s="1151">
        <f t="shared" si="71"/>
        <v>82.579296482412062</v>
      </c>
      <c r="DA45" s="1152">
        <f t="shared" si="71"/>
        <v>282</v>
      </c>
      <c r="DB45" s="1153">
        <f t="shared" si="34"/>
        <v>364.57929648241208</v>
      </c>
      <c r="DC45" s="920" t="s">
        <v>737</v>
      </c>
      <c r="DD45" s="570"/>
      <c r="DE45" s="570"/>
      <c r="DF45" s="570"/>
      <c r="DG45" s="570"/>
      <c r="DH45" s="570"/>
      <c r="DI45" s="570"/>
      <c r="DJ45" s="570"/>
      <c r="DK45" s="570"/>
      <c r="DL45" s="570"/>
      <c r="DM45" s="570"/>
      <c r="DN45" s="570"/>
      <c r="DO45" s="570"/>
      <c r="DP45" s="570"/>
      <c r="DQ45" s="570"/>
      <c r="DR45" s="570"/>
      <c r="DS45" s="570"/>
      <c r="DT45" s="570"/>
      <c r="DU45" s="570"/>
      <c r="DV45" s="570"/>
      <c r="DW45" s="570"/>
      <c r="DX45" s="570"/>
      <c r="DY45" s="570"/>
      <c r="DZ45" s="570"/>
      <c r="EA45" s="570"/>
      <c r="EB45" s="570"/>
      <c r="EC45" s="570"/>
      <c r="ED45" s="570"/>
      <c r="EE45" s="570"/>
      <c r="EF45" s="570"/>
      <c r="EG45" s="570"/>
      <c r="EH45" s="570"/>
      <c r="EI45" s="570"/>
      <c r="EJ45" s="570"/>
      <c r="EK45" s="570"/>
      <c r="EL45" s="570"/>
      <c r="EM45" s="570"/>
      <c r="EN45" s="570"/>
      <c r="EO45" s="570"/>
      <c r="EP45" s="570"/>
      <c r="EQ45" s="570"/>
      <c r="ER45" s="570"/>
    </row>
    <row r="46" spans="1:148" s="570" customFormat="1" ht="15.75" customHeight="1" x14ac:dyDescent="0.25">
      <c r="A46" s="1140">
        <f t="shared" si="74"/>
        <v>40</v>
      </c>
      <c r="B46" s="1159" t="s">
        <v>387</v>
      </c>
      <c r="C46" s="974" t="s">
        <v>756</v>
      </c>
      <c r="D46" s="975"/>
      <c r="E46" s="976"/>
      <c r="F46" s="578"/>
      <c r="G46" s="619"/>
      <c r="H46" s="619"/>
      <c r="I46" s="578"/>
      <c r="J46" s="619"/>
      <c r="K46" s="619"/>
      <c r="L46" s="578"/>
      <c r="M46" s="619"/>
      <c r="N46" s="619"/>
      <c r="O46" s="578"/>
      <c r="P46" s="619"/>
      <c r="Q46" s="619"/>
      <c r="R46" s="578">
        <v>0</v>
      </c>
      <c r="S46" s="619">
        <f>+R46*0.031425/4</f>
        <v>0</v>
      </c>
      <c r="T46" s="532">
        <v>20</v>
      </c>
      <c r="U46" s="578">
        <v>6435.3768844221113</v>
      </c>
      <c r="V46" s="619">
        <f>+U46*0.0321938/4</f>
        <v>51.794809085427147</v>
      </c>
      <c r="W46" s="619"/>
      <c r="X46" s="578">
        <v>3839.5175879396988</v>
      </c>
      <c r="Y46" s="619">
        <f>+X46*0.031425/4</f>
        <v>30.16421005025126</v>
      </c>
      <c r="Z46" s="619"/>
      <c r="AA46" s="578">
        <v>2616.1206030150756</v>
      </c>
      <c r="AB46" s="619">
        <f>+AA46*0.03053/4</f>
        <v>19.967540502512566</v>
      </c>
      <c r="AC46" s="619"/>
      <c r="AD46" s="578">
        <v>6173.9095477386936</v>
      </c>
      <c r="AE46" s="619">
        <f>+AD46*0.03193/4</f>
        <v>49.283232964824123</v>
      </c>
      <c r="AF46" s="619"/>
      <c r="AG46" s="578">
        <v>0</v>
      </c>
      <c r="AH46" s="619">
        <f>+AG46*0.0273835/3</f>
        <v>0</v>
      </c>
      <c r="AI46" s="619">
        <v>0</v>
      </c>
      <c r="AJ46" s="578">
        <v>4252.4623115577888</v>
      </c>
      <c r="AK46" s="619">
        <v>33.604551859296478</v>
      </c>
      <c r="AL46" s="619"/>
      <c r="AM46" s="578">
        <v>3052.2211055276389</v>
      </c>
      <c r="AN46" s="619">
        <f>+AM46*0.03093/4</f>
        <v>23.601299698492468</v>
      </c>
      <c r="AO46" s="619"/>
      <c r="AP46" s="578">
        <v>0</v>
      </c>
      <c r="AQ46" s="619">
        <f>+AP46*0.0273835/3</f>
        <v>0</v>
      </c>
      <c r="AR46" s="619">
        <v>20</v>
      </c>
      <c r="AS46" s="578">
        <v>4652.86432160804</v>
      </c>
      <c r="AT46" s="517">
        <f>IF(AS46&lt;2700,AS46*0.0075,IF(AS46&lt;3200,AS46*0.009,IF(AS46&lt;3700,AS46*0.0101,IF(AS46&gt;3699,AS46*0.01135,""))))</f>
        <v>52.810010050251257</v>
      </c>
      <c r="AU46" s="619"/>
      <c r="AV46" s="578"/>
      <c r="AW46" s="619">
        <f>+AV46*0.0273835/3</f>
        <v>0</v>
      </c>
      <c r="AX46" s="619"/>
      <c r="AY46" s="578"/>
      <c r="AZ46" s="619">
        <f>+AY46*0.0273835/3</f>
        <v>0</v>
      </c>
      <c r="BA46" s="619"/>
      <c r="BB46" s="1160">
        <f>+F46+I46+L46+O46+R46+U46+X46+AA46+AD46+AG46+AJ46+AM46+AP46+AS46+AV46+AY46</f>
        <v>31022.472361809043</v>
      </c>
      <c r="BC46" s="582">
        <f>+G46+J46+M46+P46+S46+V46+Y46+AB46+AE46+AH46+AK46+AN46+AQ46+AT46+AW46+AZ46</f>
        <v>261.22565421105531</v>
      </c>
      <c r="BD46" s="727">
        <f>+H46+K46+N46+Q46+T46+W46+Z46+AC46+AF46+AI46+AL46+AO46+AR46+AU46+AX46+BA46</f>
        <v>40</v>
      </c>
      <c r="BE46" s="586"/>
      <c r="BF46" s="637">
        <f>+BC46+BD46-BE46</f>
        <v>301.22565421105531</v>
      </c>
      <c r="BG46" s="578">
        <v>4341.708542713568</v>
      </c>
      <c r="BH46" s="619">
        <f>+BG46*0.031645/4</f>
        <v>34.348341708542712</v>
      </c>
      <c r="BI46" s="619"/>
      <c r="BJ46" s="578">
        <v>0</v>
      </c>
      <c r="BK46" s="619">
        <f>+BJ46*0.0273835/3</f>
        <v>0</v>
      </c>
      <c r="BL46" s="619">
        <v>0</v>
      </c>
      <c r="BM46" s="576">
        <v>2688.4824120603012</v>
      </c>
      <c r="BN46" s="532">
        <f>IF(BM46&lt;2700,BM46*0.008,IF(BM46&lt;3200,BM46*0.0097,IF(BM46&lt;3700,BM46*0.01095,IF(BM46&gt;3699,BM46*0.0122,""))))</f>
        <v>21.507859296482408</v>
      </c>
      <c r="BO46" s="619"/>
      <c r="BP46" s="576">
        <v>2289.0452261306532</v>
      </c>
      <c r="BQ46" s="532">
        <f>IF(BP46&lt;2700,BP46*0.008,IF(BP46&lt;3200,BP46*0.0097,IF(BP46&lt;3700,BP46*0.01095,IF(BP46&gt;3699,BP46*0.0122,""))))</f>
        <v>18.312361809045225</v>
      </c>
      <c r="BR46" s="619"/>
      <c r="BS46" s="576">
        <v>2610.3316582914572</v>
      </c>
      <c r="BT46" s="532">
        <f>IF(BS46&lt;2700,BS46*0.0101,IF(BS46&lt;3200,BS46*0.01135,IF(BS46&lt;3700,BS46*0.0126,IF(BS46&gt;3699,BS46*0.01385,""))))</f>
        <v>26.364349748743717</v>
      </c>
      <c r="BU46" s="619"/>
      <c r="BV46" s="576">
        <v>2656.1608040201008</v>
      </c>
      <c r="BW46" s="532">
        <f>IF(BV46&lt;2700,BV46*0.009,IF(BV46&lt;3200,BV46*0.0101,IF(BV46&lt;3700,BV46*0.01135,IF(BV46&gt;3699,BV46*0.0126,""))))</f>
        <v>23.905447236180905</v>
      </c>
      <c r="BX46" s="619"/>
      <c r="BY46" s="576">
        <v>1495.9597989949748</v>
      </c>
      <c r="BZ46" s="532">
        <f>IF(BY46&lt;2700,BY46*0.009,IF(BY46&lt;3200,BY46*0.0101,IF(BY46&lt;3700,BY46*0.01135,IF(BY46&gt;3699,BY46*0.0126,""))))</f>
        <v>13.463638190954772</v>
      </c>
      <c r="CA46" s="619"/>
      <c r="CB46" s="578">
        <v>0</v>
      </c>
      <c r="CC46" s="619">
        <f>+CB46*0.0273835/3</f>
        <v>0</v>
      </c>
      <c r="CD46" s="619">
        <v>10</v>
      </c>
      <c r="CE46" s="578">
        <v>3770.5326633165828</v>
      </c>
      <c r="CF46" s="532">
        <f>IF(CE46&lt;2700,CE46*0.009,IF(CE46&lt;3200,CE46*0.0101,IF(CE46&lt;3700,CE46*0.01135,IF(CE46&gt;3699,CE46*0.0126,""))))</f>
        <v>47.508711557788942</v>
      </c>
      <c r="CG46" s="619"/>
      <c r="CH46" s="578">
        <v>0</v>
      </c>
      <c r="CI46" s="619">
        <f>+CH46*0.0273835/3</f>
        <v>0</v>
      </c>
      <c r="CJ46" s="619">
        <v>18</v>
      </c>
      <c r="CK46" s="578">
        <v>0</v>
      </c>
      <c r="CL46" s="619">
        <f>+CK46*0.0273835/3</f>
        <v>0</v>
      </c>
      <c r="CM46" s="619">
        <v>0</v>
      </c>
      <c r="CN46" s="578">
        <v>0</v>
      </c>
      <c r="CO46" s="619">
        <f>+CN46*0.0273835/3</f>
        <v>0</v>
      </c>
      <c r="CP46" s="619"/>
      <c r="CQ46" s="578">
        <v>0</v>
      </c>
      <c r="CR46" s="619">
        <f>+CQ46*0.0273835/3</f>
        <v>0</v>
      </c>
      <c r="CS46" s="619"/>
      <c r="CT46" s="1148">
        <f>BG46+BJ46+BM46+BP46+BS46+BV46+BY46+CB46+CH46+CK46+CN46+CQ46+CE46</f>
        <v>19852.221105527638</v>
      </c>
      <c r="CU46" s="623">
        <f>BH46+BK46+BN46+BQ46+BT46+BW46+BZ46+CC46+CI46+CL46+CO46+CR46+CF46</f>
        <v>185.41070954773869</v>
      </c>
      <c r="CV46" s="624">
        <f>+BI46+BL46+BO46+BR46+BU46+BX46+CA46+CD46+CG46+CJ46+CM46+CP46+CS46</f>
        <v>28</v>
      </c>
      <c r="CW46" s="586"/>
      <c r="CX46" s="1149">
        <f>+CU46+CV46-CW46</f>
        <v>213.41070954773869</v>
      </c>
      <c r="CY46" s="1150">
        <f>+BB46+CT46</f>
        <v>50874.693467336678</v>
      </c>
      <c r="CZ46" s="1151">
        <f>+BC46+CU46</f>
        <v>446.636363758794</v>
      </c>
      <c r="DA46" s="1152">
        <f>+BD46+CV46</f>
        <v>68</v>
      </c>
      <c r="DB46" s="1153">
        <f>+CZ46+DA46</f>
        <v>514.636363758794</v>
      </c>
      <c r="DC46" s="920" t="s">
        <v>740</v>
      </c>
    </row>
    <row r="47" spans="1:148" s="571" customFormat="1" ht="15.75" customHeight="1" x14ac:dyDescent="0.25">
      <c r="A47" s="1140">
        <f t="shared" si="74"/>
        <v>41</v>
      </c>
      <c r="B47" s="1161" t="s">
        <v>200</v>
      </c>
      <c r="C47" s="921" t="s">
        <v>791</v>
      </c>
      <c r="D47" s="975" t="s">
        <v>792</v>
      </c>
      <c r="E47" s="976" t="s">
        <v>793</v>
      </c>
      <c r="F47" s="576">
        <v>0</v>
      </c>
      <c r="G47" s="532">
        <v>0</v>
      </c>
      <c r="H47" s="532">
        <v>20</v>
      </c>
      <c r="I47" s="576">
        <v>0</v>
      </c>
      <c r="J47" s="532">
        <v>0</v>
      </c>
      <c r="K47" s="532">
        <v>25</v>
      </c>
      <c r="L47" s="576">
        <v>0</v>
      </c>
      <c r="M47" s="532">
        <v>0</v>
      </c>
      <c r="N47" s="532">
        <v>40</v>
      </c>
      <c r="O47" s="578"/>
      <c r="P47" s="532">
        <v>0</v>
      </c>
      <c r="Q47" s="532"/>
      <c r="R47" s="578">
        <v>0</v>
      </c>
      <c r="S47" s="532">
        <v>0</v>
      </c>
      <c r="T47" s="532">
        <v>20</v>
      </c>
      <c r="U47" s="578">
        <v>0</v>
      </c>
      <c r="V47" s="532">
        <v>0</v>
      </c>
      <c r="W47" s="532">
        <v>20</v>
      </c>
      <c r="X47" s="578">
        <v>0</v>
      </c>
      <c r="Y47" s="532">
        <v>0</v>
      </c>
      <c r="Z47" s="619">
        <v>18</v>
      </c>
      <c r="AA47" s="578">
        <v>0</v>
      </c>
      <c r="AB47" s="532">
        <v>0</v>
      </c>
      <c r="AC47" s="532">
        <v>20</v>
      </c>
      <c r="AD47" s="578">
        <v>0</v>
      </c>
      <c r="AE47" s="532">
        <v>0</v>
      </c>
      <c r="AF47" s="532">
        <v>40</v>
      </c>
      <c r="AG47" s="578">
        <v>0</v>
      </c>
      <c r="AH47" s="532">
        <v>0</v>
      </c>
      <c r="AI47" s="532">
        <v>0</v>
      </c>
      <c r="AJ47" s="578">
        <v>0</v>
      </c>
      <c r="AK47" s="532">
        <v>0</v>
      </c>
      <c r="AL47" s="532">
        <v>0</v>
      </c>
      <c r="AM47" s="578">
        <v>0</v>
      </c>
      <c r="AN47" s="532">
        <v>0</v>
      </c>
      <c r="AO47" s="532">
        <v>20</v>
      </c>
      <c r="AP47" s="578">
        <v>0</v>
      </c>
      <c r="AQ47" s="532">
        <v>0</v>
      </c>
      <c r="AR47" s="532">
        <v>25</v>
      </c>
      <c r="AS47" s="578">
        <v>0</v>
      </c>
      <c r="AT47" s="532">
        <v>0</v>
      </c>
      <c r="AU47" s="532">
        <v>25</v>
      </c>
      <c r="AV47" s="578"/>
      <c r="AW47" s="532">
        <v>0</v>
      </c>
      <c r="AX47" s="532"/>
      <c r="AY47" s="578"/>
      <c r="AZ47" s="532">
        <v>0</v>
      </c>
      <c r="BA47" s="532"/>
      <c r="BB47" s="581">
        <f t="shared" si="70"/>
        <v>0</v>
      </c>
      <c r="BC47" s="582">
        <f t="shared" si="70"/>
        <v>0</v>
      </c>
      <c r="BD47" s="727">
        <f t="shared" si="70"/>
        <v>273</v>
      </c>
      <c r="BE47" s="586"/>
      <c r="BF47" s="637">
        <f t="shared" si="17"/>
        <v>273</v>
      </c>
      <c r="BG47" s="578">
        <v>0</v>
      </c>
      <c r="BH47" s="532">
        <v>0</v>
      </c>
      <c r="BI47" s="532">
        <v>20</v>
      </c>
      <c r="BJ47" s="578">
        <v>0</v>
      </c>
      <c r="BK47" s="532">
        <v>0</v>
      </c>
      <c r="BL47" s="532">
        <v>0</v>
      </c>
      <c r="BM47" s="576">
        <v>0</v>
      </c>
      <c r="BN47" s="532">
        <v>0</v>
      </c>
      <c r="BO47" s="532">
        <v>20</v>
      </c>
      <c r="BP47" s="576">
        <v>0</v>
      </c>
      <c r="BQ47" s="532">
        <v>0</v>
      </c>
      <c r="BR47" s="532">
        <v>20</v>
      </c>
      <c r="BS47" s="576">
        <v>0</v>
      </c>
      <c r="BT47" s="532">
        <v>0</v>
      </c>
      <c r="BU47" s="532">
        <v>20</v>
      </c>
      <c r="BV47" s="576">
        <v>0</v>
      </c>
      <c r="BW47" s="532">
        <v>0</v>
      </c>
      <c r="BX47" s="532">
        <v>20</v>
      </c>
      <c r="BY47" s="576">
        <v>0</v>
      </c>
      <c r="BZ47" s="532">
        <v>0</v>
      </c>
      <c r="CA47" s="532">
        <v>20</v>
      </c>
      <c r="CB47" s="578">
        <v>0</v>
      </c>
      <c r="CC47" s="532">
        <v>0</v>
      </c>
      <c r="CD47" s="532">
        <v>0</v>
      </c>
      <c r="CE47" s="578">
        <v>0</v>
      </c>
      <c r="CF47" s="532">
        <v>0</v>
      </c>
      <c r="CG47" s="532">
        <v>20</v>
      </c>
      <c r="CH47" s="578">
        <v>0</v>
      </c>
      <c r="CI47" s="532">
        <v>0</v>
      </c>
      <c r="CJ47" s="532"/>
      <c r="CK47" s="578">
        <v>0</v>
      </c>
      <c r="CL47" s="532">
        <v>0</v>
      </c>
      <c r="CM47" s="532"/>
      <c r="CN47" s="578">
        <v>0</v>
      </c>
      <c r="CO47" s="532">
        <v>0</v>
      </c>
      <c r="CP47" s="532"/>
      <c r="CQ47" s="578">
        <v>0</v>
      </c>
      <c r="CR47" s="532">
        <v>0</v>
      </c>
      <c r="CS47" s="532"/>
      <c r="CT47" s="1148">
        <f t="shared" si="77"/>
        <v>0</v>
      </c>
      <c r="CU47" s="623">
        <f t="shared" si="77"/>
        <v>0</v>
      </c>
      <c r="CV47" s="624">
        <f t="shared" si="31"/>
        <v>140</v>
      </c>
      <c r="CW47" s="586"/>
      <c r="CX47" s="1149">
        <f t="shared" si="32"/>
        <v>140</v>
      </c>
      <c r="CY47" s="1150">
        <f t="shared" si="71"/>
        <v>0</v>
      </c>
      <c r="CZ47" s="1151">
        <f t="shared" si="71"/>
        <v>0</v>
      </c>
      <c r="DA47" s="1152">
        <f t="shared" si="71"/>
        <v>413</v>
      </c>
      <c r="DB47" s="1153">
        <f t="shared" si="34"/>
        <v>413</v>
      </c>
      <c r="DC47" s="920" t="s">
        <v>794</v>
      </c>
      <c r="DD47" s="570"/>
      <c r="DE47" s="570"/>
      <c r="DF47" s="570"/>
      <c r="DG47" s="570"/>
      <c r="DH47" s="570"/>
      <c r="DI47" s="570"/>
      <c r="DJ47" s="570"/>
      <c r="DK47" s="570"/>
      <c r="DL47" s="570"/>
      <c r="DM47" s="570"/>
      <c r="DN47" s="570"/>
      <c r="DO47" s="570"/>
      <c r="DP47" s="570"/>
      <c r="DQ47" s="570"/>
      <c r="DR47" s="570"/>
      <c r="DS47" s="570"/>
      <c r="DT47" s="570"/>
      <c r="DU47" s="570"/>
      <c r="DV47" s="570"/>
      <c r="DW47" s="570"/>
      <c r="DX47" s="570"/>
      <c r="DY47" s="570"/>
      <c r="DZ47" s="570"/>
      <c r="EA47" s="570"/>
      <c r="EB47" s="570"/>
      <c r="EC47" s="570"/>
      <c r="ED47" s="570"/>
      <c r="EE47" s="570"/>
      <c r="EF47" s="570"/>
      <c r="EG47" s="570"/>
      <c r="EH47" s="570"/>
      <c r="EI47" s="570"/>
      <c r="EJ47" s="570"/>
      <c r="EK47" s="570"/>
      <c r="EL47" s="570"/>
      <c r="EM47" s="570"/>
      <c r="EN47" s="570"/>
      <c r="EO47" s="570"/>
      <c r="EP47" s="570"/>
      <c r="EQ47" s="570"/>
      <c r="ER47" s="570"/>
    </row>
    <row r="48" spans="1:148" s="571" customFormat="1" ht="15.75" customHeight="1" x14ac:dyDescent="0.25">
      <c r="A48" s="1140">
        <f t="shared" si="74"/>
        <v>42</v>
      </c>
      <c r="B48" s="972" t="s">
        <v>118</v>
      </c>
      <c r="C48" s="974" t="s">
        <v>756</v>
      </c>
      <c r="D48" s="975" t="s">
        <v>795</v>
      </c>
      <c r="E48" s="976" t="s">
        <v>796</v>
      </c>
      <c r="F48" s="576">
        <v>0</v>
      </c>
      <c r="G48" s="532">
        <f>IF(F48&lt;2700,F48*0.0101,IF(F48&lt;3200,F48*0.01135,IF(F48&lt;3700,F48*0.0126,IF(F48&gt;3699,F48*0.01385,""))))</f>
        <v>0</v>
      </c>
      <c r="H48" s="619">
        <v>20</v>
      </c>
      <c r="I48" s="576">
        <v>1612.7035175879398</v>
      </c>
      <c r="J48" s="517">
        <f>IF(I48&lt;2700,I48*0.0075,IF(I48&lt;3200,I48*0.009,IF(I48&lt;3700,I48*0.0101,IF(I48&gt;3699,I48*0.01135,""))))</f>
        <v>12.095276381909548</v>
      </c>
      <c r="K48" s="619">
        <f>30-J48</f>
        <v>17.904723618090451</v>
      </c>
      <c r="L48" s="576">
        <v>0</v>
      </c>
      <c r="M48" s="532">
        <f>IF(L48&lt;2700,L48*0.0101,IF(L48&lt;3200,L48*0.01135,IF(L48&lt;3700,L48*0.0126,IF(L48&gt;3699,L48*0.01385,""))))</f>
        <v>0</v>
      </c>
      <c r="N48" s="619">
        <v>20</v>
      </c>
      <c r="O48" s="578"/>
      <c r="P48" s="532">
        <f>IF(O48&lt;2700,O48*0.0101,IF(O48&lt;3200,O48*0.01135,IF(O48&lt;3700,O48*0.0126,IF(O48&gt;3699,O48*0.01385,""))))</f>
        <v>0</v>
      </c>
      <c r="Q48" s="619"/>
      <c r="R48" s="576">
        <v>0</v>
      </c>
      <c r="S48" s="532">
        <f>IF(R48&lt;2700,R48*0.0101,IF(R48&lt;3200,R48*0.01135,IF(R48&lt;3700,R48*0.0126,IF(R48&gt;3699,R48*0.01385,""))))</f>
        <v>0</v>
      </c>
      <c r="T48" s="619">
        <v>18</v>
      </c>
      <c r="U48" s="576">
        <v>0</v>
      </c>
      <c r="V48" s="532">
        <f>IF(U48&lt;2700,U48*0.0101,IF(U48&lt;3200,U48*0.01135,IF(U48&lt;3700,U48*0.0126,IF(U48&gt;3699,U48*0.01385,""))))</f>
        <v>0</v>
      </c>
      <c r="W48" s="619">
        <v>18</v>
      </c>
      <c r="X48" s="576">
        <v>0</v>
      </c>
      <c r="Y48" s="532">
        <f>IF(X48&lt;2700,X48*0.0101,IF(X48&lt;3200,X48*0.01135,IF(X48&lt;3700,X48*0.0126,IF(X48&gt;3699,X48*0.01385,""))))</f>
        <v>0</v>
      </c>
      <c r="Z48" s="619">
        <v>18</v>
      </c>
      <c r="AA48" s="576">
        <v>0</v>
      </c>
      <c r="AB48" s="532">
        <f>IF(AA48&lt;2700,AA48*0.0101,IF(AA48&lt;3200,AA48*0.01135,IF(AA48&lt;3700,AA48*0.0126,IF(AA48&gt;3699,AA48*0.01385,""))))</f>
        <v>0</v>
      </c>
      <c r="AC48" s="619">
        <v>18</v>
      </c>
      <c r="AD48" s="576">
        <v>0</v>
      </c>
      <c r="AE48" s="532">
        <f>IF(AD48&lt;2700,AD48*0.009,IF(AD48&lt;3200,AD48*0.0101,IF(AD48&lt;3700,AD48*0.01135,IF(AD48&gt;3699,AD48*0.0126,""))))</f>
        <v>0</v>
      </c>
      <c r="AF48" s="619">
        <v>18</v>
      </c>
      <c r="AG48" s="576">
        <v>0</v>
      </c>
      <c r="AH48" s="532">
        <f>IF(AG48&lt;2700,AG48*0.0101,IF(AG48&lt;3200,AG48*0.01135,IF(AG48&lt;3700,AG48*0.0126,IF(AG48&gt;3699,AG48*0.01385,""))))</f>
        <v>0</v>
      </c>
      <c r="AI48" s="619">
        <v>18</v>
      </c>
      <c r="AJ48" s="576">
        <v>0</v>
      </c>
      <c r="AK48" s="532">
        <f>IF(AJ48&lt;2700,AJ48*0.009,IF(AJ48&lt;3200,AJ48*0.0101,IF(AJ48&lt;3700,AJ48*0.01135,IF(AJ48&gt;3699,AJ48*0.0126,""))))</f>
        <v>0</v>
      </c>
      <c r="AL48" s="619">
        <v>18</v>
      </c>
      <c r="AM48" s="576">
        <v>0</v>
      </c>
      <c r="AN48" s="532">
        <f>IF(AM48&lt;2700,AM48*0.009,IF(AM48&lt;3200,AM48*0.0101,IF(AM48&lt;3700,AM48*0.01135,IF(AM48&gt;3699,AM48*0.0126,""))))</f>
        <v>0</v>
      </c>
      <c r="AO48" s="619">
        <v>18</v>
      </c>
      <c r="AP48" s="576">
        <v>0</v>
      </c>
      <c r="AQ48" s="532">
        <f>IF(AP48&lt;2700,AP48*0.0101,IF(AP48&lt;3200,AP48*0.01135,IF(AP48&lt;3700,AP48*0.0126,IF(AP48&gt;3699,AP48*0.01385,""))))</f>
        <v>0</v>
      </c>
      <c r="AR48" s="577">
        <v>20</v>
      </c>
      <c r="AS48" s="576">
        <v>0</v>
      </c>
      <c r="AT48" s="532">
        <f>IF(AS48&lt;2700,AS48*0.0101,IF(AS48&lt;3200,AS48*0.01135,IF(AS48&lt;3700,AS48*0.0126,IF(AS48&gt;3699,AS48*0.01385,""))))</f>
        <v>0</v>
      </c>
      <c r="AU48" s="619">
        <v>20</v>
      </c>
      <c r="AV48" s="578"/>
      <c r="AW48" s="532">
        <f>IF(AV48&lt;2700,AV48*0.0101,IF(AV48&lt;3200,AV48*0.01135,IF(AV48&lt;3700,AV48*0.0126,IF(AV48&gt;3699,AV48*0.01385,""))))</f>
        <v>0</v>
      </c>
      <c r="AX48" s="619"/>
      <c r="AY48" s="578"/>
      <c r="AZ48" s="532">
        <f>IF(AY48&lt;2700,AY48*0.0101,IF(AY48&lt;3200,AY48*0.01135,IF(AY48&lt;3700,AY48*0.0126,IF(AY48&gt;3699,AY48*0.01385,""))))</f>
        <v>0</v>
      </c>
      <c r="BA48" s="619"/>
      <c r="BB48" s="581">
        <f t="shared" si="70"/>
        <v>1612.7035175879398</v>
      </c>
      <c r="BC48" s="582">
        <f t="shared" si="70"/>
        <v>12.095276381909548</v>
      </c>
      <c r="BD48" s="727">
        <f t="shared" si="70"/>
        <v>241.90472361809046</v>
      </c>
      <c r="BE48" s="586"/>
      <c r="BF48" s="637">
        <f t="shared" si="17"/>
        <v>254</v>
      </c>
      <c r="BG48" s="578">
        <v>0</v>
      </c>
      <c r="BH48" s="532">
        <f>IF(BG48&lt;2700,BG48*0.0101,IF(BG48&lt;3200,BG48*0.01135,IF(BG48&lt;3700,BG48*0.0126,IF(BG48&gt;3699,BG48*0.01385,""))))</f>
        <v>0</v>
      </c>
      <c r="BI48" s="577">
        <v>18</v>
      </c>
      <c r="BJ48" s="578">
        <v>0</v>
      </c>
      <c r="BK48" s="532">
        <f>IF(BJ48&lt;2700,BJ48*0.0101,IF(BJ48&lt;3200,BJ48*0.01135,IF(BJ48&lt;3700,BJ48*0.0126,IF(BJ48&gt;3699,BJ48*0.01385,""))))</f>
        <v>0</v>
      </c>
      <c r="BL48" s="619">
        <v>18</v>
      </c>
      <c r="BM48" s="576">
        <v>3048.8442211055276</v>
      </c>
      <c r="BN48" s="532">
        <f>IF(BM48&lt;2700,BM48*0.009,IF(BM48&lt;3200,BM48*0.0101,IF(BM48&lt;3700,BM48*0.01135,IF(BM48&gt;3699,BM48*0.0126,""))))</f>
        <v>30.793326633165826</v>
      </c>
      <c r="BO48" s="619"/>
      <c r="BP48" s="576">
        <v>0</v>
      </c>
      <c r="BQ48" s="532">
        <f>IF(BP48&lt;2700,BP48*0.0101,IF(BP48&lt;3200,BP48*0.01135,IF(BP48&lt;3700,BP48*0.0126,IF(BP48&gt;3699,BP48*0.01385,""))))</f>
        <v>0</v>
      </c>
      <c r="BR48" s="619">
        <v>18</v>
      </c>
      <c r="BS48" s="576">
        <v>0</v>
      </c>
      <c r="BT48" s="532">
        <f>IF(BS48&lt;2700,BS48*0.0101,IF(BS48&lt;3200,BS48*0.01135,IF(BS48&lt;3700,BS48*0.0126,IF(BS48&gt;3699,BS48*0.01385,""))))</f>
        <v>0</v>
      </c>
      <c r="BU48" s="619">
        <v>18</v>
      </c>
      <c r="BV48" s="576">
        <v>2028.0603015075376</v>
      </c>
      <c r="BW48" s="532">
        <f>IF(BV48&lt;2700,BV48*0.009,IF(BV48&lt;3200,BV48*0.0101,IF(BV48&lt;3700,BV48*0.01135,IF(BV48&gt;3699,BV48*0.0126,""))))</f>
        <v>18.252542713567838</v>
      </c>
      <c r="BX48" s="619"/>
      <c r="BY48" s="576">
        <v>1378.251256281407</v>
      </c>
      <c r="BZ48" s="532">
        <f>IF(BY48&lt;2700,BY48*0.009,IF(BY48&lt;3200,BY48*0.0101,IF(BY48&lt;3700,BY48*0.01135,IF(BY48&gt;3699,BY48*0.0126,""))))</f>
        <v>12.404261306532662</v>
      </c>
      <c r="CA48" s="619"/>
      <c r="CB48" s="578">
        <v>0</v>
      </c>
      <c r="CC48" s="532">
        <f>IF(CB48&lt;2700,CB48*0.0101,IF(CB48&lt;3200,CB48*0.01135,IF(CB48&lt;3700,CB48*0.0126,IF(CB48&gt;3699,CB48*0.01385,""))))</f>
        <v>0</v>
      </c>
      <c r="CD48" s="619">
        <v>10</v>
      </c>
      <c r="CE48" s="576">
        <v>3387.497487437186</v>
      </c>
      <c r="CF48" s="532">
        <f>IF(CE48&lt;2700,CE48*0.009,IF(CE48&lt;3200,CE48*0.0101,IF(CE48&lt;3700,CE48*0.01135,IF(CE48&gt;3699,CE48*0.0126,""))))</f>
        <v>38.448096482412062</v>
      </c>
      <c r="CG48" s="619"/>
      <c r="CH48" s="578">
        <v>0</v>
      </c>
      <c r="CI48" s="532">
        <f>IF(CH48&lt;2700,CH48*0.0101,IF(CH48&lt;3200,CH48*0.01135,IF(CH48&lt;3700,CH48*0.0126,IF(CH48&gt;3699,CH48*0.01385,""))))</f>
        <v>0</v>
      </c>
      <c r="CJ48" s="619">
        <v>18</v>
      </c>
      <c r="CK48" s="578">
        <v>0</v>
      </c>
      <c r="CL48" s="532">
        <f>IF(CK48&lt;2700,CK48*0.0101,IF(CK48&lt;3200,CK48*0.01135,IF(CK48&lt;3700,CK48*0.0126,IF(CK48&gt;3699,CK48*0.01385,""))))</f>
        <v>0</v>
      </c>
      <c r="CM48" s="619"/>
      <c r="CN48" s="578">
        <v>0</v>
      </c>
      <c r="CO48" s="532">
        <f>IF(CN48&lt;2700,CN48*0.0101,IF(CN48&lt;3200,CN48*0.01135,IF(CN48&lt;3700,CN48*0.0126,IF(CN48&gt;3699,CN48*0.01385,""))))</f>
        <v>0</v>
      </c>
      <c r="CP48" s="619"/>
      <c r="CQ48" s="578">
        <v>0</v>
      </c>
      <c r="CR48" s="532">
        <f>IF(CQ48&lt;2700,CQ48*0.0101,IF(CQ48&lt;3200,CQ48*0.01135,IF(CQ48&lt;3700,CQ48*0.0126,IF(CQ48&gt;3699,CQ48*0.01385,""))))</f>
        <v>0</v>
      </c>
      <c r="CS48" s="619"/>
      <c r="CT48" s="1148">
        <f t="shared" si="77"/>
        <v>9842.6532663316593</v>
      </c>
      <c r="CU48" s="623">
        <f t="shared" si="77"/>
        <v>99.898227135678383</v>
      </c>
      <c r="CV48" s="624">
        <f t="shared" si="31"/>
        <v>100</v>
      </c>
      <c r="CW48" s="586"/>
      <c r="CX48" s="1149">
        <f t="shared" si="32"/>
        <v>199.89822713567838</v>
      </c>
      <c r="CY48" s="1150">
        <f t="shared" si="71"/>
        <v>11455.356783919598</v>
      </c>
      <c r="CZ48" s="1151">
        <f t="shared" si="71"/>
        <v>111.99350351758792</v>
      </c>
      <c r="DA48" s="1152">
        <f t="shared" si="71"/>
        <v>341.90472361809043</v>
      </c>
      <c r="DB48" s="1153">
        <f t="shared" si="34"/>
        <v>453.89822713567833</v>
      </c>
      <c r="DC48" s="920" t="s">
        <v>740</v>
      </c>
      <c r="DD48" s="570"/>
      <c r="DE48" s="570"/>
      <c r="DF48" s="570"/>
      <c r="DG48" s="570"/>
      <c r="DH48" s="570"/>
      <c r="DI48" s="570"/>
      <c r="DJ48" s="570"/>
      <c r="DK48" s="570"/>
      <c r="DL48" s="570"/>
      <c r="DM48" s="570"/>
      <c r="DN48" s="570"/>
      <c r="DO48" s="570"/>
      <c r="DP48" s="570"/>
      <c r="DQ48" s="570"/>
      <c r="DR48" s="570"/>
      <c r="DS48" s="570"/>
      <c r="DT48" s="570"/>
      <c r="DU48" s="570"/>
      <c r="DV48" s="570"/>
      <c r="DW48" s="570"/>
      <c r="DX48" s="570"/>
      <c r="DY48" s="570"/>
      <c r="DZ48" s="570"/>
      <c r="EA48" s="570"/>
      <c r="EB48" s="570"/>
      <c r="EC48" s="570"/>
      <c r="ED48" s="570"/>
      <c r="EE48" s="570"/>
      <c r="EF48" s="570"/>
      <c r="EG48" s="570"/>
      <c r="EH48" s="570"/>
      <c r="EI48" s="570"/>
      <c r="EJ48" s="570"/>
      <c r="EK48" s="570"/>
      <c r="EL48" s="570"/>
      <c r="EM48" s="570"/>
      <c r="EN48" s="570"/>
      <c r="EO48" s="570"/>
      <c r="EP48" s="570"/>
      <c r="EQ48" s="570"/>
      <c r="ER48" s="570"/>
    </row>
    <row r="49" spans="1:148" s="571" customFormat="1" ht="15.75" customHeight="1" x14ac:dyDescent="0.25">
      <c r="A49" s="1140">
        <f t="shared" si="74"/>
        <v>43</v>
      </c>
      <c r="B49" s="972" t="s">
        <v>130</v>
      </c>
      <c r="C49" s="974" t="s">
        <v>756</v>
      </c>
      <c r="D49" s="975" t="s">
        <v>797</v>
      </c>
      <c r="E49" s="976" t="s">
        <v>798</v>
      </c>
      <c r="F49" s="576">
        <v>3030.51256281407</v>
      </c>
      <c r="G49" s="517">
        <f>IF(F49&lt;2700,F49*0.0075,IF(F49&lt;3200,F49*0.009,IF(F49&lt;3700,F49*0.0101,IF(F49&gt;3699,F49*0.01135,""))))</f>
        <v>27.274613065326626</v>
      </c>
      <c r="H49" s="577"/>
      <c r="I49" s="576">
        <v>0</v>
      </c>
      <c r="J49" s="532">
        <f>IF(I49&lt;2700,I49*0.009,IF(I49&lt;3200,I49*0.0101,IF(I49&lt;3700,I49*0.01135,IF(I49&gt;3699,I49*0.0126,""))))</f>
        <v>0</v>
      </c>
      <c r="K49" s="577">
        <v>20</v>
      </c>
      <c r="L49" s="576">
        <v>1063.718592964824</v>
      </c>
      <c r="M49" s="517">
        <f>IF(L49&lt;2700,L49*0.0075,IF(L49&lt;3200,L49*0.009,IF(L49&lt;3700,L49*0.0101,IF(L49&gt;3699,L49*0.01135,""))))</f>
        <v>7.9778894472361799</v>
      </c>
      <c r="N49" s="577">
        <v>20</v>
      </c>
      <c r="O49" s="578"/>
      <c r="P49" s="532">
        <f>IF(O49&lt;2700,O49*0.0101,IF(O49&lt;3200,O49*0.01135,IF(O49&lt;3700,O49*0.0126,IF(O49&gt;3699,O49*0.01385,""))))</f>
        <v>0</v>
      </c>
      <c r="Q49" s="577"/>
      <c r="R49" s="576">
        <v>4235.577889447236</v>
      </c>
      <c r="S49" s="517">
        <f>IF(R49&lt;2700,R49*0.0075,IF(R49&lt;3200,R49*0.009,IF(R49&lt;3700,R49*0.0101,IF(R49&gt;3699,R49*0.01135,""))))</f>
        <v>48.073809045226135</v>
      </c>
      <c r="T49" s="577"/>
      <c r="U49" s="576">
        <v>2880</v>
      </c>
      <c r="V49" s="517">
        <f>IF(U49&lt;2700,U49*0.0075,IF(U49&lt;3200,U49*0.009,IF(U49&lt;3700,U49*0.0101,IF(U49&gt;3699,U49*0.01135,""))))</f>
        <v>25.919999999999998</v>
      </c>
      <c r="W49" s="577"/>
      <c r="X49" s="578">
        <v>2844.7839195979896</v>
      </c>
      <c r="Y49" s="517">
        <f>IF(X49&lt;2700,X49*0.0075,IF(X49&lt;3200,X49*0.009,IF(X49&lt;3700,X49*0.0101,IF(X49&gt;3699,X49*0.01135,""))))</f>
        <v>25.603055276381905</v>
      </c>
      <c r="Z49" s="577"/>
      <c r="AA49" s="578">
        <v>2501.788944723618</v>
      </c>
      <c r="AB49" s="517">
        <f>IF(AA49&lt;2700,AA49*0.0075,IF(AA49&lt;3200,AA49*0.009,IF(AA49&lt;3700,AA49*0.0101,IF(AA49&gt;3699,AA49*0.01135,""))))</f>
        <v>18.763417085427132</v>
      </c>
      <c r="AC49" s="577"/>
      <c r="AD49" s="576">
        <v>6204.3015075376898</v>
      </c>
      <c r="AE49" s="517">
        <f>IF(AD49&lt;2700,AD49*0.0075,IF(AD49&lt;3200,AD49*0.009,IF(AD49&lt;3700,AD49*0.0101,IF(AD49&gt;3699,AD49*0.01135,""))))</f>
        <v>70.418822110552782</v>
      </c>
      <c r="AF49" s="577"/>
      <c r="AG49" s="576">
        <v>0</v>
      </c>
      <c r="AH49" s="532">
        <f>IF(AG49&lt;2700,AG49*0.0101,IF(AG49&lt;3200,AG49*0.01135,IF(AG49&lt;3700,AG49*0.0126,IF(AG49&gt;3699,AG49*0.01385,""))))</f>
        <v>0</v>
      </c>
      <c r="AI49" s="577"/>
      <c r="AJ49" s="578">
        <v>0</v>
      </c>
      <c r="AK49" s="532">
        <f>IF(AJ49&lt;2700,AJ49*0.009,IF(AJ49&lt;3200,AJ49*0.0101,IF(AJ49&lt;3700,AJ49*0.01135,IF(AJ49&gt;3699,AJ49*0.0126,""))))</f>
        <v>0</v>
      </c>
      <c r="AL49" s="619">
        <v>18</v>
      </c>
      <c r="AM49" s="578">
        <v>2827.4170854271356</v>
      </c>
      <c r="AN49" s="517">
        <f>IF(AM49&lt;2700,AM49*0.0075,IF(AM49&lt;3200,AM49*0.009,IF(AM49&lt;3700,AM49*0.0101,IF(AM49&gt;3699,AM49*0.01135,""))))</f>
        <v>25.446753768844218</v>
      </c>
      <c r="AO49" s="577"/>
      <c r="AP49" s="578">
        <v>0</v>
      </c>
      <c r="AQ49" s="532">
        <f>IF(AP49&lt;2700,AP49*0.0101,IF(AP49&lt;3200,AP49*0.01135,IF(AP49&lt;3700,AP49*0.0126,IF(AP49&gt;3699,AP49*0.01385,""))))</f>
        <v>0</v>
      </c>
      <c r="AR49" s="577">
        <v>20</v>
      </c>
      <c r="AS49" s="578">
        <v>0</v>
      </c>
      <c r="AT49" s="532">
        <f>IF(AS49&lt;2700,AS49*0.009,IF(AS49&lt;3200,AS49*0.0101,IF(AS49&lt;3700,AS49*0.01135,IF(AS49&gt;3699,AS49*0.0126,""))))</f>
        <v>0</v>
      </c>
      <c r="AU49" s="577">
        <v>20</v>
      </c>
      <c r="AV49" s="578"/>
      <c r="AW49" s="532">
        <f>IF(AV49&lt;2700,AV49*0.0101,IF(AV49&lt;3200,AV49*0.01135,IF(AV49&lt;3700,AV49*0.0126,IF(AV49&gt;3699,AV49*0.01385,""))))</f>
        <v>0</v>
      </c>
      <c r="AX49" s="577"/>
      <c r="AY49" s="578"/>
      <c r="AZ49" s="532">
        <f>IF(AY49&lt;2700,AY49*0.0101,IF(AY49&lt;3200,AY49*0.01135,IF(AY49&lt;3700,AY49*0.0126,IF(AY49&gt;3699,AY49*0.01385,""))))</f>
        <v>0</v>
      </c>
      <c r="BA49" s="577"/>
      <c r="BB49" s="581">
        <f t="shared" si="70"/>
        <v>25588.100502512563</v>
      </c>
      <c r="BC49" s="582">
        <f t="shared" si="70"/>
        <v>249.47835979899497</v>
      </c>
      <c r="BD49" s="727">
        <f t="shared" si="70"/>
        <v>98</v>
      </c>
      <c r="BE49" s="586"/>
      <c r="BF49" s="637">
        <f t="shared" si="17"/>
        <v>347.47835979899497</v>
      </c>
      <c r="BG49" s="578">
        <v>0</v>
      </c>
      <c r="BH49" s="532">
        <f>IF(BG49&lt;2700,BG49*0.0101,IF(BG49&lt;3200,BG49*0.01135,IF(BG49&lt;3700,BG49*0.0126,IF(BG49&gt;3699,BG49*0.01385,""))))</f>
        <v>0</v>
      </c>
      <c r="BI49" s="577">
        <v>18</v>
      </c>
      <c r="BJ49" s="578">
        <v>0</v>
      </c>
      <c r="BK49" s="586">
        <f>IF(BJ49&lt;2700,BJ49*0.0101,IF(BJ49&lt;3200,BJ49*0.01135,IF(BJ49&lt;3700,BJ49*0.0126,IF(BJ49&gt;3699,BJ49*0.01385,""))))</f>
        <v>0</v>
      </c>
      <c r="BL49" s="586">
        <v>0</v>
      </c>
      <c r="BM49" s="576">
        <v>3140.0201005025128</v>
      </c>
      <c r="BN49" s="532">
        <f>IF(BM49&lt;2700,BM49*0.009,IF(BM49&lt;3200,BM49*0.0101,IF(BM49&lt;3700,BM49*0.01135,IF(BM49&gt;3699,BM49*0.0126,""))))</f>
        <v>31.714203015075377</v>
      </c>
      <c r="BO49" s="577"/>
      <c r="BP49" s="576">
        <v>3291.497487437186</v>
      </c>
      <c r="BQ49" s="532">
        <f>IF(BP49&lt;2700,BP49*0.009,IF(BP49&lt;3200,BP49*0.0101,IF(BP49&lt;3700,BP49*0.01135,IF(BP49&gt;3699,BP49*0.0126,""))))</f>
        <v>37.358496482412065</v>
      </c>
      <c r="BR49" s="577"/>
      <c r="BS49" s="576">
        <v>3297.286432160804</v>
      </c>
      <c r="BT49" s="532">
        <f>IF(BS49&lt;2700,BS49*0.009,IF(BS49&lt;3200,BS49*0.0101,IF(BS49&lt;3700,BS49*0.01135,IF(BS49&gt;3699,BS49*0.0126,""))))</f>
        <v>37.424201005025125</v>
      </c>
      <c r="BU49" s="577"/>
      <c r="BV49" s="576">
        <v>3263.5175879396988</v>
      </c>
      <c r="BW49" s="532">
        <f>IF(BV49&lt;2700,BV49*0.009,IF(BV49&lt;3200,BV49*0.0101,IF(BV49&lt;3700,BV49*0.01135,IF(BV49&gt;3699,BV49*0.0126,""))))</f>
        <v>37.040924623115586</v>
      </c>
      <c r="BX49" s="577"/>
      <c r="BY49" s="576">
        <v>1308.3015075376884</v>
      </c>
      <c r="BZ49" s="532">
        <f>IF(BY49&lt;2700,BY49*0.009,IF(BY49&lt;3200,BY49*0.0101,IF(BY49&lt;3700,BY49*0.01135,IF(BY49&gt;3699,BY49*0.0126,""))))</f>
        <v>11.774713567839195</v>
      </c>
      <c r="CA49" s="577"/>
      <c r="CB49" s="578">
        <v>0</v>
      </c>
      <c r="CC49" s="532">
        <f>IF(CB49&lt;2700,CB49*0.0101,IF(CB49&lt;3200,CB49*0.01135,IF(CB49&lt;3700,CB49*0.0126,IF(CB49&gt;3699,CB49*0.01385,""))))</f>
        <v>0</v>
      </c>
      <c r="CD49" s="577">
        <v>10</v>
      </c>
      <c r="CE49" s="578">
        <v>3181.5075376884424</v>
      </c>
      <c r="CF49" s="532">
        <f>IF(CE49&lt;2700,CE49*0.009,IF(CE49&lt;3200,CE49*0.0101,IF(CE49&lt;3700,CE49*0.01135,IF(CE49&gt;3699,CE49*0.0126,""))))</f>
        <v>32.13322613065327</v>
      </c>
      <c r="CG49" s="577"/>
      <c r="CH49" s="578">
        <v>0</v>
      </c>
      <c r="CI49" s="532">
        <f>IF(CH49&lt;2700,CH49*0.0101,IF(CH49&lt;3200,CH49*0.01135,IF(CH49&lt;3700,CH49*0.0126,IF(CH49&gt;3699,CH49*0.01385,""))))</f>
        <v>0</v>
      </c>
      <c r="CJ49" s="577">
        <v>18</v>
      </c>
      <c r="CK49" s="578">
        <v>0</v>
      </c>
      <c r="CL49" s="532">
        <f>IF(CK49&lt;2700,CK49*0.0101,IF(CK49&lt;3200,CK49*0.01135,IF(CK49&lt;3700,CK49*0.0126,IF(CK49&gt;3699,CK49*0.01385,""))))</f>
        <v>0</v>
      </c>
      <c r="CM49" s="577"/>
      <c r="CN49" s="578">
        <v>0</v>
      </c>
      <c r="CO49" s="532">
        <f>IF(CN49&lt;2700,CN49*0.0101,IF(CN49&lt;3200,CN49*0.01135,IF(CN49&lt;3700,CN49*0.0126,IF(CN49&gt;3699,CN49*0.01385,""))))</f>
        <v>0</v>
      </c>
      <c r="CP49" s="577"/>
      <c r="CQ49" s="578">
        <v>0</v>
      </c>
      <c r="CR49" s="532">
        <f>IF(CQ49&lt;2700,CQ49*0.0101,IF(CQ49&lt;3200,CQ49*0.01135,IF(CQ49&lt;3700,CQ49*0.0126,IF(CQ49&gt;3699,CQ49*0.01385,""))))</f>
        <v>0</v>
      </c>
      <c r="CS49" s="577"/>
      <c r="CT49" s="1148">
        <f t="shared" si="77"/>
        <v>17482.130653266333</v>
      </c>
      <c r="CU49" s="623">
        <f t="shared" si="77"/>
        <v>187.44576482412063</v>
      </c>
      <c r="CV49" s="624">
        <f t="shared" si="31"/>
        <v>46</v>
      </c>
      <c r="CW49" s="586"/>
      <c r="CX49" s="1149">
        <f t="shared" si="32"/>
        <v>233.44576482412063</v>
      </c>
      <c r="CY49" s="1150">
        <f t="shared" si="71"/>
        <v>43070.231155778893</v>
      </c>
      <c r="CZ49" s="1151">
        <f t="shared" si="71"/>
        <v>436.92412462311563</v>
      </c>
      <c r="DA49" s="1152">
        <f t="shared" si="71"/>
        <v>144</v>
      </c>
      <c r="DB49" s="1153">
        <f t="shared" si="34"/>
        <v>580.92412462311563</v>
      </c>
      <c r="DC49" s="920" t="s">
        <v>740</v>
      </c>
      <c r="DD49" s="570"/>
      <c r="DE49" s="570"/>
      <c r="DF49" s="570"/>
      <c r="DG49" s="570"/>
      <c r="DH49" s="570"/>
      <c r="DI49" s="570"/>
      <c r="DJ49" s="570"/>
      <c r="DK49" s="570"/>
      <c r="DL49" s="570"/>
      <c r="DM49" s="570"/>
      <c r="DN49" s="570"/>
      <c r="DO49" s="570"/>
      <c r="DP49" s="570"/>
      <c r="DQ49" s="570"/>
      <c r="DR49" s="570"/>
      <c r="DS49" s="570"/>
      <c r="DT49" s="570"/>
      <c r="DU49" s="570"/>
      <c r="DV49" s="570"/>
      <c r="DW49" s="570"/>
      <c r="DX49" s="570"/>
      <c r="DY49" s="570"/>
      <c r="DZ49" s="570"/>
      <c r="EA49" s="570"/>
      <c r="EB49" s="570"/>
      <c r="EC49" s="570"/>
      <c r="ED49" s="570"/>
      <c r="EE49" s="570"/>
      <c r="EF49" s="570"/>
      <c r="EG49" s="570"/>
      <c r="EH49" s="570"/>
      <c r="EI49" s="570"/>
      <c r="EJ49" s="570"/>
      <c r="EK49" s="570"/>
      <c r="EL49" s="570"/>
      <c r="EM49" s="570"/>
      <c r="EN49" s="570"/>
      <c r="EO49" s="570"/>
      <c r="EP49" s="570"/>
      <c r="EQ49" s="570"/>
      <c r="ER49" s="570"/>
    </row>
    <row r="50" spans="1:148" s="571" customFormat="1" ht="15.75" customHeight="1" x14ac:dyDescent="0.25">
      <c r="A50" s="1140">
        <f t="shared" si="74"/>
        <v>44</v>
      </c>
      <c r="B50" s="1162" t="s">
        <v>59</v>
      </c>
      <c r="C50" s="974" t="s">
        <v>786</v>
      </c>
      <c r="D50" s="1163"/>
      <c r="E50" s="1164"/>
      <c r="F50" s="1165"/>
      <c r="G50" s="577">
        <v>0</v>
      </c>
      <c r="H50" s="577"/>
      <c r="I50" s="1165"/>
      <c r="J50" s="577">
        <v>0</v>
      </c>
      <c r="K50" s="577"/>
      <c r="L50" s="1165"/>
      <c r="M50" s="577">
        <v>0</v>
      </c>
      <c r="N50" s="577"/>
      <c r="O50" s="746"/>
      <c r="P50" s="577">
        <v>0</v>
      </c>
      <c r="Q50" s="577"/>
      <c r="R50" s="746"/>
      <c r="S50" s="577">
        <v>0</v>
      </c>
      <c r="T50" s="577"/>
      <c r="U50" s="746"/>
      <c r="V50" s="577">
        <v>0</v>
      </c>
      <c r="W50" s="577"/>
      <c r="X50" s="746"/>
      <c r="Y50" s="577">
        <v>0</v>
      </c>
      <c r="Z50" s="577"/>
      <c r="AA50" s="746"/>
      <c r="AB50" s="577">
        <v>0</v>
      </c>
      <c r="AC50" s="577"/>
      <c r="AD50" s="746"/>
      <c r="AE50" s="577">
        <v>0</v>
      </c>
      <c r="AF50" s="577"/>
      <c r="AG50" s="746"/>
      <c r="AH50" s="577">
        <v>0</v>
      </c>
      <c r="AI50" s="577"/>
      <c r="AJ50" s="746"/>
      <c r="AK50" s="577">
        <v>0</v>
      </c>
      <c r="AL50" s="577"/>
      <c r="AM50" s="746"/>
      <c r="AN50" s="577">
        <v>0</v>
      </c>
      <c r="AO50" s="577"/>
      <c r="AP50" s="746">
        <v>0</v>
      </c>
      <c r="AQ50" s="577">
        <v>0</v>
      </c>
      <c r="AR50" s="577">
        <v>20</v>
      </c>
      <c r="AS50" s="746">
        <v>0</v>
      </c>
      <c r="AT50" s="577">
        <v>0</v>
      </c>
      <c r="AU50" s="577">
        <v>20</v>
      </c>
      <c r="AV50" s="746"/>
      <c r="AW50" s="577">
        <v>0</v>
      </c>
      <c r="AX50" s="577"/>
      <c r="AY50" s="746"/>
      <c r="AZ50" s="577">
        <v>0</v>
      </c>
      <c r="BA50" s="577"/>
      <c r="BB50" s="581">
        <f t="shared" si="70"/>
        <v>0</v>
      </c>
      <c r="BC50" s="582">
        <f t="shared" si="70"/>
        <v>0</v>
      </c>
      <c r="BD50" s="727">
        <f t="shared" si="70"/>
        <v>40</v>
      </c>
      <c r="BE50" s="586"/>
      <c r="BF50" s="637">
        <f t="shared" si="17"/>
        <v>40</v>
      </c>
      <c r="BG50" s="746">
        <v>0</v>
      </c>
      <c r="BH50" s="577">
        <v>0</v>
      </c>
      <c r="BI50" s="577">
        <v>18</v>
      </c>
      <c r="BJ50" s="746">
        <v>0</v>
      </c>
      <c r="BK50" s="577">
        <v>0</v>
      </c>
      <c r="BL50" s="577">
        <v>18</v>
      </c>
      <c r="BM50" s="1165">
        <v>0</v>
      </c>
      <c r="BN50" s="577">
        <v>0</v>
      </c>
      <c r="BO50" s="577">
        <v>18</v>
      </c>
      <c r="BP50" s="1165">
        <v>0</v>
      </c>
      <c r="BQ50" s="577">
        <v>0</v>
      </c>
      <c r="BR50" s="577">
        <v>18</v>
      </c>
      <c r="BS50" s="1165">
        <v>0</v>
      </c>
      <c r="BT50" s="577">
        <v>0</v>
      </c>
      <c r="BU50" s="532">
        <v>18</v>
      </c>
      <c r="BV50" s="1165">
        <v>0</v>
      </c>
      <c r="BW50" s="577">
        <v>0</v>
      </c>
      <c r="BX50" s="577">
        <v>20</v>
      </c>
      <c r="BY50" s="1165">
        <v>0</v>
      </c>
      <c r="BZ50" s="577">
        <v>0</v>
      </c>
      <c r="CA50" s="577">
        <v>20</v>
      </c>
      <c r="CB50" s="746">
        <v>0</v>
      </c>
      <c r="CC50" s="577">
        <v>0</v>
      </c>
      <c r="CD50" s="577">
        <v>10</v>
      </c>
      <c r="CE50" s="746">
        <v>0</v>
      </c>
      <c r="CF50" s="577">
        <v>0</v>
      </c>
      <c r="CG50" s="577">
        <v>18</v>
      </c>
      <c r="CH50" s="576">
        <v>0</v>
      </c>
      <c r="CI50" s="577">
        <v>0</v>
      </c>
      <c r="CJ50" s="577"/>
      <c r="CK50" s="576">
        <v>0</v>
      </c>
      <c r="CL50" s="577">
        <v>0</v>
      </c>
      <c r="CM50" s="577"/>
      <c r="CN50" s="576">
        <v>0</v>
      </c>
      <c r="CO50" s="577">
        <v>0</v>
      </c>
      <c r="CP50" s="577"/>
      <c r="CQ50" s="576">
        <v>0</v>
      </c>
      <c r="CR50" s="577">
        <v>0</v>
      </c>
      <c r="CS50" s="577"/>
      <c r="CT50" s="1148">
        <f t="shared" si="77"/>
        <v>0</v>
      </c>
      <c r="CU50" s="623">
        <f t="shared" si="77"/>
        <v>0</v>
      </c>
      <c r="CV50" s="624">
        <f t="shared" si="31"/>
        <v>158</v>
      </c>
      <c r="CW50" s="586"/>
      <c r="CX50" s="1149">
        <f t="shared" si="32"/>
        <v>158</v>
      </c>
      <c r="CY50" s="1150">
        <f t="shared" si="71"/>
        <v>0</v>
      </c>
      <c r="CZ50" s="1151">
        <f t="shared" si="71"/>
        <v>0</v>
      </c>
      <c r="DA50" s="1152">
        <f t="shared" si="71"/>
        <v>198</v>
      </c>
      <c r="DB50" s="1153">
        <f t="shared" si="34"/>
        <v>198</v>
      </c>
      <c r="DC50" s="920" t="s">
        <v>799</v>
      </c>
      <c r="DD50" s="570"/>
      <c r="DE50" s="570"/>
      <c r="DF50" s="570"/>
      <c r="DG50" s="570"/>
      <c r="DH50" s="570"/>
      <c r="DI50" s="570"/>
      <c r="DJ50" s="570"/>
      <c r="DK50" s="570"/>
      <c r="DL50" s="570"/>
      <c r="DM50" s="570"/>
      <c r="DN50" s="570"/>
      <c r="DO50" s="570"/>
      <c r="DP50" s="570"/>
      <c r="DQ50" s="570"/>
      <c r="DR50" s="570"/>
      <c r="DS50" s="570"/>
      <c r="DT50" s="570"/>
      <c r="DU50" s="570"/>
      <c r="DV50" s="570"/>
      <c r="DW50" s="570"/>
      <c r="DX50" s="570"/>
      <c r="DY50" s="570"/>
      <c r="DZ50" s="570"/>
      <c r="EA50" s="570"/>
      <c r="EB50" s="570"/>
      <c r="EC50" s="570"/>
      <c r="ED50" s="570"/>
      <c r="EE50" s="570"/>
      <c r="EF50" s="570"/>
      <c r="EG50" s="570"/>
      <c r="EH50" s="570"/>
      <c r="EI50" s="570"/>
      <c r="EJ50" s="570"/>
      <c r="EK50" s="570"/>
      <c r="EL50" s="570"/>
      <c r="EM50" s="570"/>
      <c r="EN50" s="570"/>
      <c r="EO50" s="570"/>
      <c r="EP50" s="570"/>
      <c r="EQ50" s="570"/>
      <c r="ER50" s="570"/>
    </row>
    <row r="51" spans="1:148" s="571" customFormat="1" ht="15.75" customHeight="1" x14ac:dyDescent="0.25">
      <c r="A51" s="1140">
        <f t="shared" si="74"/>
        <v>45</v>
      </c>
      <c r="B51" s="972" t="s">
        <v>106</v>
      </c>
      <c r="C51" s="921" t="s">
        <v>756</v>
      </c>
      <c r="D51" s="975" t="s">
        <v>800</v>
      </c>
      <c r="E51" s="976" t="s">
        <v>801</v>
      </c>
      <c r="F51" s="576">
        <v>3114.934673366834</v>
      </c>
      <c r="G51" s="517">
        <f>IF(F51&lt;2700,F51*0.0075,IF(F51&lt;3200,F51*0.009,IF(F51&lt;3700,F51*0.0101,IF(F51&gt;3699,F51*0.01135,""))))</f>
        <v>28.034412060301502</v>
      </c>
      <c r="H51" s="577"/>
      <c r="I51" s="576">
        <v>3233.6080402010048</v>
      </c>
      <c r="J51" s="517">
        <f>IF(I51&lt;2700,I51*0.0075,IF(I51&lt;3200,I51*0.009,IF(I51&lt;3700,I51*0.0101,IF(I51&gt;3699,I51*0.01135,""))))</f>
        <v>32.659441206030145</v>
      </c>
      <c r="K51" s="577"/>
      <c r="L51" s="576">
        <v>3692.86432160804</v>
      </c>
      <c r="M51" s="517">
        <f>IF(L51&lt;2700,L51*0.0075,IF(L51&lt;3200,L51*0.009,IF(L51&lt;3700,L51*0.0101,IF(L51&gt;3699,L51*0.01135,""))))</f>
        <v>37.297929648241201</v>
      </c>
      <c r="N51" s="577"/>
      <c r="O51" s="578"/>
      <c r="P51" s="532">
        <f>IF(O51&lt;2700,O51*0.0101,IF(O51&lt;3200,O51*0.01135,IF(O51&lt;3700,O51*0.0126,IF(O51&gt;3699,O51*0.01385,""))))</f>
        <v>0</v>
      </c>
      <c r="Q51" s="577"/>
      <c r="R51" s="576">
        <v>3653.3065326633164</v>
      </c>
      <c r="S51" s="517">
        <f>IF(R51&lt;2700,R51*0.0075,IF(R51&lt;3200,R51*0.009,IF(R51&lt;3700,R51*0.0101,IF(R51&gt;3699,R51*0.01135,""))))</f>
        <v>36.898395979899497</v>
      </c>
      <c r="T51" s="1166"/>
      <c r="U51" s="576">
        <v>0</v>
      </c>
      <c r="V51" s="532">
        <f>IF(U51&lt;2700,U51*0.0101,IF(U51&lt;3200,U51*0.01135,IF(U51&lt;3700,U51*0.0126,IF(U51&gt;3699,U51*0.01385,""))))</f>
        <v>0</v>
      </c>
      <c r="W51" s="619">
        <v>18</v>
      </c>
      <c r="X51" s="578">
        <v>0</v>
      </c>
      <c r="Y51" s="532">
        <f>IF(X51&lt;2700,X51*0.0101,IF(X51&lt;3200,X51*0.01135,IF(X51&lt;3700,X51*0.0126,IF(X51&gt;3699,X51*0.01385,""))))</f>
        <v>0</v>
      </c>
      <c r="Z51" s="619">
        <v>18</v>
      </c>
      <c r="AA51" s="578">
        <v>0</v>
      </c>
      <c r="AB51" s="532">
        <f>IF(AA51&lt;2700,AA51*0.0101,IF(AA51&lt;3200,AA51*0.01135,IF(AA51&lt;3700,AA51*0.0126,IF(AA51&gt;3699,AA51*0.01385,""))))</f>
        <v>0</v>
      </c>
      <c r="AC51" s="619">
        <v>18</v>
      </c>
      <c r="AD51" s="576">
        <v>0</v>
      </c>
      <c r="AE51" s="532">
        <f>IF(AD51&lt;2700,AD51*0.0101,IF(AD51&lt;3200,AD51*0.01135,IF(AD51&lt;3700,AD51*0.0126,IF(AD51&gt;3699,AD51*0.01385,""))))</f>
        <v>0</v>
      </c>
      <c r="AF51" s="619">
        <v>18</v>
      </c>
      <c r="AG51" s="576">
        <v>0</v>
      </c>
      <c r="AH51" s="586">
        <f>IF(AG51&lt;2700,AG51*0.0101,IF(AG51&lt;3200,AG51*0.01135,IF(AG51&lt;3700,AG51*0.0126,IF(AG51&gt;3699,AG51*0.01385,""))))</f>
        <v>0</v>
      </c>
      <c r="AI51" s="577"/>
      <c r="AJ51" s="576">
        <v>0</v>
      </c>
      <c r="AK51" s="532">
        <f>IF(AJ51&lt;2700,AJ51*0.009,IF(AJ51&lt;3200,AJ51*0.0101,IF(AJ51&lt;3700,AJ51*0.01135,IF(AJ51&gt;3699,AJ51*0.0126,""))))</f>
        <v>0</v>
      </c>
      <c r="AL51" s="619">
        <v>18</v>
      </c>
      <c r="AM51" s="576">
        <v>0</v>
      </c>
      <c r="AN51" s="532">
        <f>IF(AM51&lt;2700,AM51*0.009,IF(AM51&lt;3200,AM51*0.0101,IF(AM51&lt;3700,AM51*0.01135,IF(AM51&gt;3699,AM51*0.0126,""))))</f>
        <v>0</v>
      </c>
      <c r="AO51" s="619">
        <v>18</v>
      </c>
      <c r="AP51" s="576">
        <v>0</v>
      </c>
      <c r="AQ51" s="532">
        <f>IF(AP51&lt;2700,AP51*0.0101,IF(AP51&lt;3200,AP51*0.01135,IF(AP51&lt;3700,AP51*0.0126,IF(AP51&gt;3699,AP51*0.01385,""))))</f>
        <v>0</v>
      </c>
      <c r="AR51" s="577">
        <v>20</v>
      </c>
      <c r="AS51" s="576">
        <v>3106.7336683417079</v>
      </c>
      <c r="AT51" s="517">
        <f>IF(AS51&lt;2700,AS51*0.0075,IF(AS51&lt;3200,AS51*0.009,IF(AS51&lt;3700,AS51*0.0101,IF(AS51&gt;3699,AS51*0.01135,""))))</f>
        <v>27.960603015075367</v>
      </c>
      <c r="AU51" s="577"/>
      <c r="AV51" s="578"/>
      <c r="AW51" s="532">
        <f>IF(AV51&lt;2700,AV51*0.0101,IF(AV51&lt;3200,AV51*0.01135,IF(AV51&lt;3700,AV51*0.0126,IF(AV51&gt;3699,AV51*0.01385,""))))</f>
        <v>0</v>
      </c>
      <c r="AX51" s="577"/>
      <c r="AY51" s="578"/>
      <c r="AZ51" s="532">
        <f>IF(AY51&lt;2700,AY51*0.0101,IF(AY51&lt;3200,AY51*0.01135,IF(AY51&lt;3700,AY51*0.0126,IF(AY51&gt;3699,AY51*0.01385,""))))</f>
        <v>0</v>
      </c>
      <c r="BA51" s="577"/>
      <c r="BB51" s="581">
        <f t="shared" si="70"/>
        <v>16801.447236180902</v>
      </c>
      <c r="BC51" s="582">
        <f t="shared" si="70"/>
        <v>162.85078190954772</v>
      </c>
      <c r="BD51" s="727">
        <f t="shared" si="70"/>
        <v>128</v>
      </c>
      <c r="BE51" s="586"/>
      <c r="BF51" s="637">
        <f t="shared" si="17"/>
        <v>290.85078190954772</v>
      </c>
      <c r="BG51" s="578">
        <v>3482.0502512562812</v>
      </c>
      <c r="BH51" s="532">
        <f>IF(BG51&lt;2700,BG51*0.009,IF(BG51&lt;3200,BG51*0.0101,IF(BG51&lt;3700,BG51*0.01135,IF(BG51&gt;3699,BG51*0.0126,""))))</f>
        <v>39.521270351758794</v>
      </c>
      <c r="BI51" s="577"/>
      <c r="BJ51" s="578">
        <v>0</v>
      </c>
      <c r="BK51" s="532">
        <f>IF(BJ51&lt;2700,BJ51*0.0101,IF(BJ51&lt;3200,BJ51*0.01135,IF(BJ51&lt;3700,BJ51*0.0126,IF(BJ51&gt;3699,BJ51*0.01385,""))))</f>
        <v>0</v>
      </c>
      <c r="BL51" s="577">
        <v>12</v>
      </c>
      <c r="BM51" s="576">
        <v>3048.8442211055276</v>
      </c>
      <c r="BN51" s="532">
        <f>IF(BM51&lt;2700,BM51*0.008,IF(BM51&lt;3200,BM51*0.0097,IF(BM51&lt;3700,BM51*0.01095,IF(BM51&gt;3699,BM51*0.0122,""))))</f>
        <v>29.573788944723617</v>
      </c>
      <c r="BO51" s="577"/>
      <c r="BP51" s="576"/>
      <c r="BQ51" s="532">
        <f>IF(BP51&lt;2700,BP51*0.0101,IF(BP51&lt;3200,BP51*0.01135,IF(BP51&lt;3700,BP51*0.0126,IF(BP51&gt;3699,BP51*0.01385,""))))</f>
        <v>0</v>
      </c>
      <c r="BR51" s="577"/>
      <c r="BS51" s="576"/>
      <c r="BT51" s="532">
        <f>IF(BS51&lt;2700,BS51*0.0101,IF(BS51&lt;3200,BS51*0.01135,IF(BS51&lt;3700,BS51*0.0126,IF(BS51&gt;3699,BS51*0.01385,""))))</f>
        <v>0</v>
      </c>
      <c r="BU51" s="577"/>
      <c r="BV51" s="576"/>
      <c r="BW51" s="532">
        <f>IF(BV51&lt;2700,BV51*0.0101,IF(BV51&lt;3200,BV51*0.01135,IF(BV51&lt;3700,BV51*0.0126,IF(BV51&gt;3699,BV51*0.01385,""))))</f>
        <v>0</v>
      </c>
      <c r="BX51" s="1166"/>
      <c r="BY51" s="576">
        <v>1798.4321608040202</v>
      </c>
      <c r="BZ51" s="532">
        <f>IF(BY51&lt;2700,BY51*0.009,IF(BY51&lt;3200,BY51*0.0101,IF(BY51&lt;3700,BY51*0.01135,IF(BY51&gt;3699,BY51*0.0126,""))))</f>
        <v>16.185889447236182</v>
      </c>
      <c r="CA51" s="577"/>
      <c r="CB51" s="578">
        <v>0</v>
      </c>
      <c r="CC51" s="532">
        <f>IF(CB51&lt;2700,CB51*0.0101,IF(CB51&lt;3200,CB51*0.01135,IF(CB51&lt;3700,CB51*0.0126,IF(CB51&gt;3699,CB51*0.01385,""))))</f>
        <v>0</v>
      </c>
      <c r="CD51" s="577">
        <v>10</v>
      </c>
      <c r="CE51" s="576">
        <v>2471.8793969849244</v>
      </c>
      <c r="CF51" s="532">
        <f>IF(CE51&lt;2700,CE51*0.009,IF(CE51&lt;3200,CE51*0.0101,IF(CE51&lt;3700,CE51*0.01135,IF(CE51&gt;3699,CE51*0.0126,""))))</f>
        <v>22.246914572864316</v>
      </c>
      <c r="CG51" s="577"/>
      <c r="CH51" s="578">
        <v>0</v>
      </c>
      <c r="CI51" s="532">
        <f>IF(CH51&lt;2700,CH51*0.0101,IF(CH51&lt;3200,CH51*0.01135,IF(CH51&lt;3700,CH51*0.0126,IF(CH51&gt;3699,CH51*0.01385,""))))</f>
        <v>0</v>
      </c>
      <c r="CJ51" s="577">
        <v>10</v>
      </c>
      <c r="CK51" s="578">
        <v>0</v>
      </c>
      <c r="CL51" s="532">
        <f>IF(CK51&lt;2700,CK51*0.0101,IF(CK51&lt;3200,CK51*0.01135,IF(CK51&lt;3700,CK51*0.0126,IF(CK51&gt;3699,CK51*0.01385,""))))</f>
        <v>0</v>
      </c>
      <c r="CM51" s="577"/>
      <c r="CN51" s="578">
        <v>0</v>
      </c>
      <c r="CO51" s="532">
        <f>IF(CN51&lt;2700,CN51*0.0101,IF(CN51&lt;3200,CN51*0.01135,IF(CN51&lt;3700,CN51*0.0126,IF(CN51&gt;3699,CN51*0.01385,""))))</f>
        <v>0</v>
      </c>
      <c r="CP51" s="577"/>
      <c r="CQ51" s="578">
        <v>0</v>
      </c>
      <c r="CR51" s="532">
        <f>IF(CQ51&lt;2700,CQ51*0.0101,IF(CQ51&lt;3200,CQ51*0.01135,IF(CQ51&lt;3700,CQ51*0.0126,IF(CQ51&gt;3699,CQ51*0.01385,""))))</f>
        <v>0</v>
      </c>
      <c r="CS51" s="577"/>
      <c r="CT51" s="1148">
        <f t="shared" si="77"/>
        <v>10801.206030150754</v>
      </c>
      <c r="CU51" s="623">
        <f t="shared" si="77"/>
        <v>107.52786331658291</v>
      </c>
      <c r="CV51" s="624">
        <f t="shared" si="31"/>
        <v>32</v>
      </c>
      <c r="CW51" s="586"/>
      <c r="CX51" s="1149">
        <f t="shared" si="32"/>
        <v>139.52786331658291</v>
      </c>
      <c r="CY51" s="1150">
        <f t="shared" si="71"/>
        <v>27602.653266331654</v>
      </c>
      <c r="CZ51" s="1151">
        <f t="shared" si="71"/>
        <v>270.37864522613063</v>
      </c>
      <c r="DA51" s="1152">
        <f t="shared" si="71"/>
        <v>160</v>
      </c>
      <c r="DB51" s="1153">
        <f t="shared" si="34"/>
        <v>430.37864522613063</v>
      </c>
      <c r="DC51" s="920" t="s">
        <v>740</v>
      </c>
      <c r="DD51" s="570"/>
      <c r="DE51" s="570"/>
      <c r="DF51" s="570"/>
      <c r="DG51" s="570"/>
      <c r="DH51" s="570"/>
      <c r="DI51" s="570"/>
      <c r="DJ51" s="570"/>
      <c r="DK51" s="570"/>
      <c r="DL51" s="570"/>
      <c r="DM51" s="570"/>
      <c r="DN51" s="570"/>
      <c r="DO51" s="570"/>
      <c r="DP51" s="570"/>
      <c r="DQ51" s="570"/>
      <c r="DR51" s="570"/>
      <c r="DS51" s="570"/>
      <c r="DT51" s="570"/>
      <c r="DU51" s="570"/>
      <c r="DV51" s="570"/>
      <c r="DW51" s="570"/>
      <c r="DX51" s="570"/>
      <c r="DY51" s="570"/>
      <c r="DZ51" s="570"/>
      <c r="EA51" s="570"/>
      <c r="EB51" s="570"/>
      <c r="EC51" s="570"/>
      <c r="ED51" s="570"/>
      <c r="EE51" s="570"/>
      <c r="EF51" s="570"/>
      <c r="EG51" s="570"/>
      <c r="EH51" s="570"/>
      <c r="EI51" s="570"/>
      <c r="EJ51" s="570"/>
      <c r="EK51" s="570"/>
      <c r="EL51" s="570"/>
      <c r="EM51" s="570"/>
      <c r="EN51" s="570"/>
      <c r="EO51" s="570"/>
      <c r="EP51" s="570"/>
      <c r="EQ51" s="570"/>
      <c r="ER51" s="570"/>
    </row>
    <row r="52" spans="1:148" s="571" customFormat="1" ht="15.75" customHeight="1" x14ac:dyDescent="0.25">
      <c r="A52" s="1140">
        <f t="shared" si="74"/>
        <v>46</v>
      </c>
      <c r="B52" s="972" t="s">
        <v>158</v>
      </c>
      <c r="C52" s="974" t="s">
        <v>786</v>
      </c>
      <c r="D52" s="975" t="s">
        <v>804</v>
      </c>
      <c r="E52" s="976" t="s">
        <v>805</v>
      </c>
      <c r="F52" s="576">
        <v>0</v>
      </c>
      <c r="G52" s="532">
        <v>0</v>
      </c>
      <c r="H52" s="532">
        <v>18</v>
      </c>
      <c r="I52" s="576">
        <v>0</v>
      </c>
      <c r="J52" s="532">
        <v>0</v>
      </c>
      <c r="K52" s="532">
        <v>18</v>
      </c>
      <c r="L52" s="576">
        <v>0</v>
      </c>
      <c r="M52" s="586">
        <v>0</v>
      </c>
      <c r="N52" s="586">
        <v>0</v>
      </c>
      <c r="O52" s="578"/>
      <c r="P52" s="532">
        <v>0</v>
      </c>
      <c r="Q52" s="532"/>
      <c r="R52" s="578">
        <v>0</v>
      </c>
      <c r="S52" s="532">
        <v>0</v>
      </c>
      <c r="T52" s="619">
        <v>18</v>
      </c>
      <c r="U52" s="578">
        <v>0</v>
      </c>
      <c r="V52" s="532">
        <v>0</v>
      </c>
      <c r="W52" s="619">
        <v>18</v>
      </c>
      <c r="X52" s="578">
        <v>0</v>
      </c>
      <c r="Y52" s="532">
        <v>0</v>
      </c>
      <c r="Z52" s="619">
        <v>18</v>
      </c>
      <c r="AA52" s="578">
        <v>0</v>
      </c>
      <c r="AB52" s="532">
        <v>0</v>
      </c>
      <c r="AC52" s="619">
        <v>18</v>
      </c>
      <c r="AD52" s="578">
        <v>0</v>
      </c>
      <c r="AE52" s="532">
        <v>0</v>
      </c>
      <c r="AF52" s="532">
        <v>40</v>
      </c>
      <c r="AG52" s="578">
        <v>0</v>
      </c>
      <c r="AH52" s="532">
        <v>0</v>
      </c>
      <c r="AI52" s="619">
        <v>18</v>
      </c>
      <c r="AJ52" s="576">
        <v>0</v>
      </c>
      <c r="AK52" s="532">
        <v>0</v>
      </c>
      <c r="AL52" s="619">
        <v>18</v>
      </c>
      <c r="AM52" s="576">
        <v>0</v>
      </c>
      <c r="AN52" s="532">
        <v>0</v>
      </c>
      <c r="AO52" s="619">
        <v>18</v>
      </c>
      <c r="AP52" s="576">
        <v>0</v>
      </c>
      <c r="AQ52" s="532">
        <v>0</v>
      </c>
      <c r="AR52" s="532">
        <v>20</v>
      </c>
      <c r="AS52" s="576">
        <v>0</v>
      </c>
      <c r="AT52" s="532">
        <v>0</v>
      </c>
      <c r="AU52" s="532">
        <v>20</v>
      </c>
      <c r="AV52" s="578"/>
      <c r="AW52" s="532">
        <v>0</v>
      </c>
      <c r="AX52" s="532"/>
      <c r="AY52" s="578"/>
      <c r="AZ52" s="532">
        <v>0</v>
      </c>
      <c r="BA52" s="532"/>
      <c r="BB52" s="581">
        <f t="shared" si="70"/>
        <v>0</v>
      </c>
      <c r="BC52" s="582">
        <f t="shared" si="70"/>
        <v>0</v>
      </c>
      <c r="BD52" s="727">
        <f t="shared" si="70"/>
        <v>242</v>
      </c>
      <c r="BE52" s="586"/>
      <c r="BF52" s="637">
        <f t="shared" si="17"/>
        <v>242</v>
      </c>
      <c r="BG52" s="578">
        <v>0</v>
      </c>
      <c r="BH52" s="532">
        <v>0</v>
      </c>
      <c r="BI52" s="532">
        <v>18</v>
      </c>
      <c r="BJ52" s="578">
        <v>0</v>
      </c>
      <c r="BK52" s="532">
        <v>0</v>
      </c>
      <c r="BL52" s="532">
        <v>12</v>
      </c>
      <c r="BM52" s="576">
        <v>0</v>
      </c>
      <c r="BN52" s="532">
        <v>0</v>
      </c>
      <c r="BO52" s="532">
        <v>18</v>
      </c>
      <c r="BP52" s="576">
        <v>0</v>
      </c>
      <c r="BQ52" s="532">
        <f>IF(BP52&lt;2700,BP52*0.0097,IF(BP52&lt;3200,BP52*0.01095,IF(BP52&lt;3700,BP52*0.0122,IF(BP52&gt;3699,BP52*0.01345,""))))</f>
        <v>0</v>
      </c>
      <c r="BR52" s="532">
        <v>18</v>
      </c>
      <c r="BS52" s="576">
        <v>0</v>
      </c>
      <c r="BT52" s="532">
        <f>IF(BS52&lt;2700,BS52*0.0097,IF(BS52&lt;3200,BS52*0.01095,IF(BS52&lt;3700,BS52*0.0122,IF(BS52&gt;3699,BS52*0.01345,""))))</f>
        <v>0</v>
      </c>
      <c r="BU52" s="532">
        <v>18</v>
      </c>
      <c r="BV52" s="576">
        <v>2122.1306532663316</v>
      </c>
      <c r="BW52" s="532">
        <f>IF(BV52&lt;2700,BV52*0.008,IF(BV52&lt;3200,BV52*0.0097,IF(BV52&lt;3700,BV52*0.01095,IF(BV52&gt;3699,BV52*0.0122,""))))</f>
        <v>16.977045226130652</v>
      </c>
      <c r="BX52" s="532"/>
      <c r="BY52" s="576">
        <v>0</v>
      </c>
      <c r="BZ52" s="532">
        <f>IF(BY52&lt;2700,BY52*0.0097,IF(BY52&lt;3200,BY52*0.01095,IF(BY52&lt;3700,BY52*0.0122,IF(BY52&gt;3699,BY52*0.01345,""))))</f>
        <v>0</v>
      </c>
      <c r="CA52" s="532">
        <v>20</v>
      </c>
      <c r="CB52" s="578">
        <v>0</v>
      </c>
      <c r="CC52" s="532">
        <v>0</v>
      </c>
      <c r="CD52" s="532">
        <v>0</v>
      </c>
      <c r="CE52" s="576">
        <v>2471.8793969849244</v>
      </c>
      <c r="CF52" s="532">
        <f>IF(CE52&lt;2700,CE52*0.008,IF(CE52&lt;3200,CE52*0.0097,IF(CE52&lt;3700,CE52*0.01095,IF(CE52&gt;3699,CE52*0.0122,""))))</f>
        <v>19.775035175879395</v>
      </c>
      <c r="CG52" s="532"/>
      <c r="CH52" s="576">
        <v>0</v>
      </c>
      <c r="CI52" s="532">
        <v>0</v>
      </c>
      <c r="CJ52" s="532"/>
      <c r="CK52" s="576">
        <v>0</v>
      </c>
      <c r="CL52" s="532">
        <v>0</v>
      </c>
      <c r="CM52" s="532"/>
      <c r="CN52" s="576">
        <v>0</v>
      </c>
      <c r="CO52" s="532">
        <v>0</v>
      </c>
      <c r="CP52" s="532"/>
      <c r="CQ52" s="576">
        <v>0</v>
      </c>
      <c r="CR52" s="532">
        <v>0</v>
      </c>
      <c r="CS52" s="532"/>
      <c r="CT52" s="1148">
        <f t="shared" si="77"/>
        <v>4594.010050251256</v>
      </c>
      <c r="CU52" s="623">
        <f t="shared" si="77"/>
        <v>36.752080402010051</v>
      </c>
      <c r="CV52" s="624">
        <f t="shared" si="31"/>
        <v>104</v>
      </c>
      <c r="CW52" s="586"/>
      <c r="CX52" s="1149">
        <f t="shared" si="32"/>
        <v>140.75208040201005</v>
      </c>
      <c r="CY52" s="1150">
        <f t="shared" si="71"/>
        <v>4594.010050251256</v>
      </c>
      <c r="CZ52" s="1151">
        <f t="shared" si="71"/>
        <v>36.752080402010051</v>
      </c>
      <c r="DA52" s="1152">
        <f t="shared" si="71"/>
        <v>346</v>
      </c>
      <c r="DB52" s="1153">
        <f t="shared" si="34"/>
        <v>382.75208040201005</v>
      </c>
      <c r="DC52" s="920" t="s">
        <v>737</v>
      </c>
      <c r="DD52" s="570"/>
      <c r="DE52" s="570"/>
      <c r="DF52" s="570"/>
      <c r="DG52" s="570"/>
      <c r="DH52" s="570"/>
      <c r="DI52" s="570"/>
      <c r="DJ52" s="570"/>
      <c r="DK52" s="570"/>
      <c r="DL52" s="570"/>
      <c r="DM52" s="570"/>
      <c r="DN52" s="570"/>
      <c r="DO52" s="570"/>
      <c r="DP52" s="570"/>
      <c r="DQ52" s="570"/>
      <c r="DR52" s="570"/>
      <c r="DS52" s="570"/>
      <c r="DT52" s="570"/>
      <c r="DU52" s="570"/>
      <c r="DV52" s="570"/>
      <c r="DW52" s="570"/>
      <c r="DX52" s="570"/>
      <c r="DY52" s="570"/>
      <c r="DZ52" s="570"/>
      <c r="EA52" s="570"/>
      <c r="EB52" s="570"/>
      <c r="EC52" s="570"/>
      <c r="ED52" s="570"/>
      <c r="EE52" s="570"/>
      <c r="EF52" s="570"/>
      <c r="EG52" s="570"/>
      <c r="EH52" s="570"/>
      <c r="EI52" s="570"/>
      <c r="EJ52" s="570"/>
      <c r="EK52" s="570"/>
      <c r="EL52" s="570"/>
      <c r="EM52" s="570"/>
      <c r="EN52" s="570"/>
      <c r="EO52" s="570"/>
      <c r="EP52" s="570"/>
      <c r="EQ52" s="570"/>
      <c r="ER52" s="570"/>
    </row>
    <row r="53" spans="1:148" s="571" customFormat="1" ht="15.75" customHeight="1" x14ac:dyDescent="0.25">
      <c r="A53" s="1140">
        <f t="shared" si="74"/>
        <v>47</v>
      </c>
      <c r="B53" s="972" t="s">
        <v>261</v>
      </c>
      <c r="C53" s="974" t="s">
        <v>806</v>
      </c>
      <c r="D53" s="975"/>
      <c r="E53" s="1156"/>
      <c r="F53" s="576">
        <v>3030.51256281407</v>
      </c>
      <c r="G53" s="517">
        <f>IF(F53&lt;2700,F53*0.007,IF(F53&lt;3200,F53*0.008,IF(F53&lt;3700,F53*0.0097,IF(F53&gt;3699,F53*0.01095,""))))</f>
        <v>24.244100502512559</v>
      </c>
      <c r="H53" s="619"/>
      <c r="I53" s="576">
        <v>2377.8090452261304</v>
      </c>
      <c r="J53" s="517">
        <f>IF(I53&lt;2700,I53*0.007,IF(I53&lt;3200,I53*0.008,IF(I53&lt;3700,I53*0.0097,IF(I53&gt;3699,I53*0.01095,""))))</f>
        <v>16.644663316582914</v>
      </c>
      <c r="K53" s="619"/>
      <c r="L53" s="576">
        <v>3692.86432160804</v>
      </c>
      <c r="M53" s="517">
        <f>IF(L53&lt;2700,L53*0.007,IF(L53&lt;3200,L53*0.008,IF(L53&lt;3700,L53*0.0097,IF(L53&gt;3699,L53*0.01095,""))))</f>
        <v>35.820783919597986</v>
      </c>
      <c r="N53" s="619"/>
      <c r="O53" s="578"/>
      <c r="P53" s="532">
        <f>IF(O53&lt;2700,O53*0.0097,IF(O53&lt;3200,O53*0.01095,IF(O53&lt;3700,O53*0.0122,IF(O53&gt;3699,O53*0.01345,""))))</f>
        <v>0</v>
      </c>
      <c r="Q53" s="619"/>
      <c r="R53" s="576">
        <v>3653.3065326633164</v>
      </c>
      <c r="S53" s="517">
        <f>IF(R53&lt;2700,R53*0.007,IF(R53&lt;3200,R53*0.008,IF(R53&lt;3700,R53*0.0097,IF(R53&gt;3699,R53*0.01095,""))))</f>
        <v>35.43707336683417</v>
      </c>
      <c r="T53" s="619"/>
      <c r="U53" s="576">
        <v>0</v>
      </c>
      <c r="V53" s="532">
        <f>IF(U53&lt;2700,U53*0.0097,IF(U53&lt;3200,U53*0.01095,IF(U53&lt;3700,U53*0.0122,IF(U53&gt;3699,U53*0.01345,""))))</f>
        <v>0</v>
      </c>
      <c r="W53" s="619">
        <v>18</v>
      </c>
      <c r="X53" s="576">
        <v>0</v>
      </c>
      <c r="Y53" s="532">
        <f>IF(X53&lt;2700,X53*0.0097,IF(X53&lt;3200,X53*0.01095,IF(X53&lt;3700,X53*0.0122,IF(X53&gt;3699,X53*0.01345,""))))</f>
        <v>0</v>
      </c>
      <c r="Z53" s="619">
        <v>18</v>
      </c>
      <c r="AA53" s="576">
        <v>0</v>
      </c>
      <c r="AB53" s="532">
        <f>IF(AA53&lt;2700,AA53*0.0097,IF(AA53&lt;3200,AA53*0.01095,IF(AA53&lt;3700,AA53*0.0122,IF(AA53&gt;3699,AA53*0.01345,""))))</f>
        <v>0</v>
      </c>
      <c r="AC53" s="619">
        <v>18</v>
      </c>
      <c r="AD53" s="576">
        <v>2742.51256281407</v>
      </c>
      <c r="AE53" s="517">
        <f>IF(AD53&lt;2700,AD53*0.007,IF(AD53&lt;3200,AD53*0.008,IF(AD53&lt;3700,AD53*0.0097,IF(AD53&gt;3699,AD53*0.01095,""))))</f>
        <v>21.940100502512561</v>
      </c>
      <c r="AF53" s="619">
        <v>20</v>
      </c>
      <c r="AG53" s="576">
        <v>0</v>
      </c>
      <c r="AH53" s="532">
        <f>IF(AG53&lt;2700,AG53*0.0097,IF(AG53&lt;3200,AG53*0.01095,IF(AG53&lt;3700,AG53*0.0122,IF(AG53&gt;3699,AG53*0.01345,""))))</f>
        <v>0</v>
      </c>
      <c r="AI53" s="619"/>
      <c r="AJ53" s="576">
        <v>0</v>
      </c>
      <c r="AK53" s="532">
        <f>IF(AJ53&lt;2700,AJ53*0.0097,IF(AJ53&lt;3200,AJ53*0.01095,IF(AJ53&lt;3700,AJ53*0.0122,IF(AJ53&gt;3699,AJ53*0.01345,""))))</f>
        <v>0</v>
      </c>
      <c r="AL53" s="619"/>
      <c r="AM53" s="576">
        <v>0</v>
      </c>
      <c r="AN53" s="532">
        <f>IF(AM53&lt;2700,AM53*0.0097,IF(AM53&lt;3200,AM53*0.01095,IF(AM53&lt;3700,AM53*0.0122,IF(AM53&gt;3699,AM53*0.01345,""))))</f>
        <v>0</v>
      </c>
      <c r="AO53" s="619"/>
      <c r="AP53" s="576">
        <v>0</v>
      </c>
      <c r="AQ53" s="532">
        <f>IF(AP53&lt;2700,AP53*0.0097,IF(AP53&lt;3200,AP53*0.01095,IF(AP53&lt;3700,AP53*0.0122,IF(AP53&gt;3699,AP53*0.01345,""))))</f>
        <v>0</v>
      </c>
      <c r="AR53" s="619"/>
      <c r="AS53" s="576">
        <v>0</v>
      </c>
      <c r="AT53" s="532">
        <f>IF(AS53&lt;2700,AS53*0.0097,IF(AS53&lt;3200,AS53*0.01095,IF(AS53&lt;3700,AS53*0.0122,IF(AS53&gt;3699,AS53*0.01345,""))))</f>
        <v>0</v>
      </c>
      <c r="AU53" s="619"/>
      <c r="AV53" s="578"/>
      <c r="AW53" s="532">
        <f>IF(AV53&lt;2700,AV53*0.0097,IF(AV53&lt;3200,AV53*0.01095,IF(AV53&lt;3700,AV53*0.0122,IF(AV53&gt;3699,AV53*0.01345,""))))</f>
        <v>0</v>
      </c>
      <c r="AX53" s="619"/>
      <c r="AY53" s="578"/>
      <c r="AZ53" s="532">
        <f>IF(AY53&lt;2700,AY53*0.0097,IF(AY53&lt;3200,AY53*0.01095,IF(AY53&lt;3700,AY53*0.0122,IF(AY53&gt;3699,AY53*0.01345,""))))</f>
        <v>0</v>
      </c>
      <c r="BA53" s="619"/>
      <c r="BB53" s="581">
        <f t="shared" si="70"/>
        <v>15497.005025125627</v>
      </c>
      <c r="BC53" s="582">
        <f t="shared" si="70"/>
        <v>134.08672160804019</v>
      </c>
      <c r="BD53" s="727">
        <f t="shared" si="70"/>
        <v>74</v>
      </c>
      <c r="BE53" s="586"/>
      <c r="BF53" s="637">
        <f t="shared" si="17"/>
        <v>208.08672160804019</v>
      </c>
      <c r="BG53" s="578">
        <v>0</v>
      </c>
      <c r="BH53" s="532">
        <f>IF(BG53&lt;2700,BG53*0.0097,IF(BG53&lt;3200,BG53*0.01095,IF(BG53&lt;3700,BG53*0.0122,IF(BG53&gt;3699,BG53*0.01345,""))))</f>
        <v>0</v>
      </c>
      <c r="BI53" s="619"/>
      <c r="BJ53" s="578">
        <v>0</v>
      </c>
      <c r="BK53" s="532">
        <f>IF(BJ53&lt;2700,BJ53*0.0097,IF(BJ53&lt;3200,BJ53*0.01095,IF(BJ53&lt;3700,BJ53*0.0122,IF(BJ53&gt;3699,BJ53*0.01345,""))))</f>
        <v>0</v>
      </c>
      <c r="BL53" s="619"/>
      <c r="BM53" s="576">
        <v>0</v>
      </c>
      <c r="BN53" s="532">
        <f>IF(BM53&lt;2700,BM53*0.0097,IF(BM53&lt;3200,BM53*0.01095,IF(BM53&lt;3700,BM53*0.0122,IF(BM53&gt;3699,BM53*0.01345,""))))</f>
        <v>0</v>
      </c>
      <c r="BO53" s="619">
        <v>0</v>
      </c>
      <c r="BP53" s="576">
        <v>0</v>
      </c>
      <c r="BQ53" s="532">
        <f>IF(BP53&lt;2700,BP53*0.0097,IF(BP53&lt;3200,BP53*0.01095,IF(BP53&lt;3700,BP53*0.0122,IF(BP53&gt;3699,BP53*0.01345,""))))</f>
        <v>0</v>
      </c>
      <c r="BR53" s="619">
        <v>18</v>
      </c>
      <c r="BS53" s="576">
        <v>0</v>
      </c>
      <c r="BT53" s="532">
        <f>IF(BS53&lt;2700,BS53*0.0097,IF(BS53&lt;3200,BS53*0.01095,IF(BS53&lt;3700,BS53*0.0122,IF(BS53&gt;3699,BS53*0.01345,""))))</f>
        <v>0</v>
      </c>
      <c r="BU53" s="619">
        <v>18</v>
      </c>
      <c r="BV53" s="576">
        <v>0</v>
      </c>
      <c r="BW53" s="532">
        <f>IF(BV53&lt;2700,BV53*0.0097,IF(BV53&lt;3200,BV53*0.01095,IF(BV53&lt;3700,BV53*0.0122,IF(BV53&gt;3699,BV53*0.01345,""))))</f>
        <v>0</v>
      </c>
      <c r="BX53" s="619">
        <v>18</v>
      </c>
      <c r="BY53" s="576">
        <v>0</v>
      </c>
      <c r="BZ53" s="532">
        <f>IF(BY53&lt;2700,BY53*0.0097,IF(BY53&lt;3200,BY53*0.01095,IF(BY53&lt;3700,BY53*0.0122,IF(BY53&gt;3699,BY53*0.01345,""))))</f>
        <v>0</v>
      </c>
      <c r="CA53" s="532">
        <v>18</v>
      </c>
      <c r="CB53" s="578">
        <v>0</v>
      </c>
      <c r="CC53" s="532">
        <f>IF(CB53&lt;2700,CB53*0.0097,IF(CB53&lt;3200,CB53*0.01095,IF(CB53&lt;3700,CB53*0.0122,IF(CB53&gt;3699,CB53*0.01345,""))))</f>
        <v>0</v>
      </c>
      <c r="CD53" s="619">
        <v>10</v>
      </c>
      <c r="CE53" s="576">
        <v>0</v>
      </c>
      <c r="CF53" s="532">
        <f>IF(CE53&lt;2700,CE53*0.0097,IF(CE53&lt;3200,CE53*0.01095,IF(CE53&lt;3700,CE53*0.0122,IF(CE53&gt;3699,CE53*0.01345,""))))</f>
        <v>0</v>
      </c>
      <c r="CG53" s="532">
        <v>18</v>
      </c>
      <c r="CH53" s="576">
        <v>0</v>
      </c>
      <c r="CI53" s="532">
        <f>IF(CH53&lt;2700,CH53*0.0101,IF(CH53&lt;3200,CH53*0.01135,IF(CH53&lt;3700,CH53*0.0126,IF(CH53&gt;3699,CH53*0.01385,""))))</f>
        <v>0</v>
      </c>
      <c r="CJ53" s="577">
        <v>18</v>
      </c>
      <c r="CK53" s="576">
        <v>0</v>
      </c>
      <c r="CL53" s="532">
        <f>IF(CK53&lt;2700,CK53*0.0101,IF(CK53&lt;3200,CK53*0.01135,IF(CK53&lt;3700,CK53*0.0126,IF(CK53&gt;3699,CK53*0.01385,""))))</f>
        <v>0</v>
      </c>
      <c r="CM53" s="577">
        <v>18</v>
      </c>
      <c r="CN53" s="576">
        <v>0</v>
      </c>
      <c r="CO53" s="532">
        <f>IF(CN53&lt;2700,CN53*0.0097,IF(CN53&lt;3200,CN53*0.01095,IF(CN53&lt;3700,CN53*0.0122,IF(CN53&gt;3699,CN53*0.01345,""))))</f>
        <v>0</v>
      </c>
      <c r="CP53" s="619">
        <v>5</v>
      </c>
      <c r="CQ53" s="576">
        <v>0</v>
      </c>
      <c r="CR53" s="532">
        <f>IF(CQ53&lt;2700,CQ53*0.0097,IF(CQ53&lt;3200,CQ53*0.01095,IF(CQ53&lt;3700,CQ53*0.0122,IF(CQ53&gt;3699,CQ53*0.01345,""))))</f>
        <v>0</v>
      </c>
      <c r="CS53" s="577">
        <v>18</v>
      </c>
      <c r="CT53" s="1148">
        <f t="shared" si="77"/>
        <v>0</v>
      </c>
      <c r="CU53" s="623">
        <f t="shared" si="77"/>
        <v>0</v>
      </c>
      <c r="CV53" s="624">
        <f t="shared" si="31"/>
        <v>159</v>
      </c>
      <c r="CW53" s="586"/>
      <c r="CX53" s="1149">
        <f t="shared" si="32"/>
        <v>159</v>
      </c>
      <c r="CY53" s="1150">
        <f t="shared" si="71"/>
        <v>15497.005025125627</v>
      </c>
      <c r="CZ53" s="1151">
        <f t="shared" si="71"/>
        <v>134.08672160804019</v>
      </c>
      <c r="DA53" s="1152">
        <f t="shared" si="71"/>
        <v>233</v>
      </c>
      <c r="DB53" s="1153">
        <f t="shared" si="34"/>
        <v>367.08672160804019</v>
      </c>
      <c r="DC53" s="988" t="s">
        <v>807</v>
      </c>
      <c r="DD53" s="570"/>
      <c r="DE53" s="570"/>
      <c r="DF53" s="570"/>
      <c r="DG53" s="570"/>
      <c r="DH53" s="570"/>
      <c r="DI53" s="570"/>
      <c r="DJ53" s="570"/>
      <c r="DK53" s="570"/>
      <c r="DL53" s="570"/>
      <c r="DM53" s="570"/>
      <c r="DN53" s="570"/>
      <c r="DO53" s="570"/>
      <c r="DP53" s="570"/>
      <c r="DQ53" s="570"/>
      <c r="DR53" s="570"/>
      <c r="DS53" s="570"/>
      <c r="DT53" s="570"/>
      <c r="DU53" s="570"/>
      <c r="DV53" s="570"/>
      <c r="DW53" s="570"/>
      <c r="DX53" s="570"/>
      <c r="DY53" s="570"/>
      <c r="DZ53" s="570"/>
      <c r="EA53" s="570"/>
      <c r="EB53" s="570"/>
      <c r="EC53" s="570"/>
      <c r="ED53" s="570"/>
      <c r="EE53" s="570"/>
      <c r="EF53" s="570"/>
      <c r="EG53" s="570"/>
      <c r="EH53" s="570"/>
      <c r="EI53" s="570"/>
      <c r="EJ53" s="570"/>
      <c r="EK53" s="570"/>
      <c r="EL53" s="570"/>
      <c r="EM53" s="570"/>
      <c r="EN53" s="570"/>
      <c r="EO53" s="570"/>
      <c r="EP53" s="570"/>
      <c r="EQ53" s="570"/>
      <c r="ER53" s="570"/>
    </row>
    <row r="54" spans="1:148" s="571" customFormat="1" ht="15.75" customHeight="1" x14ac:dyDescent="0.25">
      <c r="A54" s="1140">
        <f t="shared" si="74"/>
        <v>48</v>
      </c>
      <c r="B54" s="972" t="s">
        <v>129</v>
      </c>
      <c r="C54" s="921" t="s">
        <v>756</v>
      </c>
      <c r="D54" s="975" t="s">
        <v>808</v>
      </c>
      <c r="E54" s="976" t="s">
        <v>809</v>
      </c>
      <c r="F54" s="576">
        <v>0</v>
      </c>
      <c r="G54" s="532">
        <v>0</v>
      </c>
      <c r="H54" s="532">
        <v>18</v>
      </c>
      <c r="I54" s="576">
        <v>0</v>
      </c>
      <c r="J54" s="532">
        <v>0</v>
      </c>
      <c r="K54" s="532">
        <v>20</v>
      </c>
      <c r="L54" s="576">
        <v>0</v>
      </c>
      <c r="M54" s="532">
        <v>0</v>
      </c>
      <c r="N54" s="532">
        <v>40</v>
      </c>
      <c r="O54" s="578"/>
      <c r="P54" s="532">
        <v>0</v>
      </c>
      <c r="Q54" s="532"/>
      <c r="R54" s="578">
        <v>0</v>
      </c>
      <c r="S54" s="586">
        <v>0</v>
      </c>
      <c r="T54" s="586">
        <v>0</v>
      </c>
      <c r="U54" s="578">
        <v>0</v>
      </c>
      <c r="V54" s="532">
        <v>0</v>
      </c>
      <c r="W54" s="532">
        <v>20</v>
      </c>
      <c r="X54" s="578">
        <v>0</v>
      </c>
      <c r="Y54" s="532">
        <v>0</v>
      </c>
      <c r="Z54" s="619">
        <v>18</v>
      </c>
      <c r="AA54" s="578">
        <v>0</v>
      </c>
      <c r="AB54" s="532">
        <v>0</v>
      </c>
      <c r="AC54" s="532">
        <v>20</v>
      </c>
      <c r="AD54" s="578">
        <v>0</v>
      </c>
      <c r="AE54" s="532">
        <v>0</v>
      </c>
      <c r="AF54" s="532">
        <v>25</v>
      </c>
      <c r="AG54" s="578">
        <v>0</v>
      </c>
      <c r="AH54" s="532">
        <v>0</v>
      </c>
      <c r="AI54" s="619">
        <v>18</v>
      </c>
      <c r="AJ54" s="576">
        <v>2605.507537688442</v>
      </c>
      <c r="AK54" s="598">
        <f>IF(AJ54&lt;2700,AJ54*0.0085,IF(AJ54&lt;3200,AJ54*0.01,IF(AJ54&lt;3700,AJ54*0.0105,IF(AJ54&gt;3699,AJ54*0.01175,""))))</f>
        <v>22.146814070351759</v>
      </c>
      <c r="AL54" s="532">
        <f>35-AK54</f>
        <v>12.853185929648241</v>
      </c>
      <c r="AM54" s="576">
        <v>2827.4170854271356</v>
      </c>
      <c r="AN54" s="598">
        <f>IF(AM54&lt;2700,AM54*0.0085,IF(AM54&lt;3200,AM54*0.01,IF(AM54&lt;3700,AM54*0.0105,IF(AM54&gt;3699,AM54*0.01175,""))))</f>
        <v>28.274170854271357</v>
      </c>
      <c r="AO54" s="532"/>
      <c r="AP54" s="578">
        <v>0</v>
      </c>
      <c r="AQ54" s="532">
        <f>IF(AP54&lt;2700,AP54*0.0097,IF(AP54&lt;3200,AP54*0.01095,IF(AP54&lt;3700,AP54*0.0122,IF(AP54&gt;3699,AP54*0.01345,""))))</f>
        <v>0</v>
      </c>
      <c r="AR54" s="532">
        <v>12</v>
      </c>
      <c r="AS54" s="576">
        <v>0</v>
      </c>
      <c r="AT54" s="577">
        <f>IF(AS54&lt;2700,AS54*0.01,IF(AS54&lt;3200,AS54*0.0105,IF(AS54&lt;3700,AS54*0.01175,IF(AS54&gt;3699,AS54*0.013,""))))</f>
        <v>0</v>
      </c>
      <c r="AU54" s="532">
        <v>20</v>
      </c>
      <c r="AV54" s="578"/>
      <c r="AW54" s="532">
        <v>0</v>
      </c>
      <c r="AX54" s="532"/>
      <c r="AY54" s="578"/>
      <c r="AZ54" s="532">
        <v>0</v>
      </c>
      <c r="BA54" s="532"/>
      <c r="BB54" s="581">
        <f t="shared" si="70"/>
        <v>5432.9246231155776</v>
      </c>
      <c r="BC54" s="582">
        <f t="shared" si="70"/>
        <v>50.420984924623113</v>
      </c>
      <c r="BD54" s="727">
        <f t="shared" si="70"/>
        <v>223.85318592964825</v>
      </c>
      <c r="BE54" s="586"/>
      <c r="BF54" s="637">
        <f t="shared" si="17"/>
        <v>274.27417085427135</v>
      </c>
      <c r="BG54" s="578">
        <v>0</v>
      </c>
      <c r="BH54" s="532">
        <f>IF(BG54&lt;2700,BG54*0.0097,IF(BG54&lt;3200,BG54*0.01095,IF(BG54&lt;3700,BG54*0.0122,IF(BG54&gt;3699,BG54*0.01345,""))))</f>
        <v>0</v>
      </c>
      <c r="BI54" s="532">
        <v>18</v>
      </c>
      <c r="BJ54" s="578">
        <v>0</v>
      </c>
      <c r="BK54" s="532">
        <f>IF(BJ54&lt;2700,BJ54*0.0097,IF(BJ54&lt;3200,BJ54*0.01095,IF(BJ54&lt;3700,BJ54*0.0122,IF(BJ54&gt;3699,BJ54*0.01345,""))))</f>
        <v>0</v>
      </c>
      <c r="BL54" s="532">
        <v>0</v>
      </c>
      <c r="BM54" s="576">
        <v>0</v>
      </c>
      <c r="BN54" s="532">
        <f>IF(BM54&lt;2700,BM54*0.0097,IF(BM54&lt;3200,BM54*0.01095,IF(BM54&lt;3700,BM54*0.0122,IF(BM54&gt;3699,BM54*0.01345,""))))</f>
        <v>0</v>
      </c>
      <c r="BO54" s="532">
        <v>18</v>
      </c>
      <c r="BP54" s="576">
        <v>2535.075376884422</v>
      </c>
      <c r="BQ54" s="577">
        <f>IF(BP54&lt;2700,BP54*0.01,IF(BP54&lt;3200,BP54*0.0105,IF(BP54&lt;3700,BP54*0.01175,IF(BP54&gt;3699,BP54*0.013,""))))</f>
        <v>25.350753768844221</v>
      </c>
      <c r="BR54" s="532"/>
      <c r="BS54" s="576">
        <v>0</v>
      </c>
      <c r="BT54" s="577">
        <f>IF(BS54&lt;2700,BS54*0.0105,IF(BS54&lt;3200,BS54*0.01175,IF(BS54&lt;3700,BS54*0.013,IF(BS54&gt;3699,BS54*0.01425,""))))</f>
        <v>0</v>
      </c>
      <c r="BU54" s="532">
        <v>18</v>
      </c>
      <c r="BV54" s="576">
        <v>2122.1306532663316</v>
      </c>
      <c r="BW54" s="577">
        <f>IF(BV54&lt;2700,BV54*0.01,IF(BV54&lt;3200,BV54*0.0105,IF(BV54&lt;3700,BV54*0.01175,IF(BV54&gt;3699,BV54*0.013,""))))</f>
        <v>21.221306532663316</v>
      </c>
      <c r="BX54" s="532"/>
      <c r="BY54" s="576">
        <v>1689.4070351758794</v>
      </c>
      <c r="BZ54" s="577">
        <f>IF(BY54&lt;2700,BY54*0.01,IF(BY54&lt;3200,BY54*0.0105,IF(BY54&lt;3700,BY54*0.01175,IF(BY54&gt;3699,BY54*0.013,""))))</f>
        <v>16.894070351758796</v>
      </c>
      <c r="CA54" s="532"/>
      <c r="CB54" s="578">
        <v>0</v>
      </c>
      <c r="CC54" s="532">
        <v>0</v>
      </c>
      <c r="CD54" s="532">
        <v>0</v>
      </c>
      <c r="CE54" s="576">
        <v>0</v>
      </c>
      <c r="CF54" s="532">
        <f>IF(CE54&lt;2700,CE54*0.0097,IF(CE54&lt;3200,CE54*0.01095,IF(CE54&lt;3700,CE54*0.0122,IF(CE54&gt;3699,CE54*0.01345,""))))</f>
        <v>0</v>
      </c>
      <c r="CG54" s="532">
        <v>18</v>
      </c>
      <c r="CH54" s="578">
        <v>0</v>
      </c>
      <c r="CI54" s="532">
        <v>0</v>
      </c>
      <c r="CJ54" s="532"/>
      <c r="CK54" s="578">
        <v>0</v>
      </c>
      <c r="CL54" s="532">
        <v>0</v>
      </c>
      <c r="CM54" s="532"/>
      <c r="CN54" s="578">
        <v>0</v>
      </c>
      <c r="CO54" s="532">
        <v>0</v>
      </c>
      <c r="CP54" s="532"/>
      <c r="CQ54" s="578">
        <v>0</v>
      </c>
      <c r="CR54" s="532">
        <v>0</v>
      </c>
      <c r="CS54" s="532"/>
      <c r="CT54" s="1148">
        <f t="shared" si="77"/>
        <v>6346.6130653266327</v>
      </c>
      <c r="CU54" s="623">
        <f t="shared" si="77"/>
        <v>63.466130653266333</v>
      </c>
      <c r="CV54" s="624">
        <f t="shared" si="31"/>
        <v>72</v>
      </c>
      <c r="CW54" s="586"/>
      <c r="CX54" s="1149">
        <f t="shared" si="32"/>
        <v>135.46613065326633</v>
      </c>
      <c r="CY54" s="1150">
        <f t="shared" si="71"/>
        <v>11779.537688442211</v>
      </c>
      <c r="CZ54" s="1151">
        <f t="shared" si="71"/>
        <v>113.88711557788945</v>
      </c>
      <c r="DA54" s="1152">
        <f t="shared" si="71"/>
        <v>295.85318592964825</v>
      </c>
      <c r="DB54" s="1153">
        <f t="shared" si="34"/>
        <v>409.74030150753771</v>
      </c>
      <c r="DC54" s="920" t="s">
        <v>737</v>
      </c>
      <c r="DD54" s="1026"/>
      <c r="DE54" s="570"/>
      <c r="DF54" s="570"/>
      <c r="DG54" s="570"/>
      <c r="DH54" s="570"/>
      <c r="DI54" s="570"/>
      <c r="DJ54" s="570"/>
      <c r="DK54" s="570"/>
      <c r="DL54" s="570"/>
      <c r="DM54" s="570"/>
      <c r="DN54" s="570"/>
      <c r="DO54" s="570"/>
      <c r="DP54" s="570"/>
      <c r="DQ54" s="570"/>
      <c r="DR54" s="570"/>
      <c r="DS54" s="570"/>
      <c r="DT54" s="570"/>
      <c r="DU54" s="570"/>
      <c r="DV54" s="570"/>
      <c r="DW54" s="570"/>
      <c r="DX54" s="570"/>
      <c r="DY54" s="570"/>
      <c r="DZ54" s="570"/>
      <c r="EA54" s="570"/>
      <c r="EB54" s="570"/>
      <c r="EC54" s="570"/>
      <c r="ED54" s="570"/>
      <c r="EE54" s="570"/>
      <c r="EF54" s="570"/>
      <c r="EG54" s="570"/>
      <c r="EH54" s="570"/>
      <c r="EI54" s="570"/>
      <c r="EJ54" s="570"/>
      <c r="EK54" s="570"/>
      <c r="EL54" s="570"/>
      <c r="EM54" s="570"/>
      <c r="EN54" s="570"/>
      <c r="EO54" s="570"/>
      <c r="EP54" s="570"/>
      <c r="EQ54" s="570"/>
      <c r="ER54" s="570"/>
    </row>
    <row r="55" spans="1:148" s="571" customFormat="1" ht="15.75" customHeight="1" x14ac:dyDescent="0.25">
      <c r="A55" s="1140">
        <f t="shared" si="74"/>
        <v>49</v>
      </c>
      <c r="B55" s="972" t="s">
        <v>122</v>
      </c>
      <c r="C55" s="974" t="s">
        <v>756</v>
      </c>
      <c r="D55" s="975" t="s">
        <v>810</v>
      </c>
      <c r="E55" s="976" t="s">
        <v>811</v>
      </c>
      <c r="F55" s="618">
        <v>3591.0753768844224</v>
      </c>
      <c r="G55" s="598">
        <f>IF(F55&lt;2700,F55*0.0085,IF(F55&lt;3200,F55*0.01,IF(F55&lt;3700,F55*0.0105,IF(F55&gt;3699,F55*0.01175,""))))</f>
        <v>37.70629145728644</v>
      </c>
      <c r="H55" s="619"/>
      <c r="I55" s="618">
        <v>2202.6934673366836</v>
      </c>
      <c r="J55" s="598">
        <f>IF(I55&lt;2700,I55*0.0085,IF(I55&lt;3200,I55*0.01,IF(I55&lt;3700,I55*0.0105,IF(I55&gt;3699,I55*0.01175,""))))</f>
        <v>18.722894472361812</v>
      </c>
      <c r="K55" s="619">
        <v>5</v>
      </c>
      <c r="L55" s="618">
        <v>3606.0301507537688</v>
      </c>
      <c r="M55" s="598">
        <f>IF(L55&lt;2700,L55*0.0085,IF(L55&lt;3200,L55*0.01,IF(L55&lt;3700,L55*0.0105,IF(L55&gt;3699,L55*0.01175,""))))</f>
        <v>37.863316582914578</v>
      </c>
      <c r="N55" s="619"/>
      <c r="O55" s="654"/>
      <c r="P55" s="577">
        <f>IF(O55&lt;2700,O55*0.0105,IF(O55&lt;3200,O55*0.01175,IF(O55&lt;3700,O55*0.013,IF(O55&gt;3699,O55*0.01425,""))))</f>
        <v>0</v>
      </c>
      <c r="Q55" s="619"/>
      <c r="R55" s="618">
        <v>0</v>
      </c>
      <c r="S55" s="577">
        <f>IF(R55&lt;2700,R55*0.01,IF(R55&lt;3200,R55*0.0105,IF(R55&lt;3700,R55*0.01175,IF(R55&gt;3699,R55*0.013,""))))</f>
        <v>0</v>
      </c>
      <c r="T55" s="619">
        <v>18</v>
      </c>
      <c r="U55" s="618">
        <v>0</v>
      </c>
      <c r="V55" s="577">
        <f>IF(U55&lt;2700,U55*0.01,IF(U55&lt;3200,U55*0.0105,IF(U55&lt;3700,U55*0.01175,IF(U55&gt;3699,U55*0.013,""))))</f>
        <v>0</v>
      </c>
      <c r="W55" s="619">
        <v>18</v>
      </c>
      <c r="X55" s="618">
        <v>0</v>
      </c>
      <c r="Y55" s="577">
        <f>IF(X55&lt;2700,X55*0.01,IF(X55&lt;3200,X55*0.0105,IF(X55&lt;3700,X55*0.01175,IF(X55&gt;3699,X55*0.013,""))))</f>
        <v>0</v>
      </c>
      <c r="Z55" s="619">
        <v>18</v>
      </c>
      <c r="AA55" s="618">
        <v>0</v>
      </c>
      <c r="AB55" s="577">
        <f>IF(AA55&lt;2700,AA55*0.01,IF(AA55&lt;3200,AA55*0.0105,IF(AA55&lt;3700,AA55*0.01175,IF(AA55&gt;3699,AA55*0.013,""))))</f>
        <v>0</v>
      </c>
      <c r="AC55" s="619">
        <v>18</v>
      </c>
      <c r="AD55" s="618">
        <v>0</v>
      </c>
      <c r="AE55" s="577">
        <f>IF(AD55&lt;2700,AD55*0.01,IF(AD55&lt;3200,AD55*0.0105,IF(AD55&lt;3700,AD55*0.01175,IF(AD55&gt;3699,AD55*0.013,""))))</f>
        <v>0</v>
      </c>
      <c r="AF55" s="619">
        <v>18</v>
      </c>
      <c r="AG55" s="618">
        <v>0</v>
      </c>
      <c r="AH55" s="577">
        <f>IF(AG55&lt;2700,AG55*0.0105,IF(AG55&lt;3200,AG55*0.01175,IF(AG55&lt;3700,AG55*0.013,IF(AG55&gt;3699,AG55*0.01425,""))))</f>
        <v>0</v>
      </c>
      <c r="AI55" s="619">
        <v>18</v>
      </c>
      <c r="AJ55" s="618">
        <v>0</v>
      </c>
      <c r="AK55" s="577">
        <f>IF(AJ55&lt;2700,AJ55*0.01,IF(AJ55&lt;3200,AJ55*0.0105,IF(AJ55&lt;3700,AJ55*0.01175,IF(AJ55&gt;3699,AJ55*0.013,""))))</f>
        <v>0</v>
      </c>
      <c r="AL55" s="619">
        <v>18</v>
      </c>
      <c r="AM55" s="618">
        <v>0</v>
      </c>
      <c r="AN55" s="577">
        <f>IF(AM55&lt;2700,AM55*0.01,IF(AM55&lt;3200,AM55*0.0105,IF(AM55&lt;3700,AM55*0.01175,IF(AM55&gt;3699,AM55*0.013,""))))</f>
        <v>0</v>
      </c>
      <c r="AO55" s="619">
        <v>18</v>
      </c>
      <c r="AP55" s="618">
        <v>0</v>
      </c>
      <c r="AQ55" s="577">
        <f>IF(AP55&lt;2700,AP55*0.0105,IF(AP55&lt;3200,AP55*0.01175,IF(AP55&lt;3700,AP55*0.013,IF(AP55&gt;3699,AP55*0.01425,""))))</f>
        <v>0</v>
      </c>
      <c r="AR55" s="619">
        <v>20</v>
      </c>
      <c r="AS55" s="618">
        <v>2660.0201005025128</v>
      </c>
      <c r="AT55" s="577">
        <f>IF(AS55&lt;2700,AS55*0.01,IF(AS55&lt;3200,AS55*0.0105,IF(AS55&lt;3700,AS55*0.01175,IF(AS55&gt;3699,AS55*0.013,""))))</f>
        <v>26.600201005025127</v>
      </c>
      <c r="AU55" s="619"/>
      <c r="AV55" s="654"/>
      <c r="AW55" s="577">
        <f>IF(AV55&lt;2700,AV55*0.0105,IF(AV55&lt;3200,AV55*0.01175,IF(AV55&lt;3700,AV55*0.013,IF(AV55&gt;3699,AV55*0.01425,""))))</f>
        <v>0</v>
      </c>
      <c r="AX55" s="619"/>
      <c r="AY55" s="654"/>
      <c r="AZ55" s="577">
        <f>IF(AY55&lt;2700,AY55*0.0105,IF(AY55&lt;3200,AY55*0.01175,IF(AY55&lt;3700,AY55*0.013,IF(AY55&gt;3699,AY55*0.01425,""))))</f>
        <v>0</v>
      </c>
      <c r="BA55" s="619"/>
      <c r="BB55" s="581">
        <f t="shared" si="70"/>
        <v>12059.819095477385</v>
      </c>
      <c r="BC55" s="582">
        <f t="shared" si="70"/>
        <v>120.89270351758796</v>
      </c>
      <c r="BD55" s="727">
        <f t="shared" si="70"/>
        <v>169</v>
      </c>
      <c r="BE55" s="586"/>
      <c r="BF55" s="637">
        <f t="shared" si="17"/>
        <v>289.89270351758796</v>
      </c>
      <c r="BG55" s="654">
        <v>0</v>
      </c>
      <c r="BH55" s="577">
        <f>IF(BG55&lt;2700,BG55*0.01,IF(BG55&lt;3200,BG55*0.0105,IF(BG55&lt;3700,BG55*0.01175,IF(BG55&gt;3699,BG55*0.013,""))))</f>
        <v>0</v>
      </c>
      <c r="BI55" s="619">
        <v>18</v>
      </c>
      <c r="BJ55" s="654">
        <v>0</v>
      </c>
      <c r="BK55" s="577">
        <f>IF(BJ55&lt;2700,BJ55*0.0105,IF(BJ55&lt;3200,BJ55*0.01175,IF(BJ55&lt;3700,BJ55*0.013,IF(BJ55&gt;3699,BJ55*0.01425,""))))</f>
        <v>0</v>
      </c>
      <c r="BL55" s="619">
        <v>0</v>
      </c>
      <c r="BM55" s="618">
        <v>2175.1959798994972</v>
      </c>
      <c r="BN55" s="577">
        <f>IF(BM55&lt;2700,BM55*0.01,IF(BM55&lt;3200,BM55*0.0105,IF(BM55&lt;3700,BM55*0.01175,IF(BM55&gt;3699,BM55*0.013,""))))</f>
        <v>21.751959798994971</v>
      </c>
      <c r="BO55" s="619"/>
      <c r="BP55" s="618">
        <v>2744.9246231155776</v>
      </c>
      <c r="BQ55" s="577">
        <f>IF(BP55&lt;2700,BP55*0.01,IF(BP55&lt;3200,BP55*0.0105,IF(BP55&lt;3700,BP55*0.01175,IF(BP55&gt;3699,BP55*0.013,""))))</f>
        <v>28.821708542713566</v>
      </c>
      <c r="BR55" s="619"/>
      <c r="BS55" s="618">
        <v>2624.8040201005028</v>
      </c>
      <c r="BT55" s="577">
        <f>IF(BS55&lt;2700,BS55*0.01,IF(BS55&lt;3200,BS55*0.0105,IF(BS55&lt;3700,BS55*0.01175,IF(BS55&gt;3699,BS55*0.013,""))))</f>
        <v>26.248040201005029</v>
      </c>
      <c r="BU55" s="619"/>
      <c r="BV55" s="618">
        <v>2994.3316582914572</v>
      </c>
      <c r="BW55" s="577">
        <f>IF(BV55&lt;2700,BV55*0.01,IF(BV55&lt;3200,BV55*0.0105,IF(BV55&lt;3700,BV55*0.01175,IF(BV55&gt;3699,BV55*0.013,""))))</f>
        <v>31.440482412060302</v>
      </c>
      <c r="BX55" s="619"/>
      <c r="BY55" s="618">
        <v>1798.4321608040202</v>
      </c>
      <c r="BZ55" s="577">
        <f>IF(BY55&lt;2700,BY55*0.01,IF(BY55&lt;3200,BY55*0.0105,IF(BY55&lt;3700,BY55*0.01175,IF(BY55&gt;3699,BY55*0.013,""))))</f>
        <v>17.984321608040201</v>
      </c>
      <c r="CA55" s="619"/>
      <c r="CB55" s="654">
        <v>0</v>
      </c>
      <c r="CC55" s="577">
        <f>IF(CB55&lt;2700,CB55*0.0105,IF(CB55&lt;3200,CB55*0.01175,IF(CB55&lt;3700,CB55*0.013,IF(CB55&gt;3699,CB55*0.01425,""))))</f>
        <v>0</v>
      </c>
      <c r="CD55" s="619">
        <v>0</v>
      </c>
      <c r="CE55" s="618">
        <v>0</v>
      </c>
      <c r="CF55" s="586">
        <f>IF(CE55&lt;2700,CE55*0.0105,IF(CE55&lt;3200,CE55*0.01175,IF(CE55&lt;3700,CE55*0.013,IF(CE55&gt;3699,CE55*0.01425,""))))</f>
        <v>0</v>
      </c>
      <c r="CG55" s="586">
        <v>0</v>
      </c>
      <c r="CH55" s="654">
        <v>0</v>
      </c>
      <c r="CI55" s="577">
        <f>IF(CH55&lt;2700,CH55*0.0105,IF(CH55&lt;3200,CH55*0.01175,IF(CH55&lt;3700,CH55*0.013,IF(CH55&gt;3699,CH55*0.01425,""))))</f>
        <v>0</v>
      </c>
      <c r="CJ55" s="619">
        <v>0</v>
      </c>
      <c r="CK55" s="654">
        <v>0</v>
      </c>
      <c r="CL55" s="577">
        <f>IF(CK55&lt;2700,CK55*0.0105,IF(CK55&lt;3200,CK55*0.01175,IF(CK55&lt;3700,CK55*0.013,IF(CK55&gt;3699,CK55*0.01425,""))))</f>
        <v>0</v>
      </c>
      <c r="CM55" s="619">
        <v>0</v>
      </c>
      <c r="CN55" s="654">
        <v>0</v>
      </c>
      <c r="CO55" s="577">
        <f>IF(CN55&lt;2700,CN55*0.0105,IF(CN55&lt;3200,CN55*0.01175,IF(CN55&lt;3700,CN55*0.013,IF(CN55&gt;3699,CN55*0.01425,""))))</f>
        <v>0</v>
      </c>
      <c r="CP55" s="619"/>
      <c r="CQ55" s="654">
        <v>0</v>
      </c>
      <c r="CR55" s="577">
        <f>IF(CQ55&lt;2700,CQ55*0.0105,IF(CQ55&lt;3200,CQ55*0.01175,IF(CQ55&lt;3700,CQ55*0.013,IF(CQ55&gt;3699,CQ55*0.01425,""))))</f>
        <v>0</v>
      </c>
      <c r="CS55" s="619"/>
      <c r="CT55" s="1148">
        <f t="shared" si="77"/>
        <v>12337.688442211056</v>
      </c>
      <c r="CU55" s="623">
        <f t="shared" si="77"/>
        <v>126.24651256281408</v>
      </c>
      <c r="CV55" s="624">
        <f t="shared" si="31"/>
        <v>18</v>
      </c>
      <c r="CW55" s="586"/>
      <c r="CX55" s="1149">
        <f t="shared" si="32"/>
        <v>144.24651256281408</v>
      </c>
      <c r="CY55" s="1150">
        <f t="shared" si="71"/>
        <v>24397.507537688442</v>
      </c>
      <c r="CZ55" s="1151">
        <f t="shared" si="71"/>
        <v>247.13921608040204</v>
      </c>
      <c r="DA55" s="1152">
        <f t="shared" si="71"/>
        <v>187</v>
      </c>
      <c r="DB55" s="1153">
        <f t="shared" si="34"/>
        <v>434.13921608040204</v>
      </c>
      <c r="DC55" s="920" t="s">
        <v>812</v>
      </c>
      <c r="DD55" s="570"/>
      <c r="DE55" s="570"/>
      <c r="DF55" s="570"/>
      <c r="DG55" s="570"/>
      <c r="DH55" s="570"/>
      <c r="DI55" s="570"/>
      <c r="DJ55" s="570"/>
      <c r="DK55" s="570"/>
      <c r="DL55" s="570"/>
      <c r="DM55" s="570"/>
      <c r="DN55" s="570"/>
      <c r="DO55" s="570"/>
      <c r="DP55" s="570"/>
      <c r="DQ55" s="570"/>
      <c r="DR55" s="570"/>
      <c r="DS55" s="570"/>
      <c r="DT55" s="570"/>
      <c r="DU55" s="570"/>
      <c r="DV55" s="570"/>
      <c r="DW55" s="570"/>
      <c r="DX55" s="570"/>
      <c r="DY55" s="570"/>
      <c r="DZ55" s="570"/>
      <c r="EA55" s="570"/>
      <c r="EB55" s="570"/>
      <c r="EC55" s="570"/>
      <c r="ED55" s="570"/>
      <c r="EE55" s="570"/>
      <c r="EF55" s="570"/>
      <c r="EG55" s="570"/>
      <c r="EH55" s="570"/>
      <c r="EI55" s="570"/>
      <c r="EJ55" s="570"/>
      <c r="EK55" s="570"/>
      <c r="EL55" s="570"/>
      <c r="EM55" s="570"/>
      <c r="EN55" s="570"/>
      <c r="EO55" s="570"/>
      <c r="EP55" s="570"/>
      <c r="EQ55" s="570"/>
      <c r="ER55" s="570"/>
    </row>
    <row r="56" spans="1:148" s="571" customFormat="1" ht="15.75" customHeight="1" x14ac:dyDescent="0.25">
      <c r="A56" s="1140">
        <f t="shared" si="74"/>
        <v>50</v>
      </c>
      <c r="B56" s="972" t="s">
        <v>89</v>
      </c>
      <c r="C56" s="974" t="s">
        <v>806</v>
      </c>
      <c r="D56" s="975" t="s">
        <v>813</v>
      </c>
      <c r="E56" s="976" t="s">
        <v>814</v>
      </c>
      <c r="F56" s="576">
        <v>3461.7889447236184</v>
      </c>
      <c r="G56" s="517">
        <f>IF(F56&lt;2700,F56*0.007,IF(F56&lt;3200,F56*0.008,IF(F56&lt;3700,F56*0.0097,IF(F56&gt;3699,F56*0.01095,""))))</f>
        <v>33.579352763819102</v>
      </c>
      <c r="H56" s="619"/>
      <c r="I56" s="576">
        <v>3686.1105527638197</v>
      </c>
      <c r="J56" s="517">
        <f>IF(I56&lt;2700,I56*0.007,IF(I56&lt;3200,I56*0.008,IF(I56&lt;3700,I56*0.0097,IF(I56&gt;3699,I56*0.01095,""))))</f>
        <v>35.755272361809055</v>
      </c>
      <c r="K56" s="619"/>
      <c r="L56" s="576">
        <v>4135.718592964824</v>
      </c>
      <c r="M56" s="517">
        <f>IF(L56&lt;2700,L56*0.007,IF(L56&lt;3200,L56*0.008,IF(L56&lt;3700,L56*0.0097,IF(L56&gt;3699,L56*0.01095,""))))</f>
        <v>45.286118592964819</v>
      </c>
      <c r="N56" s="619"/>
      <c r="O56" s="578"/>
      <c r="P56" s="532">
        <f>IF(O56&lt;2700,O56*0.0097,IF(O56&lt;3200,O56*0.01095,IF(O56&lt;3700,O56*0.0122,IF(O56&gt;3699,O56*0.01345,""))))</f>
        <v>0</v>
      </c>
      <c r="Q56" s="619"/>
      <c r="R56" s="576">
        <v>5291.58</v>
      </c>
      <c r="S56" s="517">
        <f>IF(R56&lt;2700,R56*0.007,IF(R56&lt;3200,R56*0.008,IF(R56&lt;3700,R56*0.0097,IF(R56&gt;3699,R56*0.01095,""))))</f>
        <v>57.942800999999996</v>
      </c>
      <c r="T56" s="619"/>
      <c r="U56" s="576">
        <v>3502.793969849246</v>
      </c>
      <c r="V56" s="517">
        <f>IF(U56&lt;2700,U56*0.007,IF(U56&lt;3200,U56*0.008,IF(U56&lt;3700,U56*0.0097,IF(U56&gt;3699,U56*0.01095,""))))</f>
        <v>33.977101507537689</v>
      </c>
      <c r="W56" s="619"/>
      <c r="X56" s="578">
        <v>2782.5527638190952</v>
      </c>
      <c r="Y56" s="517">
        <f>IF(X56&lt;2700,X56*0.007,IF(X56&lt;3200,X56*0.008,IF(X56&lt;3700,X56*0.0097,IF(X56&gt;3699,X56*0.01095,""))))</f>
        <v>22.26042211055276</v>
      </c>
      <c r="Z56" s="619"/>
      <c r="AA56" s="578">
        <v>2426.0502512562816</v>
      </c>
      <c r="AB56" s="517">
        <f>IF(AA56&lt;2700,AA56*0.007,IF(AA56&lt;3200,AA56*0.008,IF(AA56&lt;3700,AA56*0.0097,IF(AA56&gt;3699,AA56*0.01095,""))))</f>
        <v>16.982351758793971</v>
      </c>
      <c r="AC56" s="619"/>
      <c r="AD56" s="576">
        <v>6690.572864321608</v>
      </c>
      <c r="AE56" s="517">
        <f>IF(AD56&lt;2700,AD56*0.007,IF(AD56&lt;3200,AD56*0.008,IF(AD56&lt;3700,AD56*0.0097,IF(AD56&gt;3699,AD56*0.01095,""))))</f>
        <v>73.2617728643216</v>
      </c>
      <c r="AF56" s="619"/>
      <c r="AG56" s="576">
        <v>0</v>
      </c>
      <c r="AH56" s="532">
        <f>IF(AG56&lt;2700,AG56*0.0097,IF(AG56&lt;3200,AG56*0.01095,IF(AG56&lt;3700,AG56*0.0122,IF(AG56&gt;3699,AG56*0.01345,""))))</f>
        <v>0</v>
      </c>
      <c r="AI56" s="619"/>
      <c r="AJ56" s="576">
        <v>4213.3869346733663</v>
      </c>
      <c r="AK56" s="517">
        <f>IF(AJ56&lt;2700,AJ56*0.007,IF(AJ56&lt;3200,AJ56*0.008,IF(AJ56&lt;3700,AJ56*0.0097,IF(AJ56&gt;3699,AJ56*0.01095,""))))</f>
        <v>46.13658693467336</v>
      </c>
      <c r="AL56" s="619"/>
      <c r="AM56" s="576">
        <v>3505.6884422110556</v>
      </c>
      <c r="AN56" s="517">
        <f>IF(AM56&lt;2700,AM56*0.007,IF(AM56&lt;3200,AM56*0.008,IF(AM56&lt;3700,AM56*0.0097,IF(AM56&gt;3699,AM56*0.01095,""))))</f>
        <v>34.005177889447239</v>
      </c>
      <c r="AO56" s="619"/>
      <c r="AP56" s="578">
        <v>0</v>
      </c>
      <c r="AQ56" s="532">
        <f>IF(AP56&lt;2700,AP56*0.0097,IF(AP56&lt;3200,AP56*0.01095,IF(AP56&lt;3700,AP56*0.0122,IF(AP56&gt;3699,AP56*0.01345,""))))</f>
        <v>0</v>
      </c>
      <c r="AR56" s="619">
        <v>12</v>
      </c>
      <c r="AS56" s="576">
        <v>4248.6030150753777</v>
      </c>
      <c r="AT56" s="532">
        <f>IF(AS56&lt;2700,AS56*0.008,IF(AS56&lt;3200,AS56*0.0097,IF(AS56&lt;3700,AS56*0.01095,IF(AS56&gt;3699,AS56*0.0122,""))))</f>
        <v>51.832956783919613</v>
      </c>
      <c r="AU56" s="619"/>
      <c r="AV56" s="578"/>
      <c r="AW56" s="532">
        <f>IF(AV56&lt;2700,AV56*0.0097,IF(AV56&lt;3200,AV56*0.01095,IF(AV56&lt;3700,AV56*0.0122,IF(AV56&gt;3699,AV56*0.01345,""))))</f>
        <v>0</v>
      </c>
      <c r="AX56" s="619"/>
      <c r="AY56" s="578"/>
      <c r="AZ56" s="532">
        <f>IF(AY56&lt;2700,AY56*0.0097,IF(AY56&lt;3200,AY56*0.01095,IF(AY56&lt;3700,AY56*0.0122,IF(AY56&gt;3699,AY56*0.01345,""))))</f>
        <v>0</v>
      </c>
      <c r="BA56" s="619"/>
      <c r="BB56" s="581">
        <f t="shared" si="70"/>
        <v>43944.846331658286</v>
      </c>
      <c r="BC56" s="582">
        <f t="shared" si="70"/>
        <v>451.01991456783918</v>
      </c>
      <c r="BD56" s="727">
        <f t="shared" si="70"/>
        <v>12</v>
      </c>
      <c r="BE56" s="586"/>
      <c r="BF56" s="637">
        <f t="shared" si="17"/>
        <v>463.01991456783918</v>
      </c>
      <c r="BG56" s="578">
        <v>3365.3065326633168</v>
      </c>
      <c r="BH56" s="532">
        <f>IF(BG56&lt;2700,BG56*0.008,IF(BG56&lt;3200,BG56*0.0097,IF(BG56&lt;3700,BG56*0.01095,IF(BG56&gt;3699,BG56*0.0122,""))))</f>
        <v>36.850106532663318</v>
      </c>
      <c r="BI56" s="619"/>
      <c r="BJ56" s="578">
        <v>0</v>
      </c>
      <c r="BK56" s="586">
        <f>IF(BJ56&lt;2700,BJ56*0.0097,IF(BJ56&lt;3200,BJ56*0.01095,IF(BJ56&lt;3700,BJ56*0.0122,IF(BJ56&gt;3699,BJ56*0.01345,""))))</f>
        <v>0</v>
      </c>
      <c r="BL56" s="586">
        <v>0</v>
      </c>
      <c r="BM56" s="576">
        <v>0</v>
      </c>
      <c r="BN56" s="532">
        <f>IF(BM56&lt;2700,BM56*0.0097,IF(BM56&lt;3200,BM56*0.01095,IF(BM56&lt;3700,BM56*0.0122,IF(BM56&gt;3699,BM56*0.01345,""))))</f>
        <v>0</v>
      </c>
      <c r="BO56" s="532">
        <v>18</v>
      </c>
      <c r="BP56" s="576">
        <v>0</v>
      </c>
      <c r="BQ56" s="532">
        <f>IF(BP56&lt;2700,BP56*0.0097,IF(BP56&lt;3200,BP56*0.01095,IF(BP56&lt;3700,BP56*0.0122,IF(BP56&gt;3699,BP56*0.01345,""))))</f>
        <v>0</v>
      </c>
      <c r="BR56" s="619">
        <v>18</v>
      </c>
      <c r="BS56" s="576">
        <v>0</v>
      </c>
      <c r="BT56" s="532">
        <f>IF(BS56&lt;2700,BS56*0.0097,IF(BS56&lt;3200,BS56*0.01095,IF(BS56&lt;3700,BS56*0.0122,IF(BS56&gt;3699,BS56*0.01345,""))))</f>
        <v>0</v>
      </c>
      <c r="BU56" s="619">
        <v>18</v>
      </c>
      <c r="BV56" s="576">
        <v>0</v>
      </c>
      <c r="BW56" s="532">
        <f>IF(BV56&lt;2700,BV56*0.0097,IF(BV56&lt;3200,BV56*0.01095,IF(BV56&lt;3700,BV56*0.0122,IF(BV56&gt;3699,BV56*0.01345,""))))</f>
        <v>0</v>
      </c>
      <c r="BX56" s="619">
        <v>18</v>
      </c>
      <c r="BY56" s="576">
        <v>0</v>
      </c>
      <c r="BZ56" s="532">
        <f>IF(BY56&lt;2700,BY56*0.0097,IF(BY56&lt;3200,BY56*0.01095,IF(BY56&lt;3700,BY56*0.0122,IF(BY56&gt;3699,BY56*0.01345,""))))</f>
        <v>0</v>
      </c>
      <c r="CA56" s="532">
        <v>18</v>
      </c>
      <c r="CB56" s="576">
        <v>0</v>
      </c>
      <c r="CC56" s="532">
        <f>IF(CB56&lt;2700,CB56*0.0097,IF(CB56&lt;3200,CB56*0.01095,IF(CB56&lt;3700,CB56*0.0122,IF(CB56&gt;3699,CB56*0.01345,""))))</f>
        <v>0</v>
      </c>
      <c r="CD56" s="532">
        <v>10</v>
      </c>
      <c r="CE56" s="576">
        <v>0</v>
      </c>
      <c r="CF56" s="532">
        <f>IF(CE56&lt;2700,CE56*0.0097,IF(CE56&lt;3200,CE56*0.01095,IF(CE56&lt;3700,CE56*0.0122,IF(CE56&gt;3699,CE56*0.01345,""))))</f>
        <v>0</v>
      </c>
      <c r="CG56" s="532">
        <v>18</v>
      </c>
      <c r="CH56" s="576">
        <v>0</v>
      </c>
      <c r="CI56" s="532">
        <f>IF(CH56&lt;2700,CH56*0.0101,IF(CH56&lt;3200,CH56*0.01135,IF(CH56&lt;3700,CH56*0.0126,IF(CH56&gt;3699,CH56*0.01385,""))))</f>
        <v>0</v>
      </c>
      <c r="CJ56" s="577">
        <v>18</v>
      </c>
      <c r="CK56" s="576">
        <v>0</v>
      </c>
      <c r="CL56" s="586">
        <f>IF(CK56&lt;2700,CK56*0.0101,IF(CK56&lt;3200,CK56*0.01135,IF(CK56&lt;3700,CK56*0.0126,IF(CK56&gt;3699,CK56*0.01385,""))))</f>
        <v>0</v>
      </c>
      <c r="CM56" s="577"/>
      <c r="CN56" s="576">
        <v>0</v>
      </c>
      <c r="CO56" s="532">
        <f>IF(CN56&lt;2700,CN56*0.0101,IF(CN56&lt;3200,CN56*0.01135,IF(CN56&lt;3700,CN56*0.0126,IF(CN56&gt;3699,CN56*0.01385,""))))</f>
        <v>0</v>
      </c>
      <c r="CP56" s="577">
        <v>18</v>
      </c>
      <c r="CQ56" s="576">
        <v>0</v>
      </c>
      <c r="CR56" s="532">
        <f>IF(CQ56&lt;2700,CQ56*0.0097,IF(CQ56&lt;3200,CQ56*0.01095,IF(CQ56&lt;3700,CQ56*0.0122,IF(CQ56&gt;3699,CQ56*0.01345,""))))</f>
        <v>0</v>
      </c>
      <c r="CS56" s="577"/>
      <c r="CT56" s="1148">
        <f t="shared" si="77"/>
        <v>3365.3065326633168</v>
      </c>
      <c r="CU56" s="623">
        <f t="shared" si="77"/>
        <v>36.850106532663318</v>
      </c>
      <c r="CV56" s="624">
        <f t="shared" si="31"/>
        <v>154</v>
      </c>
      <c r="CW56" s="586"/>
      <c r="CX56" s="1149">
        <f t="shared" si="32"/>
        <v>190.85010653266332</v>
      </c>
      <c r="CY56" s="1150">
        <f t="shared" si="71"/>
        <v>47310.152864321601</v>
      </c>
      <c r="CZ56" s="1151">
        <f t="shared" si="71"/>
        <v>487.87002110050253</v>
      </c>
      <c r="DA56" s="1152">
        <f t="shared" si="71"/>
        <v>166</v>
      </c>
      <c r="DB56" s="1153">
        <f t="shared" si="34"/>
        <v>653.87002110050253</v>
      </c>
      <c r="DC56" s="920" t="s">
        <v>747</v>
      </c>
      <c r="DD56" s="570"/>
      <c r="DE56" s="570"/>
      <c r="DF56" s="570"/>
      <c r="DG56" s="570"/>
      <c r="DH56" s="570"/>
      <c r="DI56" s="570"/>
      <c r="DJ56" s="570"/>
      <c r="DK56" s="570"/>
      <c r="DL56" s="570"/>
      <c r="DM56" s="570"/>
      <c r="DN56" s="570"/>
      <c r="DO56" s="570"/>
      <c r="DP56" s="570"/>
      <c r="DQ56" s="570"/>
      <c r="DR56" s="570"/>
      <c r="DS56" s="570"/>
      <c r="DT56" s="570"/>
      <c r="DU56" s="570"/>
      <c r="DV56" s="570"/>
      <c r="DW56" s="570"/>
      <c r="DX56" s="570"/>
      <c r="DY56" s="570"/>
      <c r="DZ56" s="570"/>
      <c r="EA56" s="570"/>
      <c r="EB56" s="570"/>
      <c r="EC56" s="570"/>
      <c r="ED56" s="570"/>
      <c r="EE56" s="570"/>
      <c r="EF56" s="570"/>
      <c r="EG56" s="570"/>
      <c r="EH56" s="570"/>
      <c r="EI56" s="570"/>
      <c r="EJ56" s="570"/>
      <c r="EK56" s="570"/>
      <c r="EL56" s="570"/>
      <c r="EM56" s="570"/>
      <c r="EN56" s="570"/>
      <c r="EO56" s="570"/>
      <c r="EP56" s="570"/>
      <c r="EQ56" s="570"/>
      <c r="ER56" s="570"/>
    </row>
    <row r="57" spans="1:148" s="571" customFormat="1" ht="15.75" customHeight="1" x14ac:dyDescent="0.25">
      <c r="A57" s="1140">
        <f t="shared" si="74"/>
        <v>51</v>
      </c>
      <c r="B57" s="972" t="s">
        <v>152</v>
      </c>
      <c r="C57" s="974" t="s">
        <v>806</v>
      </c>
      <c r="D57" s="975" t="s">
        <v>554</v>
      </c>
      <c r="E57" s="976" t="s">
        <v>815</v>
      </c>
      <c r="F57" s="618">
        <v>0</v>
      </c>
      <c r="G57" s="532">
        <f>IF(F57&lt;2700,F57*0.0097,IF(F57&lt;3200,F57*0.01095,IF(F57&lt;3700,F57*0.0122,IF(F57&gt;3699,F57*0.01345,""))))</f>
        <v>0</v>
      </c>
      <c r="H57" s="619">
        <v>20</v>
      </c>
      <c r="I57" s="618">
        <v>0</v>
      </c>
      <c r="J57" s="532">
        <f>IF(I57&lt;2700,I57*0.0097,IF(I57&lt;3200,I57*0.01095,IF(I57&lt;3700,I57*0.0122,IF(I57&gt;3699,I57*0.01345,""))))</f>
        <v>0</v>
      </c>
      <c r="K57" s="619">
        <v>20</v>
      </c>
      <c r="L57" s="618">
        <v>0</v>
      </c>
      <c r="M57" s="532">
        <f>IF(L57&lt;2700,L57*0.0097,IF(L57&lt;3200,L57*0.01095,IF(L57&lt;3700,L57*0.0122,IF(L57&gt;3699,L57*0.01345,""))))</f>
        <v>0</v>
      </c>
      <c r="N57" s="619">
        <v>20</v>
      </c>
      <c r="O57" s="654"/>
      <c r="P57" s="532">
        <f>IF(O57&lt;2700,O57*0.0097,IF(O57&lt;3200,O57*0.01095,IF(O57&lt;3700,O57*0.0122,IF(O57&gt;3699,O57*0.01345,""))))</f>
        <v>0</v>
      </c>
      <c r="Q57" s="619"/>
      <c r="R57" s="618">
        <v>0</v>
      </c>
      <c r="S57" s="532">
        <f>IF(R57&lt;2700,R57*0.0097,IF(R57&lt;3200,R57*0.01095,IF(R57&lt;3700,R57*0.0122,IF(R57&gt;3699,R57*0.01345,""))))</f>
        <v>0</v>
      </c>
      <c r="T57" s="619">
        <v>18</v>
      </c>
      <c r="U57" s="618">
        <v>0</v>
      </c>
      <c r="V57" s="532">
        <f>IF(U57&lt;2700,U57*0.0097,IF(U57&lt;3200,U57*0.01095,IF(U57&lt;3700,U57*0.0122,IF(U57&gt;3699,U57*0.01345,""))))</f>
        <v>0</v>
      </c>
      <c r="W57" s="619">
        <v>18</v>
      </c>
      <c r="X57" s="618">
        <v>0</v>
      </c>
      <c r="Y57" s="532">
        <f>IF(X57&lt;2700,X57*0.0097,IF(X57&lt;3200,X57*0.01095,IF(X57&lt;3700,X57*0.0122,IF(X57&gt;3699,X57*0.01345,""))))</f>
        <v>0</v>
      </c>
      <c r="Z57" s="619">
        <v>18</v>
      </c>
      <c r="AA57" s="618">
        <v>0</v>
      </c>
      <c r="AB57" s="532">
        <f>IF(AA57&lt;2700,AA57*0.0097,IF(AA57&lt;3200,AA57*0.01095,IF(AA57&lt;3700,AA57*0.0122,IF(AA57&gt;3699,AA57*0.01345,""))))</f>
        <v>0</v>
      </c>
      <c r="AC57" s="619">
        <v>18</v>
      </c>
      <c r="AD57" s="618">
        <v>0</v>
      </c>
      <c r="AE57" s="532">
        <f>IF(AD57&lt;2700,AD57*0.0097,IF(AD57&lt;3200,AD57*0.01095,IF(AD57&lt;3700,AD57*0.0122,IF(AD57&gt;3699,AD57*0.01345,""))))</f>
        <v>0</v>
      </c>
      <c r="AF57" s="619">
        <v>18</v>
      </c>
      <c r="AG57" s="618">
        <v>0</v>
      </c>
      <c r="AH57" s="532">
        <f>IF(AG57&lt;2700,AG57*0.0097,IF(AG57&lt;3200,AG57*0.01095,IF(AG57&lt;3700,AG57*0.0122,IF(AG57&gt;3699,AG57*0.01345,""))))</f>
        <v>0</v>
      </c>
      <c r="AI57" s="619">
        <v>18</v>
      </c>
      <c r="AJ57" s="576">
        <v>0</v>
      </c>
      <c r="AK57" s="532">
        <f>IF(AJ57&lt;2700,AJ57*0.0097,IF(AJ57&lt;3200,AJ57*0.01095,IF(AJ57&lt;3700,AJ57*0.0122,IF(AJ57&gt;3699,AJ57*0.01345,""))))</f>
        <v>0</v>
      </c>
      <c r="AL57" s="619">
        <v>18</v>
      </c>
      <c r="AM57" s="576">
        <v>0</v>
      </c>
      <c r="AN57" s="532">
        <f>IF(AM57&lt;2700,AM57*0.0097,IF(AM57&lt;3200,AM57*0.01095,IF(AM57&lt;3700,AM57*0.0122,IF(AM57&gt;3699,AM57*0.01345,""))))</f>
        <v>0</v>
      </c>
      <c r="AO57" s="619">
        <v>18</v>
      </c>
      <c r="AP57" s="576">
        <v>0</v>
      </c>
      <c r="AQ57" s="532">
        <f>IF(AP57&lt;2700,AP57*0.0097,IF(AP57&lt;3200,AP57*0.01095,IF(AP57&lt;3700,AP57*0.0122,IF(AP57&gt;3699,AP57*0.01345,""))))</f>
        <v>0</v>
      </c>
      <c r="AR57" s="619">
        <v>20</v>
      </c>
      <c r="AS57" s="618">
        <v>0</v>
      </c>
      <c r="AT57" s="586">
        <f>IF(AS57&lt;2700,AS57*0.0097,IF(AS57&lt;3200,AS57*0.01095,IF(AS57&lt;3700,AS57*0.0122,IF(AS57&gt;3699,AS57*0.01345,""))))</f>
        <v>0</v>
      </c>
      <c r="AU57" s="586">
        <v>0</v>
      </c>
      <c r="AV57" s="654"/>
      <c r="AW57" s="532">
        <f>IF(AV57&lt;2700,AV57*0.0097,IF(AV57&lt;3200,AV57*0.01095,IF(AV57&lt;3700,AV57*0.0122,IF(AV57&gt;3699,AV57*0.01345,""))))</f>
        <v>0</v>
      </c>
      <c r="AX57" s="619"/>
      <c r="AY57" s="654"/>
      <c r="AZ57" s="532">
        <f>IF(AY57&lt;2700,AY57*0.0097,IF(AY57&lt;3200,AY57*0.01095,IF(AY57&lt;3700,AY57*0.0122,IF(AY57&gt;3699,AY57*0.01345,""))))</f>
        <v>0</v>
      </c>
      <c r="BA57" s="619"/>
      <c r="BB57" s="581">
        <f t="shared" ref="BB57:BD72" si="78">+F57+I57+L57+O57+R57+U57+X57+AA57+AD57+AG57+AJ57+AM57+AP57+AS57+AV57+AY57</f>
        <v>0</v>
      </c>
      <c r="BC57" s="582">
        <f t="shared" si="78"/>
        <v>0</v>
      </c>
      <c r="BD57" s="727">
        <f t="shared" si="78"/>
        <v>224</v>
      </c>
      <c r="BE57" s="586"/>
      <c r="BF57" s="637">
        <f t="shared" si="17"/>
        <v>224</v>
      </c>
      <c r="BG57" s="578">
        <v>0</v>
      </c>
      <c r="BH57" s="532">
        <f>IF(BG57&lt;2700,BG57*0.0097,IF(BG57&lt;3200,BG57*0.01095,IF(BG57&lt;3700,BG57*0.0122,IF(BG57&gt;3699,BG57*0.01345,""))))</f>
        <v>0</v>
      </c>
      <c r="BI57" s="619">
        <v>20</v>
      </c>
      <c r="BJ57" s="654">
        <v>0</v>
      </c>
      <c r="BK57" s="532">
        <f>IF(BJ57&lt;2700,BJ57*0.0097,IF(BJ57&lt;3200,BJ57*0.01095,IF(BJ57&lt;3700,BJ57*0.0122,IF(BJ57&gt;3699,BJ57*0.01345,""))))</f>
        <v>0</v>
      </c>
      <c r="BL57" s="619">
        <v>18</v>
      </c>
      <c r="BM57" s="618">
        <v>0</v>
      </c>
      <c r="BN57" s="532">
        <f>IF(BM57&lt;2700,BM57*0.0097,IF(BM57&lt;3200,BM57*0.01095,IF(BM57&lt;3700,BM57*0.0122,IF(BM57&gt;3699,BM57*0.01345,""))))</f>
        <v>0</v>
      </c>
      <c r="BO57" s="619">
        <v>18</v>
      </c>
      <c r="BP57" s="618">
        <v>0</v>
      </c>
      <c r="BQ57" s="532">
        <f>IF(BP57&lt;2700,BP57*0.0097,IF(BP57&lt;3200,BP57*0.01095,IF(BP57&lt;3700,BP57*0.0122,IF(BP57&gt;3699,BP57*0.01345,""))))</f>
        <v>0</v>
      </c>
      <c r="BR57" s="619">
        <v>18</v>
      </c>
      <c r="BS57" s="618">
        <v>0</v>
      </c>
      <c r="BT57" s="532">
        <f>IF(BS57&lt;2700,BS57*0.0097,IF(BS57&lt;3200,BS57*0.01095,IF(BS57&lt;3700,BS57*0.0122,IF(BS57&gt;3699,BS57*0.01345,""))))</f>
        <v>0</v>
      </c>
      <c r="BU57" s="619">
        <v>18</v>
      </c>
      <c r="BV57" s="618">
        <v>0</v>
      </c>
      <c r="BW57" s="532">
        <f>IF(BV57&lt;2700,BV57*0.0097,IF(BV57&lt;3200,BV57*0.01095,IF(BV57&lt;3700,BV57*0.0122,IF(BV57&gt;3699,BV57*0.01345,""))))</f>
        <v>0</v>
      </c>
      <c r="BX57" s="619">
        <v>18</v>
      </c>
      <c r="BY57" s="618">
        <v>0</v>
      </c>
      <c r="BZ57" s="532">
        <f>IF(BY57&lt;2700,BY57*0.0097,IF(BY57&lt;3200,BY57*0.01095,IF(BY57&lt;3700,BY57*0.0122,IF(BY57&gt;3699,BY57*0.01345,""))))</f>
        <v>0</v>
      </c>
      <c r="CA57" s="532">
        <v>18</v>
      </c>
      <c r="CB57" s="654">
        <v>0</v>
      </c>
      <c r="CC57" s="586">
        <f>IF(CB57&lt;2700,CB57*0.0097,IF(CB57&lt;3200,CB57*0.01095,IF(CB57&lt;3700,CB57*0.0122,IF(CB57&gt;3699,CB57*0.01345,""))))</f>
        <v>0</v>
      </c>
      <c r="CD57" s="586">
        <v>0</v>
      </c>
      <c r="CE57" s="618">
        <v>0</v>
      </c>
      <c r="CF57" s="532">
        <f>IF(CE57&lt;2700,CE57*0.0097,IF(CE57&lt;3200,CE57*0.01095,IF(CE57&lt;3700,CE57*0.0122,IF(CE57&gt;3699,CE57*0.01345,""))))</f>
        <v>0</v>
      </c>
      <c r="CG57" s="532">
        <v>18</v>
      </c>
      <c r="CH57" s="576">
        <v>0</v>
      </c>
      <c r="CI57" s="532">
        <f>IF(CH57&lt;2700,CH57*0.0101,IF(CH57&lt;3200,CH57*0.01135,IF(CH57&lt;3700,CH57*0.0126,IF(CH57&gt;3699,CH57*0.01385,""))))</f>
        <v>0</v>
      </c>
      <c r="CJ57" s="577">
        <v>18</v>
      </c>
      <c r="CK57" s="576">
        <v>0</v>
      </c>
      <c r="CL57" s="532">
        <f>IF(CK57&lt;2700,CK57*0.0101,IF(CK57&lt;3200,CK57*0.01135,IF(CK57&lt;3700,CK57*0.0126,IF(CK57&gt;3699,CK57*0.01385,""))))</f>
        <v>0</v>
      </c>
      <c r="CM57" s="577">
        <v>18</v>
      </c>
      <c r="CN57" s="576">
        <v>0</v>
      </c>
      <c r="CO57" s="532">
        <f>IF(CN57&lt;2700,CN57*0.0097,IF(CN57&lt;3200,CN57*0.01095,IF(CN57&lt;3700,CN57*0.0122,IF(CN57&gt;3699,CN57*0.01345,""))))</f>
        <v>0</v>
      </c>
      <c r="CP57" s="619">
        <v>5</v>
      </c>
      <c r="CQ57" s="576">
        <v>0</v>
      </c>
      <c r="CR57" s="532">
        <f>IF(CQ57&lt;2700,CQ57*0.0097,IF(CQ57&lt;3200,CQ57*0.01095,IF(CQ57&lt;3700,CQ57*0.0122,IF(CQ57&gt;3699,CQ57*0.01345,""))))</f>
        <v>0</v>
      </c>
      <c r="CS57" s="577">
        <v>18</v>
      </c>
      <c r="CT57" s="1148">
        <f t="shared" si="77"/>
        <v>0</v>
      </c>
      <c r="CU57" s="623">
        <f t="shared" si="77"/>
        <v>0</v>
      </c>
      <c r="CV57" s="624">
        <f t="shared" si="31"/>
        <v>205</v>
      </c>
      <c r="CW57" s="586"/>
      <c r="CX57" s="1149">
        <f t="shared" si="32"/>
        <v>205</v>
      </c>
      <c r="CY57" s="1150">
        <f t="shared" ref="CY57:DA72" si="79">+BB57+CT57</f>
        <v>0</v>
      </c>
      <c r="CZ57" s="1151">
        <f t="shared" si="79"/>
        <v>0</v>
      </c>
      <c r="DA57" s="1152">
        <f t="shared" si="79"/>
        <v>429</v>
      </c>
      <c r="DB57" s="1153">
        <f t="shared" si="34"/>
        <v>429</v>
      </c>
      <c r="DC57" s="920" t="s">
        <v>816</v>
      </c>
      <c r="DD57" s="570"/>
      <c r="DE57" s="570"/>
      <c r="DF57" s="570"/>
      <c r="DG57" s="570"/>
      <c r="DH57" s="570"/>
      <c r="DI57" s="570"/>
      <c r="DJ57" s="570"/>
      <c r="DK57" s="570"/>
      <c r="DL57" s="570"/>
      <c r="DM57" s="570"/>
      <c r="DN57" s="570"/>
      <c r="DO57" s="570"/>
      <c r="DP57" s="570"/>
      <c r="DQ57" s="570"/>
      <c r="DR57" s="570"/>
      <c r="DS57" s="570"/>
      <c r="DT57" s="570"/>
      <c r="DU57" s="570"/>
      <c r="DV57" s="570"/>
      <c r="DW57" s="570"/>
      <c r="DX57" s="570"/>
      <c r="DY57" s="570"/>
      <c r="DZ57" s="570"/>
      <c r="EA57" s="570"/>
      <c r="EB57" s="570"/>
      <c r="EC57" s="570"/>
      <c r="ED57" s="570"/>
      <c r="EE57" s="570"/>
      <c r="EF57" s="570"/>
      <c r="EG57" s="570"/>
      <c r="EH57" s="570"/>
      <c r="EI57" s="570"/>
      <c r="EJ57" s="570"/>
      <c r="EK57" s="570"/>
      <c r="EL57" s="570"/>
      <c r="EM57" s="570"/>
      <c r="EN57" s="570"/>
      <c r="EO57" s="570"/>
      <c r="EP57" s="570"/>
      <c r="EQ57" s="570"/>
      <c r="ER57" s="570"/>
    </row>
    <row r="58" spans="1:148" s="570" customFormat="1" ht="15.75" customHeight="1" x14ac:dyDescent="0.25">
      <c r="A58" s="1140">
        <f t="shared" si="74"/>
        <v>52</v>
      </c>
      <c r="B58" s="972" t="s">
        <v>265</v>
      </c>
      <c r="C58" s="548" t="s">
        <v>791</v>
      </c>
      <c r="D58" s="574"/>
      <c r="E58" s="1167"/>
      <c r="F58" s="576">
        <v>0</v>
      </c>
      <c r="G58" s="532">
        <v>0</v>
      </c>
      <c r="H58" s="532">
        <v>20</v>
      </c>
      <c r="I58" s="576">
        <v>0</v>
      </c>
      <c r="J58" s="532">
        <v>0</v>
      </c>
      <c r="K58" s="532">
        <v>20</v>
      </c>
      <c r="L58" s="576">
        <v>0</v>
      </c>
      <c r="M58" s="532">
        <v>0</v>
      </c>
      <c r="N58" s="532">
        <v>18</v>
      </c>
      <c r="O58" s="578"/>
      <c r="P58" s="532">
        <v>0</v>
      </c>
      <c r="Q58" s="532"/>
      <c r="R58" s="576">
        <v>0</v>
      </c>
      <c r="S58" s="532">
        <v>0</v>
      </c>
      <c r="T58" s="619">
        <v>18</v>
      </c>
      <c r="U58" s="576">
        <v>0</v>
      </c>
      <c r="V58" s="532">
        <v>0</v>
      </c>
      <c r="W58" s="619">
        <v>18</v>
      </c>
      <c r="X58" s="576">
        <v>0</v>
      </c>
      <c r="Y58" s="532">
        <v>0</v>
      </c>
      <c r="Z58" s="619">
        <v>18</v>
      </c>
      <c r="AA58" s="576">
        <v>0</v>
      </c>
      <c r="AB58" s="532">
        <v>0</v>
      </c>
      <c r="AC58" s="619">
        <v>18</v>
      </c>
      <c r="AD58" s="576">
        <v>0</v>
      </c>
      <c r="AE58" s="532">
        <v>0</v>
      </c>
      <c r="AF58" s="532">
        <v>18</v>
      </c>
      <c r="AG58" s="576">
        <v>0</v>
      </c>
      <c r="AH58" s="532">
        <v>0</v>
      </c>
      <c r="AI58" s="532"/>
      <c r="AJ58" s="576">
        <v>0</v>
      </c>
      <c r="AK58" s="532">
        <v>0</v>
      </c>
      <c r="AL58" s="619">
        <v>18</v>
      </c>
      <c r="AM58" s="576">
        <v>0</v>
      </c>
      <c r="AN58" s="532">
        <v>0</v>
      </c>
      <c r="AO58" s="619">
        <v>18</v>
      </c>
      <c r="AP58" s="576">
        <v>0</v>
      </c>
      <c r="AQ58" s="532">
        <v>0</v>
      </c>
      <c r="AR58" s="532">
        <v>20</v>
      </c>
      <c r="AS58" s="576">
        <v>0</v>
      </c>
      <c r="AT58" s="532">
        <v>0</v>
      </c>
      <c r="AU58" s="532">
        <v>20</v>
      </c>
      <c r="AV58" s="578"/>
      <c r="AW58" s="532">
        <v>0</v>
      </c>
      <c r="AX58" s="532"/>
      <c r="AY58" s="578"/>
      <c r="AZ58" s="532">
        <v>0</v>
      </c>
      <c r="BA58" s="532"/>
      <c r="BB58" s="581">
        <f t="shared" si="78"/>
        <v>0</v>
      </c>
      <c r="BC58" s="582">
        <f t="shared" si="78"/>
        <v>0</v>
      </c>
      <c r="BD58" s="727">
        <f t="shared" si="78"/>
        <v>224</v>
      </c>
      <c r="BE58" s="586"/>
      <c r="BF58" s="637">
        <f t="shared" si="17"/>
        <v>224</v>
      </c>
      <c r="BG58" s="578">
        <v>0</v>
      </c>
      <c r="BH58" s="532">
        <v>0</v>
      </c>
      <c r="BI58" s="532">
        <v>15.384615384615385</v>
      </c>
      <c r="BJ58" s="578">
        <v>0</v>
      </c>
      <c r="BK58" s="532">
        <v>0</v>
      </c>
      <c r="BL58" s="532">
        <v>15.384615384615385</v>
      </c>
      <c r="BM58" s="576">
        <v>0</v>
      </c>
      <c r="BN58" s="532">
        <v>0</v>
      </c>
      <c r="BO58" s="532">
        <v>15.384615384615385</v>
      </c>
      <c r="BP58" s="576">
        <v>0</v>
      </c>
      <c r="BQ58" s="532">
        <v>0</v>
      </c>
      <c r="BR58" s="532">
        <v>15.384615384615385</v>
      </c>
      <c r="BS58" s="576">
        <v>0</v>
      </c>
      <c r="BT58" s="532">
        <v>0</v>
      </c>
      <c r="BU58" s="532">
        <v>15.384615384615385</v>
      </c>
      <c r="BV58" s="576">
        <v>0</v>
      </c>
      <c r="BW58" s="532">
        <v>0</v>
      </c>
      <c r="BX58" s="532">
        <v>15.384615384615385</v>
      </c>
      <c r="BY58" s="576">
        <v>0</v>
      </c>
      <c r="BZ58" s="532">
        <v>0</v>
      </c>
      <c r="CA58" s="532">
        <v>15.384615384615385</v>
      </c>
      <c r="CB58" s="578">
        <v>0</v>
      </c>
      <c r="CC58" s="532">
        <v>0</v>
      </c>
      <c r="CD58" s="532">
        <v>10</v>
      </c>
      <c r="CE58" s="578">
        <v>0</v>
      </c>
      <c r="CF58" s="532">
        <v>0</v>
      </c>
      <c r="CG58" s="532">
        <v>15.384615384615385</v>
      </c>
      <c r="CH58" s="578">
        <v>0</v>
      </c>
      <c r="CI58" s="532">
        <v>0</v>
      </c>
      <c r="CJ58" s="532">
        <v>15.384615384615385</v>
      </c>
      <c r="CK58" s="578">
        <v>0</v>
      </c>
      <c r="CL58" s="532">
        <v>0</v>
      </c>
      <c r="CM58" s="532">
        <v>0</v>
      </c>
      <c r="CN58" s="578">
        <v>0</v>
      </c>
      <c r="CO58" s="532">
        <v>0</v>
      </c>
      <c r="CP58" s="532">
        <v>0</v>
      </c>
      <c r="CQ58" s="578">
        <v>0</v>
      </c>
      <c r="CR58" s="532">
        <v>0</v>
      </c>
      <c r="CS58" s="532"/>
      <c r="CT58" s="1148">
        <f t="shared" si="77"/>
        <v>0</v>
      </c>
      <c r="CU58" s="623">
        <f t="shared" si="77"/>
        <v>0</v>
      </c>
      <c r="CV58" s="624">
        <f t="shared" si="31"/>
        <v>148.46153846153845</v>
      </c>
      <c r="CW58" s="586"/>
      <c r="CX58" s="1149">
        <f t="shared" si="32"/>
        <v>148.46153846153845</v>
      </c>
      <c r="CY58" s="1150">
        <f t="shared" si="79"/>
        <v>0</v>
      </c>
      <c r="CZ58" s="1151">
        <f t="shared" si="79"/>
        <v>0</v>
      </c>
      <c r="DA58" s="1152">
        <f t="shared" si="79"/>
        <v>372.46153846153845</v>
      </c>
      <c r="DB58" s="1153">
        <f t="shared" si="34"/>
        <v>372.46153846153845</v>
      </c>
      <c r="DC58" s="920" t="s">
        <v>740</v>
      </c>
    </row>
    <row r="59" spans="1:148" s="571" customFormat="1" ht="15.75" customHeight="1" x14ac:dyDescent="0.25">
      <c r="A59" s="828">
        <f t="shared" si="74"/>
        <v>53</v>
      </c>
      <c r="B59" s="1168" t="s">
        <v>140</v>
      </c>
      <c r="C59" s="991" t="s">
        <v>756</v>
      </c>
      <c r="D59" s="992" t="s">
        <v>817</v>
      </c>
      <c r="E59" s="993" t="s">
        <v>818</v>
      </c>
      <c r="F59" s="997">
        <v>0</v>
      </c>
      <c r="G59" s="936">
        <f>IF(F59&lt;2700,F59*0.0097,IF(F59&lt;3200,F59*0.01095,IF(F59&lt;3700,F59*0.0122,IF(F59&gt;3699,F59*0.01345,""))))</f>
        <v>0</v>
      </c>
      <c r="H59" s="936">
        <v>25</v>
      </c>
      <c r="I59" s="997">
        <v>0</v>
      </c>
      <c r="J59" s="936">
        <f>IF(I59&lt;2700,I59*0.0097,IF(I59&lt;3200,I59*0.01095,IF(I59&lt;3700,I59*0.0122,IF(I59&gt;3699,I59*0.01345,""))))</f>
        <v>0</v>
      </c>
      <c r="K59" s="936">
        <v>25</v>
      </c>
      <c r="L59" s="997">
        <v>1063.718592964824</v>
      </c>
      <c r="M59" s="936">
        <f>IF(L59&lt;2700,L59*0.0097,IF(L59&lt;3200,L59*0.01095,IF(L59&lt;3700,L59*0.0122,IF(L59&gt;3699,L59*0.01345,""))))</f>
        <v>10.318070351758793</v>
      </c>
      <c r="N59" s="936">
        <v>30</v>
      </c>
      <c r="O59" s="998"/>
      <c r="P59" s="936">
        <f>IF(O59&lt;2700,O59*0.0097,IF(O59&lt;3200,O59*0.01095,IF(O59&lt;3700,O59*0.0122,IF(O59&gt;3699,O59*0.01345,""))))</f>
        <v>0</v>
      </c>
      <c r="Q59" s="936"/>
      <c r="R59" s="997">
        <v>0</v>
      </c>
      <c r="S59" s="936">
        <f>IF(R59&lt;2700,R59*0.0097,IF(R59&lt;3200,R59*0.01095,IF(R59&lt;3700,R59*0.0122,IF(R59&gt;3699,R59*0.01345,""))))</f>
        <v>0</v>
      </c>
      <c r="T59" s="936">
        <v>20</v>
      </c>
      <c r="U59" s="997">
        <v>0</v>
      </c>
      <c r="V59" s="936">
        <f>IF(U59&lt;2700,U59*0.0097,IF(U59&lt;3200,U59*0.01095,IF(U59&lt;3700,U59*0.0122,IF(U59&gt;3699,U59*0.01345,""))))</f>
        <v>0</v>
      </c>
      <c r="W59" s="936">
        <v>20</v>
      </c>
      <c r="X59" s="997">
        <v>0</v>
      </c>
      <c r="Y59" s="936">
        <f>IF(X59&lt;2700,X59*0.0097,IF(X59&lt;3200,X59*0.01095,IF(X59&lt;3700,X59*0.0122,IF(X59&gt;3699,X59*0.01345,""))))</f>
        <v>0</v>
      </c>
      <c r="Z59" s="936">
        <v>0</v>
      </c>
      <c r="AA59" s="997">
        <v>0</v>
      </c>
      <c r="AB59" s="936">
        <f>IF(AA59&lt;2700,AA59*0.0097,IF(AA59&lt;3200,AA59*0.01095,IF(AA59&lt;3700,AA59*0.0122,IF(AA59&gt;3699,AA59*0.01345,""))))</f>
        <v>0</v>
      </c>
      <c r="AC59" s="936">
        <v>20</v>
      </c>
      <c r="AD59" s="997">
        <v>0</v>
      </c>
      <c r="AE59" s="936">
        <f>IF(AD59&lt;2700,AD59*0.0097,IF(AD59&lt;3200,AD59*0.01095,IF(AD59&lt;3700,AD59*0.0122,IF(AD59&gt;3699,AD59*0.01345,""))))</f>
        <v>0</v>
      </c>
      <c r="AF59" s="936">
        <v>20</v>
      </c>
      <c r="AG59" s="997">
        <v>0</v>
      </c>
      <c r="AH59" s="936">
        <f>IF(AG59&lt;2700,AG59*0.0097,IF(AG59&lt;3200,AG59*0.01095,IF(AG59&lt;3700,AG59*0.0122,IF(AG59&gt;3699,AG59*0.01345,""))))</f>
        <v>0</v>
      </c>
      <c r="AI59" s="936">
        <v>20</v>
      </c>
      <c r="AJ59" s="995">
        <v>0</v>
      </c>
      <c r="AK59" s="945">
        <v>0</v>
      </c>
      <c r="AL59" s="936">
        <v>20</v>
      </c>
      <c r="AM59" s="995">
        <v>0</v>
      </c>
      <c r="AN59" s="945">
        <v>0</v>
      </c>
      <c r="AO59" s="936">
        <v>20</v>
      </c>
      <c r="AP59" s="995">
        <v>0</v>
      </c>
      <c r="AQ59" s="945">
        <v>0</v>
      </c>
      <c r="AR59" s="936">
        <v>20</v>
      </c>
      <c r="AS59" s="997">
        <v>2660.0201005025128</v>
      </c>
      <c r="AT59" s="936">
        <f>IF(AS59&lt;2700,AS59*0.0097,IF(AS59&lt;3200,AS59*0.01095,IF(AS59&lt;3700,AS59*0.0122,IF(AS59&gt;3699,AS59*0.01345,""))))</f>
        <v>25.802194974874375</v>
      </c>
      <c r="AU59" s="936"/>
      <c r="AV59" s="998"/>
      <c r="AW59" s="936">
        <f>IF(AV59&lt;2700,AV59*0.0097,IF(AV59&lt;3200,AV59*0.01095,IF(AV59&lt;3700,AV59*0.0122,IF(AV59&gt;3699,AV59*0.01345,""))))</f>
        <v>0</v>
      </c>
      <c r="AX59" s="936"/>
      <c r="AY59" s="998"/>
      <c r="AZ59" s="936">
        <f>IF(AY59&lt;2700,AY59*0.0097,IF(AY59&lt;3200,AY59*0.01095,IF(AY59&lt;3700,AY59*0.0122,IF(AY59&gt;3699,AY59*0.01345,""))))</f>
        <v>0</v>
      </c>
      <c r="BA59" s="936"/>
      <c r="BB59" s="999">
        <f t="shared" si="78"/>
        <v>3723.7386934673368</v>
      </c>
      <c r="BC59" s="1000">
        <f t="shared" si="78"/>
        <v>36.120265326633167</v>
      </c>
      <c r="BD59" s="936">
        <f t="shared" si="78"/>
        <v>240</v>
      </c>
      <c r="BE59" s="946"/>
      <c r="BF59" s="947">
        <f>+BC59+BD59-BE59</f>
        <v>276.12026532663316</v>
      </c>
      <c r="BG59" s="897">
        <v>0</v>
      </c>
      <c r="BH59" s="945">
        <v>0</v>
      </c>
      <c r="BI59" s="936">
        <v>0</v>
      </c>
      <c r="BJ59" s="998">
        <v>0</v>
      </c>
      <c r="BK59" s="936">
        <f>IF(BJ59&lt;2700,BJ59*0.0097,IF(BJ59&lt;3200,BJ59*0.01095,IF(BJ59&lt;3700,BJ59*0.0122,IF(BJ59&gt;3699,BJ59*0.01345,""))))</f>
        <v>0</v>
      </c>
      <c r="BL59" s="936">
        <v>0</v>
      </c>
      <c r="BM59" s="997"/>
      <c r="BN59" s="936">
        <f>IF(BM59&lt;2700,BM59*0.0097,IF(BM59&lt;3200,BM59*0.01095,IF(BM59&lt;3700,BM59*0.0122,IF(BM59&gt;3699,BM59*0.01345,""))))</f>
        <v>0</v>
      </c>
      <c r="BO59" s="936"/>
      <c r="BP59" s="997"/>
      <c r="BQ59" s="936">
        <f>IF(BP59&lt;2700,BP59*0.0097,IF(BP59&lt;3200,BP59*0.01095,IF(BP59&lt;3700,BP59*0.0122,IF(BP59&gt;3699,BP59*0.01345,""))))</f>
        <v>0</v>
      </c>
      <c r="BR59" s="936"/>
      <c r="BS59" s="997"/>
      <c r="BT59" s="936">
        <f>IF(BS59&lt;2700,BS59*0.0097,IF(BS59&lt;3200,BS59*0.01095,IF(BS59&lt;3700,BS59*0.0122,IF(BS59&gt;3699,BS59*0.01345,""))))</f>
        <v>0</v>
      </c>
      <c r="BU59" s="936"/>
      <c r="BV59" s="997"/>
      <c r="BW59" s="936">
        <f>IF(BV59&lt;2700,BV59*0.0097,IF(BV59&lt;3200,BV59*0.01095,IF(BV59&lt;3700,BV59*0.0122,IF(BV59&gt;3699,BV59*0.01345,""))))</f>
        <v>0</v>
      </c>
      <c r="BX59" s="936"/>
      <c r="BY59" s="997"/>
      <c r="BZ59" s="936">
        <f>IF(BY59&lt;2700,BY59*0.0097,IF(BY59&lt;3200,BY59*0.01095,IF(BY59&lt;3700,BY59*0.0122,IF(BY59&gt;3699,BY59*0.01345,""))))</f>
        <v>0</v>
      </c>
      <c r="CA59" s="936"/>
      <c r="CB59" s="998"/>
      <c r="CC59" s="936">
        <f>IF(CB59&lt;2700,CB59*0.0097,IF(CB59&lt;3200,CB59*0.01095,IF(CB59&lt;3700,CB59*0.0122,IF(CB59&gt;3699,CB59*0.01345,""))))</f>
        <v>0</v>
      </c>
      <c r="CD59" s="936"/>
      <c r="CE59" s="997"/>
      <c r="CF59" s="936">
        <f>IF(CE59&lt;2700,CE59*0.0097,IF(CE59&lt;3200,CE59*0.01095,IF(CE59&lt;3700,CE59*0.0122,IF(CE59&gt;3699,CE59*0.01345,""))))</f>
        <v>0</v>
      </c>
      <c r="CG59" s="936"/>
      <c r="CH59" s="998"/>
      <c r="CI59" s="936">
        <f>IF(CH59&lt;2700,CH59*0.0097,IF(CH59&lt;3200,CH59*0.01095,IF(CH59&lt;3700,CH59*0.0122,IF(CH59&gt;3699,CH59*0.01345,""))))</f>
        <v>0</v>
      </c>
      <c r="CJ59" s="936"/>
      <c r="CK59" s="998"/>
      <c r="CL59" s="936">
        <f>IF(CK59&lt;2700,CK59*0.0097,IF(CK59&lt;3200,CK59*0.01095,IF(CK59&lt;3700,CK59*0.0122,IF(CK59&gt;3699,CK59*0.01345,""))))</f>
        <v>0</v>
      </c>
      <c r="CM59" s="936"/>
      <c r="CN59" s="998"/>
      <c r="CO59" s="936">
        <f>IF(CN59&lt;2700,CN59*0.0097,IF(CN59&lt;3200,CN59*0.01095,IF(CN59&lt;3700,CN59*0.0122,IF(CN59&gt;3699,CN59*0.01345,""))))</f>
        <v>0</v>
      </c>
      <c r="CP59" s="936"/>
      <c r="CQ59" s="998"/>
      <c r="CR59" s="936">
        <f>IF(CQ59&lt;2700,CQ59*0.0097,IF(CQ59&lt;3200,CQ59*0.01095,IF(CQ59&lt;3700,CQ59*0.0122,IF(CQ59&gt;3699,CQ59*0.01345,""))))</f>
        <v>0</v>
      </c>
      <c r="CS59" s="936"/>
      <c r="CT59" s="941">
        <f t="shared" si="77"/>
        <v>0</v>
      </c>
      <c r="CU59" s="942">
        <f t="shared" si="77"/>
        <v>0</v>
      </c>
      <c r="CV59" s="936">
        <f>+BI59+BL59+BO59+BR59+BU59+BX59+CA59+CD59+CG59+CJ59+CM59+CP59+CS59</f>
        <v>0</v>
      </c>
      <c r="CW59" s="946"/>
      <c r="CX59" s="939">
        <f>+CU59+CV59-CW59</f>
        <v>0</v>
      </c>
      <c r="CY59" s="930">
        <f t="shared" si="79"/>
        <v>3723.7386934673368</v>
      </c>
      <c r="CZ59" s="931">
        <f t="shared" si="79"/>
        <v>36.120265326633167</v>
      </c>
      <c r="DA59" s="931">
        <f t="shared" si="79"/>
        <v>240</v>
      </c>
      <c r="DB59" s="932">
        <f>+CZ59+DA59</f>
        <v>276.12026532663316</v>
      </c>
      <c r="DC59" s="933" t="s">
        <v>821</v>
      </c>
      <c r="DD59" s="570"/>
      <c r="DE59" s="570"/>
      <c r="DF59" s="570"/>
      <c r="DG59" s="570"/>
      <c r="DH59" s="570"/>
      <c r="DI59" s="570"/>
      <c r="DJ59" s="570"/>
      <c r="DK59" s="570"/>
      <c r="DL59" s="570"/>
      <c r="DM59" s="570"/>
      <c r="DN59" s="570"/>
      <c r="DO59" s="570"/>
      <c r="DP59" s="570"/>
      <c r="DQ59" s="570"/>
      <c r="DR59" s="570"/>
      <c r="DS59" s="570"/>
      <c r="DT59" s="570"/>
      <c r="DU59" s="570"/>
      <c r="DV59" s="570"/>
      <c r="DW59" s="570"/>
      <c r="DX59" s="570"/>
      <c r="DY59" s="570"/>
      <c r="DZ59" s="570"/>
      <c r="EA59" s="570"/>
      <c r="EB59" s="570"/>
      <c r="EC59" s="570"/>
      <c r="ED59" s="570"/>
      <c r="EE59" s="570"/>
      <c r="EF59" s="570"/>
      <c r="EG59" s="570"/>
      <c r="EH59" s="570"/>
      <c r="EI59" s="570"/>
      <c r="EJ59" s="570"/>
      <c r="EK59" s="570"/>
      <c r="EL59" s="570"/>
      <c r="EM59" s="570"/>
      <c r="EN59" s="570"/>
      <c r="EO59" s="570"/>
      <c r="EP59" s="570"/>
      <c r="EQ59" s="570"/>
      <c r="ER59" s="570"/>
    </row>
    <row r="60" spans="1:148" s="707" customFormat="1" ht="15.75" customHeight="1" x14ac:dyDescent="0.25">
      <c r="A60" s="572">
        <f t="shared" si="74"/>
        <v>54</v>
      </c>
      <c r="B60" s="1169" t="s">
        <v>113</v>
      </c>
      <c r="C60" s="934" t="s">
        <v>756</v>
      </c>
      <c r="D60" s="943" t="s">
        <v>819</v>
      </c>
      <c r="E60" s="1170" t="s">
        <v>820</v>
      </c>
      <c r="F60" s="995"/>
      <c r="G60" s="945">
        <v>0</v>
      </c>
      <c r="H60" s="936"/>
      <c r="I60" s="995"/>
      <c r="J60" s="945">
        <v>0</v>
      </c>
      <c r="K60" s="936"/>
      <c r="L60" s="995"/>
      <c r="M60" s="945">
        <v>0</v>
      </c>
      <c r="N60" s="936"/>
      <c r="O60" s="897"/>
      <c r="P60" s="945">
        <v>0</v>
      </c>
      <c r="Q60" s="936"/>
      <c r="R60" s="897"/>
      <c r="S60" s="945">
        <v>0</v>
      </c>
      <c r="T60" s="936"/>
      <c r="U60" s="897"/>
      <c r="V60" s="945">
        <v>0</v>
      </c>
      <c r="W60" s="936"/>
      <c r="X60" s="897"/>
      <c r="Y60" s="945">
        <v>0</v>
      </c>
      <c r="Z60" s="936"/>
      <c r="AA60" s="897"/>
      <c r="AB60" s="945">
        <v>0</v>
      </c>
      <c r="AC60" s="936"/>
      <c r="AD60" s="897"/>
      <c r="AE60" s="945">
        <v>0</v>
      </c>
      <c r="AF60" s="936"/>
      <c r="AG60" s="897"/>
      <c r="AH60" s="945">
        <v>0</v>
      </c>
      <c r="AI60" s="936"/>
      <c r="AJ60" s="897"/>
      <c r="AK60" s="945">
        <v>0</v>
      </c>
      <c r="AL60" s="936"/>
      <c r="AM60" s="897"/>
      <c r="AN60" s="945">
        <v>0</v>
      </c>
      <c r="AO60" s="936"/>
      <c r="AP60" s="897"/>
      <c r="AQ60" s="945">
        <v>0</v>
      </c>
      <c r="AR60" s="936"/>
      <c r="AS60" s="897"/>
      <c r="AT60" s="945">
        <v>0</v>
      </c>
      <c r="AU60" s="936"/>
      <c r="AV60" s="897"/>
      <c r="AW60" s="945">
        <v>0</v>
      </c>
      <c r="AX60" s="936"/>
      <c r="AY60" s="897"/>
      <c r="AZ60" s="945">
        <v>0</v>
      </c>
      <c r="BA60" s="936"/>
      <c r="BB60" s="937">
        <f t="shared" si="78"/>
        <v>0</v>
      </c>
      <c r="BC60" s="938">
        <f t="shared" si="78"/>
        <v>0</v>
      </c>
      <c r="BD60" s="936">
        <f t="shared" si="78"/>
        <v>0</v>
      </c>
      <c r="BE60" s="946"/>
      <c r="BF60" s="947">
        <f>+BC60+BD60-BE60</f>
        <v>0</v>
      </c>
      <c r="BG60" s="897"/>
      <c r="BH60" s="945">
        <v>0</v>
      </c>
      <c r="BI60" s="936"/>
      <c r="BJ60" s="897"/>
      <c r="BK60" s="945">
        <v>0</v>
      </c>
      <c r="BL60" s="936"/>
      <c r="BM60" s="995"/>
      <c r="BN60" s="945">
        <v>0</v>
      </c>
      <c r="BO60" s="936"/>
      <c r="BP60" s="995"/>
      <c r="BQ60" s="945">
        <v>0</v>
      </c>
      <c r="BR60" s="936"/>
      <c r="BS60" s="995"/>
      <c r="BT60" s="945">
        <v>0</v>
      </c>
      <c r="BU60" s="936"/>
      <c r="BV60" s="995"/>
      <c r="BW60" s="945">
        <v>0</v>
      </c>
      <c r="BX60" s="936"/>
      <c r="BY60" s="995"/>
      <c r="BZ60" s="945">
        <v>0</v>
      </c>
      <c r="CA60" s="936"/>
      <c r="CB60" s="897"/>
      <c r="CC60" s="945">
        <v>0</v>
      </c>
      <c r="CD60" s="936"/>
      <c r="CE60" s="897"/>
      <c r="CF60" s="945">
        <v>0</v>
      </c>
      <c r="CG60" s="936"/>
      <c r="CH60" s="897"/>
      <c r="CI60" s="945">
        <v>0</v>
      </c>
      <c r="CJ60" s="936"/>
      <c r="CK60" s="897"/>
      <c r="CL60" s="945">
        <v>0</v>
      </c>
      <c r="CM60" s="936"/>
      <c r="CN60" s="897"/>
      <c r="CO60" s="945">
        <v>0</v>
      </c>
      <c r="CP60" s="936"/>
      <c r="CQ60" s="897"/>
      <c r="CR60" s="945">
        <v>0</v>
      </c>
      <c r="CS60" s="936"/>
      <c r="CT60" s="941">
        <f t="shared" si="77"/>
        <v>0</v>
      </c>
      <c r="CU60" s="942">
        <f t="shared" si="77"/>
        <v>0</v>
      </c>
      <c r="CV60" s="936">
        <f>+BI60+BL60+BO60+BR60+BU60+BX60+CA60+CD60+CG60+CJ60+CM60+CP60+CS60</f>
        <v>0</v>
      </c>
      <c r="CW60" s="946"/>
      <c r="CX60" s="939">
        <f>+CU60+CV60-CW60</f>
        <v>0</v>
      </c>
      <c r="CY60" s="937">
        <f t="shared" si="79"/>
        <v>0</v>
      </c>
      <c r="CZ60" s="939">
        <f t="shared" si="79"/>
        <v>0</v>
      </c>
      <c r="DA60" s="939">
        <f t="shared" si="79"/>
        <v>0</v>
      </c>
      <c r="DB60" s="948">
        <f>+CZ60+DA60</f>
        <v>0</v>
      </c>
      <c r="DC60" s="933" t="s">
        <v>821</v>
      </c>
      <c r="DD60" s="398"/>
      <c r="DE60" s="706"/>
      <c r="DF60" s="706"/>
      <c r="DG60" s="706"/>
      <c r="DH60" s="706"/>
      <c r="DI60" s="706"/>
      <c r="DJ60" s="706"/>
      <c r="DK60" s="706"/>
      <c r="DL60" s="706"/>
      <c r="DM60" s="706"/>
      <c r="DN60" s="706"/>
      <c r="DO60" s="706"/>
      <c r="DP60" s="706"/>
      <c r="DQ60" s="706"/>
      <c r="DR60" s="706"/>
      <c r="DS60" s="706"/>
      <c r="DT60" s="706"/>
      <c r="DU60" s="706"/>
      <c r="DV60" s="706"/>
      <c r="DW60" s="706"/>
      <c r="DX60" s="706"/>
      <c r="DY60" s="706"/>
      <c r="DZ60" s="706"/>
      <c r="EA60" s="706"/>
      <c r="EB60" s="706"/>
      <c r="EC60" s="706"/>
      <c r="ED60" s="706"/>
      <c r="EE60" s="706"/>
      <c r="EF60" s="706"/>
      <c r="EG60" s="706"/>
      <c r="EH60" s="706"/>
      <c r="EI60" s="706"/>
      <c r="EJ60" s="706"/>
      <c r="EK60" s="706"/>
      <c r="EL60" s="706"/>
      <c r="EM60" s="706"/>
      <c r="EN60" s="706"/>
      <c r="EO60" s="706"/>
      <c r="EP60" s="706"/>
      <c r="EQ60" s="706"/>
      <c r="ER60" s="706"/>
    </row>
    <row r="61" spans="1:148" s="707" customFormat="1" ht="15.75" customHeight="1" x14ac:dyDescent="0.25">
      <c r="A61" s="828">
        <f t="shared" si="74"/>
        <v>55</v>
      </c>
      <c r="B61" s="996" t="s">
        <v>262</v>
      </c>
      <c r="C61" s="1171" t="s">
        <v>756</v>
      </c>
      <c r="D61" s="895" t="s">
        <v>822</v>
      </c>
      <c r="E61" s="896" t="s">
        <v>823</v>
      </c>
      <c r="F61" s="997">
        <v>3030.51256281407</v>
      </c>
      <c r="G61" s="936">
        <f>IF(F61&lt;2700,F61*0.0097,IF(F61&lt;3200,F61*0.01095,IF(F61&lt;3700,F61*0.0122,IF(F61&gt;3699,F61*0.01345,""))))</f>
        <v>33.184112562814065</v>
      </c>
      <c r="H61" s="1172"/>
      <c r="I61" s="997">
        <v>2377.8090452261304</v>
      </c>
      <c r="J61" s="936">
        <f>IF(I61&lt;2700,I61*0.0097,IF(I61&lt;3200,I61*0.01095,IF(I61&lt;3700,I61*0.0122,IF(I61&gt;3699,I61*0.01345,""))))</f>
        <v>23.064747738693466</v>
      </c>
      <c r="K61" s="1172"/>
      <c r="L61" s="997">
        <v>3378.3316582914572</v>
      </c>
      <c r="M61" s="936">
        <f>IF(L61&lt;2700,L61*0.0097,IF(L61&lt;3200,L61*0.01095,IF(L61&lt;3700,L61*0.0122,IF(L61&gt;3699,L61*0.01345,""))))</f>
        <v>41.21564623115578</v>
      </c>
      <c r="N61" s="1172"/>
      <c r="O61" s="998"/>
      <c r="P61" s="936">
        <f>IF(O61&lt;2700,O61*0.0097,IF(O61&lt;3200,O61*0.01095,IF(O61&lt;3700,O61*0.0122,IF(O61&gt;3699,O61*0.01345,""))))</f>
        <v>0</v>
      </c>
      <c r="Q61" s="1172"/>
      <c r="R61" s="995">
        <v>0</v>
      </c>
      <c r="S61" s="936">
        <f>IF(R61&lt;2700,R61*0.0097,IF(R61&lt;3200,R61*0.01095,IF(R61&lt;3700,R61*0.0122,IF(R61&gt;3699,R61*0.01345,""))))</f>
        <v>0</v>
      </c>
      <c r="T61" s="900">
        <v>20</v>
      </c>
      <c r="U61" s="995">
        <v>0</v>
      </c>
      <c r="V61" s="936">
        <f>IF(U61&lt;2700,U61*0.0097,IF(U61&lt;3200,U61*0.01095,IF(U61&lt;3700,U61*0.0122,IF(U61&gt;3699,U61*0.01345,""))))</f>
        <v>0</v>
      </c>
      <c r="W61" s="900">
        <v>22</v>
      </c>
      <c r="X61" s="995">
        <v>0</v>
      </c>
      <c r="Y61" s="936">
        <f>IF(X61&lt;2700,X61*0.0097,IF(X61&lt;3200,X61*0.01095,IF(X61&lt;3700,X61*0.0122,IF(X61&gt;3699,X61*0.01345,""))))</f>
        <v>0</v>
      </c>
      <c r="Z61" s="900">
        <v>20</v>
      </c>
      <c r="AA61" s="995">
        <v>0</v>
      </c>
      <c r="AB61" s="936">
        <f>IF(AA61&lt;2700,AA61*0.0097,IF(AA61&lt;3200,AA61*0.01095,IF(AA61&lt;3700,AA61*0.0122,IF(AA61&gt;3699,AA61*0.01345,""))))</f>
        <v>0</v>
      </c>
      <c r="AC61" s="900">
        <v>22</v>
      </c>
      <c r="AD61" s="995">
        <v>0</v>
      </c>
      <c r="AE61" s="936">
        <f>IF(AD61&lt;2700,AD61*0.0097,IF(AD61&lt;3200,AD61*0.01095,IF(AD61&lt;3700,AD61*0.0122,IF(AD61&gt;3699,AD61*0.01345,""))))</f>
        <v>0</v>
      </c>
      <c r="AF61" s="900">
        <v>20</v>
      </c>
      <c r="AG61" s="995">
        <v>0</v>
      </c>
      <c r="AH61" s="936">
        <f>IF(AG61&lt;2700,AG61*0.0097,IF(AG61&lt;3200,AG61*0.01095,IF(AG61&lt;3700,AG61*0.0122,IF(AG61&gt;3699,AG61*0.01345,""))))</f>
        <v>0</v>
      </c>
      <c r="AI61" s="900">
        <v>20</v>
      </c>
      <c r="AJ61" s="997">
        <v>0</v>
      </c>
      <c r="AK61" s="936">
        <f>IF(AJ61&lt;2700,AJ61*0.0097,IF(AJ61&lt;3200,AJ61*0.01095,IF(AJ61&lt;3700,AJ61*0.0122,IF(AJ61&gt;3699,AJ61*0.01345,""))))</f>
        <v>0</v>
      </c>
      <c r="AL61" s="1172">
        <v>0</v>
      </c>
      <c r="AM61" s="997">
        <v>0</v>
      </c>
      <c r="AN61" s="936">
        <f>IF(AM61&lt;2700,AM61*0.0097,IF(AM61&lt;3200,AM61*0.01095,IF(AM61&lt;3700,AM61*0.0122,IF(AM61&gt;3699,AM61*0.01345,""))))</f>
        <v>0</v>
      </c>
      <c r="AO61" s="1172">
        <v>0</v>
      </c>
      <c r="AP61" s="997">
        <v>0</v>
      </c>
      <c r="AQ61" s="936">
        <f>IF(AP61&lt;2700,AP61*0.0097,IF(AP61&lt;3200,AP61*0.01095,IF(AP61&lt;3700,AP61*0.0122,IF(AP61&gt;3699,AP61*0.01345,""))))</f>
        <v>0</v>
      </c>
      <c r="AR61" s="936">
        <v>20</v>
      </c>
      <c r="AS61" s="997">
        <v>0</v>
      </c>
      <c r="AT61" s="936">
        <f>IF(AS61&lt;2700,AS61*0.0097,IF(AS61&lt;3200,AS61*0.01095,IF(AS61&lt;3700,AS61*0.0122,IF(AS61&gt;3699,AS61*0.01345,""))))</f>
        <v>0</v>
      </c>
      <c r="AU61" s="1172">
        <v>0</v>
      </c>
      <c r="AV61" s="998"/>
      <c r="AW61" s="936">
        <f>IF(AV61&lt;2700,AV61*0.0097,IF(AV61&lt;3200,AV61*0.01095,IF(AV61&lt;3700,AV61*0.0122,IF(AV61&gt;3699,AV61*0.01345,""))))</f>
        <v>0</v>
      </c>
      <c r="AX61" s="1172"/>
      <c r="AY61" s="998"/>
      <c r="AZ61" s="936">
        <f>IF(AY61&lt;2700,AY61*0.0097,IF(AY61&lt;3200,AY61*0.01095,IF(AY61&lt;3700,AY61*0.0122,IF(AY61&gt;3699,AY61*0.01345,""))))</f>
        <v>0</v>
      </c>
      <c r="BA61" s="1172"/>
      <c r="BB61" s="999">
        <f t="shared" si="78"/>
        <v>8786.6532663316575</v>
      </c>
      <c r="BC61" s="1000">
        <f t="shared" si="78"/>
        <v>97.464506532663307</v>
      </c>
      <c r="BD61" s="936">
        <f t="shared" si="78"/>
        <v>144</v>
      </c>
      <c r="BE61" s="946"/>
      <c r="BF61" s="947">
        <f>+BC61+BD61-BE61</f>
        <v>241.46450653266331</v>
      </c>
      <c r="BG61" s="998">
        <v>0</v>
      </c>
      <c r="BH61" s="936">
        <f>IF(BG61&lt;2700,BG61*0.0097,IF(BG61&lt;3200,BG61*0.01095,IF(BG61&lt;3700,BG61*0.0122,IF(BG61&gt;3699,BG61*0.01345,""))))</f>
        <v>0</v>
      </c>
      <c r="BI61" s="1172">
        <v>0</v>
      </c>
      <c r="BJ61" s="998">
        <v>0</v>
      </c>
      <c r="BK61" s="936">
        <f>IF(BJ61&lt;2700,BJ61*0.0097,IF(BJ61&lt;3200,BJ61*0.01095,IF(BJ61&lt;3700,BJ61*0.0122,IF(BJ61&gt;3699,BJ61*0.01345,""))))</f>
        <v>0</v>
      </c>
      <c r="BL61" s="936">
        <v>0</v>
      </c>
      <c r="BM61" s="997">
        <v>2514.3316582914572</v>
      </c>
      <c r="BN61" s="936">
        <f>IF(BM61&lt;2700,BM61*0.0097,IF(BM61&lt;3200,BM61*0.01095,IF(BM61&lt;3700,BM61*0.0122,IF(BM61&gt;3699,BM61*0.01345,""))))</f>
        <v>24.389017085427135</v>
      </c>
      <c r="BO61" s="1172"/>
      <c r="BP61" s="997">
        <v>0</v>
      </c>
      <c r="BQ61" s="936">
        <f>IF(BP61&lt;2700,BP61*0.0097,IF(BP61&lt;3200,BP61*0.01095,IF(BP61&lt;3700,BP61*0.0122,IF(BP61&gt;3699,BP61*0.01345,""))))</f>
        <v>0</v>
      </c>
      <c r="BR61" s="1172">
        <v>20</v>
      </c>
      <c r="BS61" s="997">
        <v>0</v>
      </c>
      <c r="BT61" s="936">
        <f>IF(BS61&lt;2700,BS61*0.0097,IF(BS61&lt;3200,BS61*0.01095,IF(BS61&lt;3700,BS61*0.0122,IF(BS61&gt;3699,BS61*0.01345,""))))</f>
        <v>0</v>
      </c>
      <c r="BU61" s="1172">
        <v>20</v>
      </c>
      <c r="BV61" s="997">
        <v>0</v>
      </c>
      <c r="BW61" s="936">
        <f>IF(BV61&lt;2700,BV61*0.0097,IF(BV61&lt;3200,BV61*0.01095,IF(BV61&lt;3700,BV61*0.0122,IF(BV61&gt;3699,BV61*0.01345,""))))</f>
        <v>0</v>
      </c>
      <c r="BX61" s="1172">
        <v>20</v>
      </c>
      <c r="BY61" s="997">
        <v>0</v>
      </c>
      <c r="BZ61" s="936">
        <f>IF(BY61&lt;2700,BY61*0.0097,IF(BY61&lt;3200,BY61*0.01095,IF(BY61&lt;3700,BY61*0.0122,IF(BY61&gt;3699,BY61*0.01345,""))))</f>
        <v>0</v>
      </c>
      <c r="CA61" s="1172">
        <v>20</v>
      </c>
      <c r="CB61" s="998">
        <v>0</v>
      </c>
      <c r="CC61" s="936">
        <f>IF(CB61&lt;2700,CB61*0.0097,IF(CB61&lt;3200,CB61*0.01095,IF(CB61&lt;3700,CB61*0.0122,IF(CB61&gt;3699,CB61*0.01345,""))))</f>
        <v>0</v>
      </c>
      <c r="CD61" s="936">
        <v>0</v>
      </c>
      <c r="CE61" s="997">
        <v>0</v>
      </c>
      <c r="CF61" s="936">
        <f>IF(CE61&lt;2700,CE61*0.0097,IF(CE61&lt;3200,CE61*0.01095,IF(CE61&lt;3700,CE61*0.0122,IF(CE61&gt;3699,CE61*0.01345,""))))</f>
        <v>0</v>
      </c>
      <c r="CG61" s="1172">
        <v>0</v>
      </c>
      <c r="CH61" s="998"/>
      <c r="CI61" s="936">
        <f>IF(CH61&lt;2700,CH61*0.0097,IF(CH61&lt;3200,CH61*0.01095,IF(CH61&lt;3700,CH61*0.0122,IF(CH61&gt;3699,CH61*0.01345,""))))</f>
        <v>0</v>
      </c>
      <c r="CJ61" s="936"/>
      <c r="CK61" s="998"/>
      <c r="CL61" s="936">
        <f>IF(CK61&lt;2700,CK61*0.0097,IF(CK61&lt;3200,CK61*0.01095,IF(CK61&lt;3700,CK61*0.0122,IF(CK61&gt;3699,CK61*0.01345,""))))</f>
        <v>0</v>
      </c>
      <c r="CM61" s="936"/>
      <c r="CN61" s="998"/>
      <c r="CO61" s="936">
        <f>IF(CN61&lt;2700,CN61*0.0097,IF(CN61&lt;3200,CN61*0.01095,IF(CN61&lt;3700,CN61*0.0122,IF(CN61&gt;3699,CN61*0.01345,""))))</f>
        <v>0</v>
      </c>
      <c r="CP61" s="936"/>
      <c r="CQ61" s="998"/>
      <c r="CR61" s="936">
        <f>IF(CQ61&lt;2700,CQ61*0.0097,IF(CQ61&lt;3200,CQ61*0.01095,IF(CQ61&lt;3700,CQ61*0.0122,IF(CQ61&gt;3699,CQ61*0.01345,""))))</f>
        <v>0</v>
      </c>
      <c r="CS61" s="936"/>
      <c r="CT61" s="941">
        <f t="shared" si="77"/>
        <v>2514.3316582914572</v>
      </c>
      <c r="CU61" s="942">
        <f t="shared" si="77"/>
        <v>24.389017085427135</v>
      </c>
      <c r="CV61" s="936">
        <f>+BI61+BL61+BO61+BR61+BU61+BX61+CA61+CD61+CG61+CJ61+CM61+CP61+CS61</f>
        <v>80</v>
      </c>
      <c r="CW61" s="946"/>
      <c r="CX61" s="939">
        <f>+CU61+CV61-CW61</f>
        <v>104.38901708542713</v>
      </c>
      <c r="CY61" s="930">
        <f t="shared" si="79"/>
        <v>11300.984924623115</v>
      </c>
      <c r="CZ61" s="931">
        <f t="shared" si="79"/>
        <v>121.85352361809043</v>
      </c>
      <c r="DA61" s="931">
        <f t="shared" si="79"/>
        <v>224</v>
      </c>
      <c r="DB61" s="932">
        <f>+CZ61+DA61</f>
        <v>345.85352361809043</v>
      </c>
      <c r="DC61" s="933" t="s">
        <v>821</v>
      </c>
      <c r="DD61" s="570"/>
      <c r="DE61" s="706"/>
      <c r="DF61" s="706"/>
      <c r="DG61" s="706"/>
      <c r="DH61" s="706"/>
      <c r="DI61" s="706"/>
      <c r="DJ61" s="706"/>
      <c r="DK61" s="706"/>
      <c r="DL61" s="706"/>
      <c r="DM61" s="706"/>
      <c r="DN61" s="706"/>
      <c r="DO61" s="706"/>
      <c r="DP61" s="706"/>
      <c r="DQ61" s="706"/>
      <c r="DR61" s="706"/>
      <c r="DS61" s="706"/>
      <c r="DT61" s="706"/>
      <c r="DU61" s="706"/>
      <c r="DV61" s="706"/>
      <c r="DW61" s="706"/>
      <c r="DX61" s="706"/>
      <c r="DY61" s="706"/>
      <c r="DZ61" s="706"/>
      <c r="EA61" s="706"/>
      <c r="EB61" s="706"/>
      <c r="EC61" s="706"/>
      <c r="ED61" s="706"/>
      <c r="EE61" s="706"/>
      <c r="EF61" s="706"/>
      <c r="EG61" s="706"/>
      <c r="EH61" s="706"/>
      <c r="EI61" s="706"/>
      <c r="EJ61" s="706"/>
      <c r="EK61" s="706"/>
      <c r="EL61" s="706"/>
      <c r="EM61" s="706"/>
      <c r="EN61" s="706"/>
      <c r="EO61" s="706"/>
      <c r="EP61" s="706"/>
      <c r="EQ61" s="706"/>
      <c r="ER61" s="706"/>
    </row>
    <row r="62" spans="1:148" ht="15.75" customHeight="1" x14ac:dyDescent="0.25">
      <c r="A62" s="828">
        <f t="shared" si="74"/>
        <v>56</v>
      </c>
      <c r="B62" s="996" t="s">
        <v>120</v>
      </c>
      <c r="C62" s="934" t="s">
        <v>756</v>
      </c>
      <c r="D62" s="943" t="s">
        <v>824</v>
      </c>
      <c r="E62" s="1170" t="s">
        <v>825</v>
      </c>
      <c r="F62" s="995">
        <v>0</v>
      </c>
      <c r="G62" s="945">
        <v>0</v>
      </c>
      <c r="H62" s="936">
        <v>20</v>
      </c>
      <c r="I62" s="995">
        <v>0</v>
      </c>
      <c r="J62" s="945">
        <v>0</v>
      </c>
      <c r="K62" s="936">
        <v>20</v>
      </c>
      <c r="L62" s="995">
        <v>0</v>
      </c>
      <c r="M62" s="945">
        <v>0</v>
      </c>
      <c r="N62" s="936">
        <v>35</v>
      </c>
      <c r="O62" s="897"/>
      <c r="P62" s="945">
        <v>0</v>
      </c>
      <c r="Q62" s="936"/>
      <c r="R62" s="897">
        <v>3512.924623115578</v>
      </c>
      <c r="S62" s="936">
        <f>IF(R62&lt;2700,R62*0.0097,IF(R62&lt;3200,R62*0.01095,IF(R62&lt;3700,R62*0.0122,IF(R62&gt;3699,R62*0.01345,""))))</f>
        <v>42.857680402010054</v>
      </c>
      <c r="T62" s="1172"/>
      <c r="U62" s="897">
        <v>0</v>
      </c>
      <c r="V62" s="945">
        <v>0</v>
      </c>
      <c r="W62" s="936">
        <v>25</v>
      </c>
      <c r="X62" s="897">
        <v>0</v>
      </c>
      <c r="Y62" s="945">
        <v>0</v>
      </c>
      <c r="Z62" s="936">
        <v>0</v>
      </c>
      <c r="AA62" s="897">
        <v>0</v>
      </c>
      <c r="AB62" s="945">
        <v>0</v>
      </c>
      <c r="AC62" s="936">
        <v>15</v>
      </c>
      <c r="AD62" s="897">
        <v>1253.7889447236182</v>
      </c>
      <c r="AE62" s="936">
        <f>IF(AD62&lt;2700,AD62*0.0097,IF(AD62&lt;3200,AD62*0.01095,IF(AD62&lt;3700,AD62*0.0122,IF(AD62&gt;3699,AD62*0.01345,""))))</f>
        <v>12.161752763819097</v>
      </c>
      <c r="AF62" s="1172">
        <v>50</v>
      </c>
      <c r="AG62" s="897">
        <v>0</v>
      </c>
      <c r="AH62" s="945">
        <v>0</v>
      </c>
      <c r="AI62" s="936">
        <v>0</v>
      </c>
      <c r="AJ62" s="995">
        <v>0</v>
      </c>
      <c r="AK62" s="936">
        <f>IF(AJ62&lt;2700,AJ62*0.0097,IF(AJ62&lt;3200,AJ62*0.01095,IF(AJ62&lt;3700,AJ62*0.0122,IF(AJ62&gt;3699,AJ62*0.01345,""))))</f>
        <v>0</v>
      </c>
      <c r="AL62" s="936">
        <v>20</v>
      </c>
      <c r="AM62" s="995">
        <v>0</v>
      </c>
      <c r="AN62" s="936">
        <f>IF(AM62&lt;2700,AM62*0.0097,IF(AM62&lt;3200,AM62*0.01095,IF(AM62&lt;3700,AM62*0.0122,IF(AM62&gt;3699,AM62*0.01345,""))))</f>
        <v>0</v>
      </c>
      <c r="AO62" s="936"/>
      <c r="AP62" s="897">
        <v>0</v>
      </c>
      <c r="AQ62" s="936">
        <f>IF(AP62&lt;2700,AP62*0.0097,IF(AP62&lt;3200,AP62*0.01095,IF(AP62&lt;3700,AP62*0.0122,IF(AP62&gt;3699,AP62*0.01345,""))))</f>
        <v>0</v>
      </c>
      <c r="AR62" s="936">
        <v>12</v>
      </c>
      <c r="AS62" s="995">
        <v>0</v>
      </c>
      <c r="AT62" s="936">
        <f>IF(AS62&lt;2700,AS62*0.0097,IF(AS62&lt;3200,AS62*0.01095,IF(AS62&lt;3700,AS62*0.0122,IF(AS62&gt;3699,AS62*0.01345,""))))</f>
        <v>0</v>
      </c>
      <c r="AU62" s="936">
        <v>20</v>
      </c>
      <c r="AV62" s="897"/>
      <c r="AW62" s="945">
        <v>0</v>
      </c>
      <c r="AX62" s="936"/>
      <c r="AY62" s="897"/>
      <c r="AZ62" s="945">
        <v>0</v>
      </c>
      <c r="BA62" s="936"/>
      <c r="BB62" s="999">
        <f t="shared" si="78"/>
        <v>4766.713567839196</v>
      </c>
      <c r="BC62" s="1000">
        <f t="shared" si="78"/>
        <v>55.019433165829149</v>
      </c>
      <c r="BD62" s="936">
        <f t="shared" si="78"/>
        <v>217</v>
      </c>
      <c r="BE62" s="946"/>
      <c r="BF62" s="947">
        <f>+BC62+BD62-BE62</f>
        <v>272.01943316582913</v>
      </c>
      <c r="BG62" s="897">
        <v>0</v>
      </c>
      <c r="BH62" s="936">
        <f>IF(BG62&lt;2700,BG62*0.0097,IF(BG62&lt;3200,BG62*0.01095,IF(BG62&lt;3700,BG62*0.0122,IF(BG62&gt;3699,BG62*0.01345,""))))</f>
        <v>0</v>
      </c>
      <c r="BI62" s="936">
        <v>20</v>
      </c>
      <c r="BJ62" s="897">
        <v>0</v>
      </c>
      <c r="BK62" s="936">
        <f>IF(BJ62&lt;2700,BJ62*0.0097,IF(BJ62&lt;3200,BJ62*0.01095,IF(BJ62&lt;3700,BJ62*0.0122,IF(BJ62&gt;3699,BJ62*0.01345,""))))</f>
        <v>0</v>
      </c>
      <c r="BL62" s="936">
        <v>10</v>
      </c>
      <c r="BM62" s="995">
        <v>0</v>
      </c>
      <c r="BN62" s="936">
        <f>IF(BM62&lt;2700,BM62*0.0097,IF(BM62&lt;3200,BM62*0.01095,IF(BM62&lt;3700,BM62*0.0122,IF(BM62&gt;3699,BM62*0.01345,""))))</f>
        <v>0</v>
      </c>
      <c r="BO62" s="936">
        <v>0</v>
      </c>
      <c r="BP62" s="995">
        <v>0</v>
      </c>
      <c r="BQ62" s="936">
        <f>IF(BP62&lt;2700,BP62*0.0097,IF(BP62&lt;3200,BP62*0.01095,IF(BP62&lt;3700,BP62*0.0122,IF(BP62&gt;3699,BP62*0.01345,""))))</f>
        <v>0</v>
      </c>
      <c r="BR62" s="936">
        <v>0</v>
      </c>
      <c r="BS62" s="995"/>
      <c r="BT62" s="945">
        <v>0</v>
      </c>
      <c r="BU62" s="936"/>
      <c r="BV62" s="995"/>
      <c r="BW62" s="945">
        <v>0</v>
      </c>
      <c r="BX62" s="1172"/>
      <c r="BY62" s="995"/>
      <c r="BZ62" s="945">
        <v>0</v>
      </c>
      <c r="CA62" s="936"/>
      <c r="CB62" s="897"/>
      <c r="CC62" s="945">
        <v>0</v>
      </c>
      <c r="CD62" s="936"/>
      <c r="CE62" s="995"/>
      <c r="CF62" s="936">
        <f>IF(CE62&lt;2700,CE62*0.0097,IF(CE62&lt;3200,CE62*0.01095,IF(CE62&lt;3700,CE62*0.0122,IF(CE62&gt;3699,CE62*0.01345,""))))</f>
        <v>0</v>
      </c>
      <c r="CG62" s="936"/>
      <c r="CH62" s="897"/>
      <c r="CI62" s="945">
        <v>0</v>
      </c>
      <c r="CJ62" s="936"/>
      <c r="CK62" s="897"/>
      <c r="CL62" s="945">
        <v>0</v>
      </c>
      <c r="CM62" s="936"/>
      <c r="CN62" s="897"/>
      <c r="CO62" s="945">
        <v>0</v>
      </c>
      <c r="CP62" s="936"/>
      <c r="CQ62" s="897"/>
      <c r="CR62" s="945">
        <v>0</v>
      </c>
      <c r="CS62" s="936"/>
      <c r="CT62" s="941">
        <f t="shared" si="77"/>
        <v>0</v>
      </c>
      <c r="CU62" s="942">
        <f t="shared" si="77"/>
        <v>0</v>
      </c>
      <c r="CV62" s="936">
        <f>+BI62+BL62+BO62+BR62+BU62+BX62+CA62+CD62+CG62+CJ62+CM62+CP62+CS62</f>
        <v>30</v>
      </c>
      <c r="CW62" s="946"/>
      <c r="CX62" s="939">
        <f>+CU62+CV62-CW62</f>
        <v>30</v>
      </c>
      <c r="CY62" s="930">
        <f t="shared" si="79"/>
        <v>4766.713567839196</v>
      </c>
      <c r="CZ62" s="931">
        <f t="shared" si="79"/>
        <v>55.019433165829149</v>
      </c>
      <c r="DA62" s="931">
        <f t="shared" si="79"/>
        <v>247</v>
      </c>
      <c r="DB62" s="932">
        <f>+CZ62+DA62</f>
        <v>302.01943316582913</v>
      </c>
      <c r="DC62" s="933" t="s">
        <v>821</v>
      </c>
    </row>
    <row r="63" spans="1:148" ht="15.75" customHeight="1" thickBot="1" x14ac:dyDescent="0.3">
      <c r="A63" s="1173">
        <f t="shared" si="74"/>
        <v>57</v>
      </c>
      <c r="B63" s="1001" t="s">
        <v>259</v>
      </c>
      <c r="C63" s="1174" t="s">
        <v>756</v>
      </c>
      <c r="D63" s="1175" t="s">
        <v>826</v>
      </c>
      <c r="E63" s="1176" t="s">
        <v>827</v>
      </c>
      <c r="F63" s="1002">
        <v>0</v>
      </c>
      <c r="G63" s="955">
        <f>IF(F63&lt;2700,F63*0.0097,IF(F63&lt;3200,F63*0.01095,IF(F63&lt;3700,F63*0.0122,IF(F63&gt;3699,F63*0.01345,""))))</f>
        <v>0</v>
      </c>
      <c r="H63" s="955">
        <v>25</v>
      </c>
      <c r="I63" s="1002">
        <v>1612.7035175879398</v>
      </c>
      <c r="J63" s="955">
        <f>IF(I63&lt;2700,I63*0.0097,IF(I63&lt;3200,I63*0.01095,IF(I63&lt;3700,I63*0.0122,IF(I63&gt;3699,I63*0.01345,""))))</f>
        <v>15.643224120603017</v>
      </c>
      <c r="K63" s="955">
        <f>30-J63</f>
        <v>14.356775879396983</v>
      </c>
      <c r="L63" s="1002">
        <v>0</v>
      </c>
      <c r="M63" s="955">
        <f>IF(L63&lt;2700,L63*0.0097,IF(L63&lt;3200,L63*0.01095,IF(L63&lt;3700,L63*0.0122,IF(L63&gt;3699,L63*0.01345,""))))</f>
        <v>0</v>
      </c>
      <c r="N63" s="955">
        <v>25</v>
      </c>
      <c r="O63" s="1003"/>
      <c r="P63" s="955">
        <f>IF(O63&lt;2700,O63*0.0097,IF(O63&lt;3200,O63*0.01095,IF(O63&lt;3700,O63*0.0122,IF(O63&gt;3699,O63*0.01345,""))))</f>
        <v>0</v>
      </c>
      <c r="Q63" s="955"/>
      <c r="R63" s="1003">
        <v>0</v>
      </c>
      <c r="S63" s="955">
        <f>IF(R63&lt;2700,R63*0.0097,IF(R63&lt;3200,R63*0.01095,IF(R63&lt;3700,R63*0.0122,IF(R63&gt;3699,R63*0.01345,""))))</f>
        <v>0</v>
      </c>
      <c r="T63" s="955"/>
      <c r="U63" s="1003">
        <v>0</v>
      </c>
      <c r="V63" s="955">
        <f>IF(U63&lt;2700,U63*0.0097,IF(U63&lt;3200,U63*0.01095,IF(U63&lt;3700,U63*0.0122,IF(U63&gt;3699,U63*0.01345,""))))</f>
        <v>0</v>
      </c>
      <c r="W63" s="955"/>
      <c r="X63" s="1003">
        <v>0</v>
      </c>
      <c r="Y63" s="955">
        <f>IF(X63&lt;2700,X63*0.0097,IF(X63&lt;3200,X63*0.01095,IF(X63&lt;3700,X63*0.0122,IF(X63&gt;3699,X63*0.01345,""))))</f>
        <v>0</v>
      </c>
      <c r="Z63" s="955"/>
      <c r="AA63" s="1003">
        <v>0</v>
      </c>
      <c r="AB63" s="955">
        <f>IF(AA63&lt;2700,AA63*0.0097,IF(AA63&lt;3200,AA63*0.01095,IF(AA63&lt;3700,AA63*0.0122,IF(AA63&gt;3699,AA63*0.01345,""))))</f>
        <v>0</v>
      </c>
      <c r="AC63" s="955"/>
      <c r="AD63" s="1002"/>
      <c r="AE63" s="955">
        <f>IF(AD63&lt;2700,AD63*0.0097,IF(AD63&lt;3200,AD63*0.01095,IF(AD63&lt;3700,AD63*0.0122,IF(AD63&gt;3699,AD63*0.01345,""))))</f>
        <v>0</v>
      </c>
      <c r="AF63" s="955"/>
      <c r="AG63" s="1002"/>
      <c r="AH63" s="955">
        <f>IF(AG63&lt;2700,AG63*0.0097,IF(AG63&lt;3200,AG63*0.01095,IF(AG63&lt;3700,AG63*0.0122,IF(AG63&gt;3699,AG63*0.01345,""))))</f>
        <v>0</v>
      </c>
      <c r="AI63" s="955"/>
      <c r="AJ63" s="1002"/>
      <c r="AK63" s="955">
        <f>IF(AJ63&lt;2700,AJ63*0.0097,IF(AJ63&lt;3200,AJ63*0.01095,IF(AJ63&lt;3700,AJ63*0.0122,IF(AJ63&gt;3699,AJ63*0.01345,""))))</f>
        <v>0</v>
      </c>
      <c r="AL63" s="955"/>
      <c r="AM63" s="1002"/>
      <c r="AN63" s="955">
        <f>IF(AM63&lt;2700,AM63*0.0097,IF(AM63&lt;3200,AM63*0.01095,IF(AM63&lt;3700,AM63*0.0122,IF(AM63&gt;3699,AM63*0.01345,""))))</f>
        <v>0</v>
      </c>
      <c r="AO63" s="955"/>
      <c r="AP63" s="1003"/>
      <c r="AQ63" s="955">
        <f>IF(AP63&lt;2700,AP63*0.0097,IF(AP63&lt;3200,AP63*0.01095,IF(AP63&lt;3700,AP63*0.0122,IF(AP63&gt;3699,AP63*0.01345,""))))</f>
        <v>0</v>
      </c>
      <c r="AR63" s="955"/>
      <c r="AS63" s="1002"/>
      <c r="AT63" s="955">
        <f>IF(AS63&lt;2700,AS63*0.0097,IF(AS63&lt;3200,AS63*0.01095,IF(AS63&lt;3700,AS63*0.0122,IF(AS63&gt;3699,AS63*0.01345,""))))</f>
        <v>0</v>
      </c>
      <c r="AU63" s="955"/>
      <c r="AV63" s="1003"/>
      <c r="AW63" s="955">
        <f>IF(AV63&lt;2700,AV63*0.0097,IF(AV63&lt;3200,AV63*0.01095,IF(AV63&lt;3700,AV63*0.0122,IF(AV63&gt;3699,AV63*0.01345,""))))</f>
        <v>0</v>
      </c>
      <c r="AX63" s="955"/>
      <c r="AY63" s="1003"/>
      <c r="AZ63" s="955">
        <f>IF(AY63&lt;2700,AY63*0.0097,IF(AY63&lt;3200,AY63*0.01095,IF(AY63&lt;3700,AY63*0.0122,IF(AY63&gt;3699,AY63*0.01345,""))))</f>
        <v>0</v>
      </c>
      <c r="BA63" s="955"/>
      <c r="BB63" s="953">
        <f t="shared" si="78"/>
        <v>1612.7035175879398</v>
      </c>
      <c r="BC63" s="954">
        <f t="shared" si="78"/>
        <v>15.643224120603017</v>
      </c>
      <c r="BD63" s="955">
        <f t="shared" si="78"/>
        <v>64.356775879396992</v>
      </c>
      <c r="BE63" s="956"/>
      <c r="BF63" s="957">
        <f>+BC63+BD63-BE63</f>
        <v>80.000000000000014</v>
      </c>
      <c r="BG63" s="1003"/>
      <c r="BH63" s="955">
        <f>IF(BG63&lt;2700,BG63*0.0097,IF(BG63&lt;3200,BG63*0.01095,IF(BG63&lt;3700,BG63*0.0122,IF(BG63&gt;3699,BG63*0.01345,""))))</f>
        <v>0</v>
      </c>
      <c r="BI63" s="955"/>
      <c r="BJ63" s="1003"/>
      <c r="BK63" s="955">
        <f>IF(BJ63&lt;2700,BJ63*0.0097,IF(BJ63&lt;3200,BJ63*0.01095,IF(BJ63&lt;3700,BJ63*0.0122,IF(BJ63&gt;3699,BJ63*0.01345,""))))</f>
        <v>0</v>
      </c>
      <c r="BL63" s="955"/>
      <c r="BM63" s="1002"/>
      <c r="BN63" s="955">
        <f>IF(BM63&lt;2700,BM63*0.0097,IF(BM63&lt;3200,BM63*0.01095,IF(BM63&lt;3700,BM63*0.0122,IF(BM63&gt;3699,BM63*0.01345,""))))</f>
        <v>0</v>
      </c>
      <c r="BO63" s="955"/>
      <c r="BP63" s="1002"/>
      <c r="BQ63" s="955">
        <f>IF(BP63&lt;2700,BP63*0.0097,IF(BP63&lt;3200,BP63*0.01095,IF(BP63&lt;3700,BP63*0.0122,IF(BP63&gt;3699,BP63*0.01345,""))))</f>
        <v>0</v>
      </c>
      <c r="BR63" s="955"/>
      <c r="BS63" s="1002"/>
      <c r="BT63" s="955">
        <f>IF(BS63&lt;2700,BS63*0.0097,IF(BS63&lt;3200,BS63*0.01095,IF(BS63&lt;3700,BS63*0.0122,IF(BS63&gt;3699,BS63*0.01345,""))))</f>
        <v>0</v>
      </c>
      <c r="BU63" s="955"/>
      <c r="BV63" s="1002"/>
      <c r="BW63" s="955">
        <f>IF(BV63&lt;2700,BV63*0.0097,IF(BV63&lt;3200,BV63*0.01095,IF(BV63&lt;3700,BV63*0.0122,IF(BV63&gt;3699,BV63*0.01345,""))))</f>
        <v>0</v>
      </c>
      <c r="BX63" s="955"/>
      <c r="BY63" s="1003"/>
      <c r="BZ63" s="955">
        <f>IF(BY63&lt;2700,BY63*0.0097,IF(BY63&lt;3200,BY63*0.01095,IF(BY63&lt;3700,BY63*0.0122,IF(BY63&gt;3699,BY63*0.01345,""))))</f>
        <v>0</v>
      </c>
      <c r="CA63" s="955"/>
      <c r="CB63" s="1003"/>
      <c r="CC63" s="955">
        <f>IF(CB63&lt;2700,CB63*0.0097,IF(CB63&lt;3200,CB63*0.01095,IF(CB63&lt;3700,CB63*0.0122,IF(CB63&gt;3699,CB63*0.01345,""))))</f>
        <v>0</v>
      </c>
      <c r="CD63" s="955"/>
      <c r="CE63" s="1003"/>
      <c r="CF63" s="955">
        <f>IF(CE63&lt;2700,CE63*0.0097,IF(CE63&lt;3200,CE63*0.01095,IF(CE63&lt;3700,CE63*0.0122,IF(CE63&gt;3699,CE63*0.01345,""))))</f>
        <v>0</v>
      </c>
      <c r="CG63" s="955"/>
      <c r="CH63" s="1003"/>
      <c r="CI63" s="955">
        <f>IF(CH63&lt;2700,CH63*0.0097,IF(CH63&lt;3200,CH63*0.01095,IF(CH63&lt;3700,CH63*0.0122,IF(CH63&gt;3699,CH63*0.01345,""))))</f>
        <v>0</v>
      </c>
      <c r="CJ63" s="955"/>
      <c r="CK63" s="1003"/>
      <c r="CL63" s="955">
        <f>IF(CK63&lt;2700,CK63*0.0097,IF(CK63&lt;3200,CK63*0.01095,IF(CK63&lt;3700,CK63*0.0122,IF(CK63&gt;3699,CK63*0.01345,""))))</f>
        <v>0</v>
      </c>
      <c r="CM63" s="955"/>
      <c r="CN63" s="1003"/>
      <c r="CO63" s="955">
        <f>IF(CN63&lt;2700,CN63*0.0097,IF(CN63&lt;3200,CN63*0.01095,IF(CN63&lt;3700,CN63*0.0122,IF(CN63&gt;3699,CN63*0.01345,""))))</f>
        <v>0</v>
      </c>
      <c r="CP63" s="955"/>
      <c r="CQ63" s="1003"/>
      <c r="CR63" s="955">
        <f>IF(CQ63&lt;2700,CQ63*0.0097,IF(CQ63&lt;3200,CQ63*0.01095,IF(CQ63&lt;3700,CQ63*0.0122,IF(CQ63&gt;3699,CQ63*0.01345,""))))</f>
        <v>0</v>
      </c>
      <c r="CS63" s="955"/>
      <c r="CT63" s="958">
        <f t="shared" si="77"/>
        <v>0</v>
      </c>
      <c r="CU63" s="959">
        <f t="shared" si="77"/>
        <v>0</v>
      </c>
      <c r="CV63" s="955">
        <f>+BI63+BL63+BO63+BR63+BU63+BX63+CA63+CD63+CG63+CJ63+CM63+CP63+CS63</f>
        <v>0</v>
      </c>
      <c r="CW63" s="956"/>
      <c r="CX63" s="960">
        <f>+CU63+CV63-CW63</f>
        <v>0</v>
      </c>
      <c r="CY63" s="953">
        <f t="shared" si="79"/>
        <v>1612.7035175879398</v>
      </c>
      <c r="CZ63" s="960">
        <f t="shared" si="79"/>
        <v>15.643224120603017</v>
      </c>
      <c r="DA63" s="960">
        <f t="shared" si="79"/>
        <v>64.356775879396992</v>
      </c>
      <c r="DB63" s="961">
        <f>+CZ63+DA63</f>
        <v>80.000000000000014</v>
      </c>
      <c r="DC63" s="933" t="s">
        <v>863</v>
      </c>
      <c r="DE63" s="765">
        <f>+SUM(CZ29:CZ63)+CZ86+CZ87+CZ88+CZ89+CZ90+CZ91+CZ92+CZ93+CZ94+CZ95+CZ96+CZ97+CZ98</f>
        <v>11214.124911894472</v>
      </c>
      <c r="DF63" s="765">
        <f t="shared" ref="DF63:DG63" si="80">+SUM(DA29:DA63)+DA86+DA87+DA88+DA89+DA90+DA91+DA92+DA93+DA94+DA95+DA96+DA97+DA98</f>
        <v>9881.9730480092767</v>
      </c>
      <c r="DG63" s="765">
        <f t="shared" si="80"/>
        <v>21096.097959903756</v>
      </c>
    </row>
    <row r="64" spans="1:148" s="571" customFormat="1" ht="15.75" customHeight="1" x14ac:dyDescent="0.25">
      <c r="A64" s="1177">
        <f>+A63+1</f>
        <v>58</v>
      </c>
      <c r="B64" s="548" t="s">
        <v>139</v>
      </c>
      <c r="C64" s="1029" t="s">
        <v>829</v>
      </c>
      <c r="D64" s="1178" t="s">
        <v>830</v>
      </c>
      <c r="E64" s="1167"/>
      <c r="F64" s="576">
        <v>0</v>
      </c>
      <c r="G64" s="532">
        <v>0</v>
      </c>
      <c r="H64" s="532">
        <v>25</v>
      </c>
      <c r="I64" s="576">
        <v>0</v>
      </c>
      <c r="J64" s="532">
        <v>0</v>
      </c>
      <c r="K64" s="532">
        <v>25</v>
      </c>
      <c r="L64" s="576">
        <v>0</v>
      </c>
      <c r="M64" s="532">
        <v>0</v>
      </c>
      <c r="N64" s="532">
        <v>40</v>
      </c>
      <c r="O64" s="578"/>
      <c r="P64" s="532">
        <v>0</v>
      </c>
      <c r="Q64" s="532"/>
      <c r="R64" s="578">
        <v>0</v>
      </c>
      <c r="S64" s="532">
        <v>0</v>
      </c>
      <c r="T64" s="532">
        <v>30</v>
      </c>
      <c r="U64" s="578">
        <v>0</v>
      </c>
      <c r="V64" s="532">
        <v>0</v>
      </c>
      <c r="W64" s="532">
        <v>30</v>
      </c>
      <c r="X64" s="578">
        <v>0</v>
      </c>
      <c r="Y64" s="532">
        <v>0</v>
      </c>
      <c r="Z64" s="532">
        <v>20</v>
      </c>
      <c r="AA64" s="578">
        <v>0</v>
      </c>
      <c r="AB64" s="532">
        <v>0</v>
      </c>
      <c r="AC64" s="532">
        <v>25</v>
      </c>
      <c r="AD64" s="578">
        <v>0</v>
      </c>
      <c r="AE64" s="532">
        <v>0</v>
      </c>
      <c r="AF64" s="532">
        <v>50</v>
      </c>
      <c r="AG64" s="578">
        <v>0</v>
      </c>
      <c r="AH64" s="532">
        <v>0</v>
      </c>
      <c r="AI64" s="532">
        <v>0</v>
      </c>
      <c r="AJ64" s="578">
        <v>0</v>
      </c>
      <c r="AK64" s="532">
        <v>0</v>
      </c>
      <c r="AL64" s="532">
        <v>25</v>
      </c>
      <c r="AM64" s="578">
        <v>0</v>
      </c>
      <c r="AN64" s="532">
        <v>0</v>
      </c>
      <c r="AO64" s="532">
        <v>25</v>
      </c>
      <c r="AP64" s="578">
        <v>0</v>
      </c>
      <c r="AQ64" s="532">
        <v>0</v>
      </c>
      <c r="AR64" s="532">
        <v>25</v>
      </c>
      <c r="AS64" s="578">
        <v>0</v>
      </c>
      <c r="AT64" s="532">
        <v>0</v>
      </c>
      <c r="AU64" s="532">
        <v>25</v>
      </c>
      <c r="AV64" s="578"/>
      <c r="AW64" s="532">
        <v>0</v>
      </c>
      <c r="AX64" s="532"/>
      <c r="AY64" s="578"/>
      <c r="AZ64" s="532">
        <v>0</v>
      </c>
      <c r="BA64" s="532"/>
      <c r="BB64" s="581">
        <f t="shared" si="78"/>
        <v>0</v>
      </c>
      <c r="BC64" s="582">
        <f t="shared" si="78"/>
        <v>0</v>
      </c>
      <c r="BD64" s="727">
        <f t="shared" si="78"/>
        <v>345</v>
      </c>
      <c r="BE64" s="587"/>
      <c r="BF64" s="637">
        <f t="shared" ref="BF64:BF66" si="81">+BC64+BD64-BE64</f>
        <v>345</v>
      </c>
      <c r="BG64" s="578">
        <v>0</v>
      </c>
      <c r="BH64" s="532">
        <v>0</v>
      </c>
      <c r="BI64" s="532">
        <v>25</v>
      </c>
      <c r="BJ64" s="578">
        <v>0</v>
      </c>
      <c r="BK64" s="532">
        <v>0</v>
      </c>
      <c r="BL64" s="532">
        <v>0</v>
      </c>
      <c r="BM64" s="618">
        <v>4524.5427135678383</v>
      </c>
      <c r="BN64" s="619">
        <f>+BM64*0.021458/2-0.5</f>
        <v>48.04381877386934</v>
      </c>
      <c r="BO64" s="532"/>
      <c r="BP64" s="576">
        <v>4097.1256281407032</v>
      </c>
      <c r="BQ64" s="619">
        <f>+BP64*0.021171/2-0.5</f>
        <v>42.870123336683413</v>
      </c>
      <c r="BR64" s="532"/>
      <c r="BS64" s="576">
        <v>4120.7638190954767</v>
      </c>
      <c r="BT64" s="619">
        <f>+BS64*0.021515/2-0.5</f>
        <v>43.829116783919588</v>
      </c>
      <c r="BU64" s="532"/>
      <c r="BV64" s="576">
        <v>3070.0703517587935</v>
      </c>
      <c r="BW64" s="619">
        <f>+BV64*0.021208/2-0.5</f>
        <v>32.055026010050248</v>
      </c>
      <c r="BX64" s="532"/>
      <c r="BY64" s="576">
        <v>4867.0552763819087</v>
      </c>
      <c r="BZ64" s="619">
        <f>+BY64*0.021941/2-0.5</f>
        <v>52.894029909547726</v>
      </c>
      <c r="CA64" s="532"/>
      <c r="CB64" s="578"/>
      <c r="CC64" s="532">
        <v>0</v>
      </c>
      <c r="CD64" s="532"/>
      <c r="CE64" s="578">
        <v>4416.4824120603016</v>
      </c>
      <c r="CF64" s="619">
        <f>+CE64*0.0214943/2-0.5</f>
        <v>46.964598954773869</v>
      </c>
      <c r="CG64" s="532"/>
      <c r="CH64" s="578">
        <v>0</v>
      </c>
      <c r="CI64" s="532">
        <v>0</v>
      </c>
      <c r="CJ64" s="532">
        <v>20</v>
      </c>
      <c r="CK64" s="578">
        <v>0</v>
      </c>
      <c r="CL64" s="532">
        <v>0</v>
      </c>
      <c r="CM64" s="532"/>
      <c r="CN64" s="578">
        <v>0</v>
      </c>
      <c r="CO64" s="532">
        <v>0</v>
      </c>
      <c r="CP64" s="532"/>
      <c r="CQ64" s="578">
        <v>0</v>
      </c>
      <c r="CR64" s="532">
        <v>0</v>
      </c>
      <c r="CS64" s="532"/>
      <c r="CT64" s="622">
        <f t="shared" si="77"/>
        <v>25096.04020100502</v>
      </c>
      <c r="CU64" s="623">
        <f t="shared" si="77"/>
        <v>266.65671376884421</v>
      </c>
      <c r="CV64" s="624">
        <f t="shared" ref="CV64:CV66" si="82">+BI64+BL64+BO64+BR64+BU64+BX64+CA64+CD64+CG64+CJ64+CM64+CP64+CS64</f>
        <v>45</v>
      </c>
      <c r="CW64" s="587"/>
      <c r="CX64" s="625">
        <f t="shared" ref="CX64:CX66" si="83">+CU64+CV64-CW64</f>
        <v>311.65671376884421</v>
      </c>
      <c r="CY64" s="626">
        <f t="shared" si="79"/>
        <v>25096.04020100502</v>
      </c>
      <c r="CZ64" s="627">
        <f t="shared" si="79"/>
        <v>266.65671376884421</v>
      </c>
      <c r="DA64" s="628">
        <f t="shared" si="79"/>
        <v>390</v>
      </c>
      <c r="DB64" s="629">
        <f t="shared" ref="DB64:DB66" si="84">+CZ64+DA64</f>
        <v>656.65671376884416</v>
      </c>
      <c r="DC64" s="920" t="s">
        <v>740</v>
      </c>
      <c r="DD64" s="570"/>
      <c r="DE64" s="570"/>
      <c r="DF64" s="570"/>
      <c r="DG64" s="570"/>
      <c r="DH64" s="570"/>
      <c r="DI64" s="570"/>
      <c r="DJ64" s="570"/>
      <c r="DK64" s="570"/>
      <c r="DL64" s="570"/>
      <c r="DM64" s="570"/>
      <c r="DN64" s="570"/>
      <c r="DO64" s="570"/>
      <c r="DP64" s="570"/>
      <c r="DQ64" s="570"/>
      <c r="DR64" s="570"/>
      <c r="DS64" s="570"/>
      <c r="DT64" s="570"/>
      <c r="DU64" s="570"/>
      <c r="DV64" s="570"/>
      <c r="DW64" s="570"/>
      <c r="DX64" s="570"/>
      <c r="DY64" s="570"/>
      <c r="DZ64" s="570"/>
      <c r="EA64" s="570"/>
      <c r="EB64" s="570"/>
      <c r="EC64" s="570"/>
      <c r="ED64" s="570"/>
      <c r="EE64" s="570"/>
      <c r="EF64" s="570"/>
      <c r="EG64" s="570"/>
      <c r="EH64" s="570"/>
      <c r="EI64" s="570"/>
      <c r="EJ64" s="570"/>
      <c r="EK64" s="570"/>
      <c r="EL64" s="570"/>
      <c r="EM64" s="570"/>
      <c r="EN64" s="570"/>
      <c r="EO64" s="570"/>
      <c r="EP64" s="570"/>
      <c r="EQ64" s="570"/>
      <c r="ER64" s="570"/>
    </row>
    <row r="65" spans="1:170" s="571" customFormat="1" ht="15.75" x14ac:dyDescent="0.25">
      <c r="A65" s="1177">
        <f t="shared" ref="A65:A69" si="85">+A64+1</f>
        <v>59</v>
      </c>
      <c r="B65" s="1029" t="s">
        <v>142</v>
      </c>
      <c r="C65" s="1029" t="s">
        <v>829</v>
      </c>
      <c r="D65" s="1179" t="s">
        <v>831</v>
      </c>
      <c r="E65" s="1180" t="s">
        <v>832</v>
      </c>
      <c r="F65" s="654">
        <v>3044.0201005025124</v>
      </c>
      <c r="G65" s="619">
        <f>+F65*0.036268/3</f>
        <v>36.800173668341706</v>
      </c>
      <c r="H65" s="619"/>
      <c r="I65" s="654">
        <v>3080.6834170854268</v>
      </c>
      <c r="J65" s="619">
        <f>+I65*0.036283/3</f>
        <v>37.258812140703519</v>
      </c>
      <c r="K65" s="619"/>
      <c r="L65" s="654">
        <v>4370.1708542713568</v>
      </c>
      <c r="M65" s="619">
        <f>+L65*0.036642/3</f>
        <v>53.37726681407036</v>
      </c>
      <c r="N65" s="619"/>
      <c r="O65" s="654"/>
      <c r="P65" s="619">
        <f>+O65*0.0273835/3</f>
        <v>0</v>
      </c>
      <c r="Q65" s="619"/>
      <c r="R65" s="654">
        <v>4509.1055276381912</v>
      </c>
      <c r="S65" s="619">
        <f>+R65*0.05/4</f>
        <v>56.363819095477396</v>
      </c>
      <c r="T65" s="619"/>
      <c r="U65" s="654">
        <v>6435.3768844221113</v>
      </c>
      <c r="V65" s="619">
        <f>+U65*0.0321938/4+1</f>
        <v>52.794809085427147</v>
      </c>
      <c r="W65" s="619"/>
      <c r="X65" s="654">
        <v>3839.5175879396988</v>
      </c>
      <c r="Y65" s="619">
        <f>+X65*0.031425/4+1</f>
        <v>31.16421005025126</v>
      </c>
      <c r="Z65" s="619">
        <f>35-Y65</f>
        <v>3.8357899497487402</v>
      </c>
      <c r="AA65" s="654">
        <v>2616.1206030150756</v>
      </c>
      <c r="AB65" s="619">
        <f>+AA65*0.03053/4+1</f>
        <v>20.967540502512566</v>
      </c>
      <c r="AC65" s="619">
        <f>25-AB65</f>
        <v>4.0324594974874337</v>
      </c>
      <c r="AD65" s="654">
        <v>6173.9095477386936</v>
      </c>
      <c r="AE65" s="619">
        <f>+AD65*0.03193/4+1</f>
        <v>50.283232964824123</v>
      </c>
      <c r="AF65" s="619"/>
      <c r="AG65" s="654">
        <v>0</v>
      </c>
      <c r="AH65" s="619">
        <f>+AG65*0.0273835/3</f>
        <v>0</v>
      </c>
      <c r="AI65" s="619">
        <v>0</v>
      </c>
      <c r="AJ65" s="654">
        <v>4252.4623115577888</v>
      </c>
      <c r="AK65" s="619">
        <f>+AJ65*0.0316095/4+1</f>
        <v>34.604551859296478</v>
      </c>
      <c r="AL65" s="619"/>
      <c r="AM65" s="654">
        <v>3052.2211055276389</v>
      </c>
      <c r="AN65" s="619">
        <f>+AM65*0.03093/4+1</f>
        <v>24.601299698492468</v>
      </c>
      <c r="AO65" s="619"/>
      <c r="AP65" s="654">
        <v>0</v>
      </c>
      <c r="AQ65" s="586">
        <f>+AP65*0.0273835/3</f>
        <v>0</v>
      </c>
      <c r="AR65" s="586">
        <v>0</v>
      </c>
      <c r="AS65" s="654">
        <v>4652.86432160804</v>
      </c>
      <c r="AT65" s="619">
        <f>+AS65*0.028582/3+1</f>
        <v>45.32938934673367</v>
      </c>
      <c r="AU65" s="619"/>
      <c r="AV65" s="654"/>
      <c r="AW65" s="619">
        <f>+AV65*0.0273835/3</f>
        <v>0</v>
      </c>
      <c r="AX65" s="619"/>
      <c r="AY65" s="654"/>
      <c r="AZ65" s="619">
        <f>+AY65*0.0273835/3</f>
        <v>0</v>
      </c>
      <c r="BA65" s="619"/>
      <c r="BB65" s="1160">
        <f t="shared" si="78"/>
        <v>46026.452261306535</v>
      </c>
      <c r="BC65" s="582">
        <f t="shared" si="78"/>
        <v>443.54510522613072</v>
      </c>
      <c r="BD65" s="727">
        <f t="shared" si="78"/>
        <v>7.8682494472361739</v>
      </c>
      <c r="BE65" s="587"/>
      <c r="BF65" s="637">
        <f t="shared" si="81"/>
        <v>451.41335467336688</v>
      </c>
      <c r="BG65" s="654">
        <v>4341.708542713568</v>
      </c>
      <c r="BH65" s="619">
        <f>+BG65*0.031645/4+1</f>
        <v>35.348341708542712</v>
      </c>
      <c r="BI65" s="619"/>
      <c r="BJ65" s="654">
        <v>0</v>
      </c>
      <c r="BK65" s="619">
        <f>+BJ65*0.0273835/3</f>
        <v>0</v>
      </c>
      <c r="BL65" s="619">
        <v>12</v>
      </c>
      <c r="BM65" s="618">
        <v>4524.5427135678383</v>
      </c>
      <c r="BN65" s="619">
        <f>+BM65*0.028541/3+1</f>
        <v>44.04499119597989</v>
      </c>
      <c r="BO65" s="619"/>
      <c r="BP65" s="618">
        <v>4097.1256281407032</v>
      </c>
      <c r="BQ65" s="619">
        <f>+BP65*0.027728/3+1</f>
        <v>38.868366472361807</v>
      </c>
      <c r="BR65" s="619"/>
      <c r="BS65" s="618">
        <v>4120.7638190954767</v>
      </c>
      <c r="BT65" s="619">
        <f>+BS65*0.028266/3+1</f>
        <v>39.825836703517581</v>
      </c>
      <c r="BU65" s="619"/>
      <c r="BV65" s="618">
        <v>3070.0703517587935</v>
      </c>
      <c r="BW65" s="619">
        <f>+BV65*0.026441/3+1</f>
        <v>28.058576723618085</v>
      </c>
      <c r="BX65" s="619"/>
      <c r="BY65" s="618">
        <v>4867.0552763819087</v>
      </c>
      <c r="BZ65" s="619">
        <f>+BY65*0.019681/2+1</f>
        <v>48.894257447236171</v>
      </c>
      <c r="CA65" s="619"/>
      <c r="CB65" s="654"/>
      <c r="CC65" s="619">
        <f>+CB65*0.0273835/3</f>
        <v>0</v>
      </c>
      <c r="CD65" s="619"/>
      <c r="CE65" s="654">
        <v>4416.4824120603016</v>
      </c>
      <c r="CF65" s="619">
        <f>+CE65*0.0285057/3+1</f>
        <v>42.964974231155779</v>
      </c>
      <c r="CG65" s="619"/>
      <c r="CH65" s="654">
        <v>0</v>
      </c>
      <c r="CI65" s="619">
        <f>+CH65*0.0273835/3</f>
        <v>0</v>
      </c>
      <c r="CJ65" s="619"/>
      <c r="CK65" s="654">
        <v>0</v>
      </c>
      <c r="CL65" s="619">
        <f>+CK65*0.0273835/3</f>
        <v>0</v>
      </c>
      <c r="CM65" s="619"/>
      <c r="CN65" s="654">
        <v>0</v>
      </c>
      <c r="CO65" s="619">
        <f>+CN65*0.0273835/3</f>
        <v>0</v>
      </c>
      <c r="CP65" s="619"/>
      <c r="CQ65" s="654">
        <v>0</v>
      </c>
      <c r="CR65" s="619">
        <f>+CQ65*0.0273835/3</f>
        <v>0</v>
      </c>
      <c r="CS65" s="619"/>
      <c r="CT65" s="622">
        <f t="shared" ref="CT65:CU66" si="86">BG65+BJ65+BM65+BP65+BS65+BV65+BY65+CB65+CH65+CK65+CN65+CQ65+CE65</f>
        <v>29437.748743718592</v>
      </c>
      <c r="CU65" s="623">
        <f t="shared" si="86"/>
        <v>278.005344482412</v>
      </c>
      <c r="CV65" s="624">
        <f t="shared" si="82"/>
        <v>12</v>
      </c>
      <c r="CW65" s="587"/>
      <c r="CX65" s="625">
        <f t="shared" si="83"/>
        <v>290.005344482412</v>
      </c>
      <c r="CY65" s="626">
        <f t="shared" si="79"/>
        <v>75464.201005025127</v>
      </c>
      <c r="CZ65" s="627">
        <f t="shared" si="79"/>
        <v>721.55044970854271</v>
      </c>
      <c r="DA65" s="628">
        <f t="shared" si="79"/>
        <v>19.868249447236174</v>
      </c>
      <c r="DB65" s="629">
        <f t="shared" si="84"/>
        <v>741.41869915577888</v>
      </c>
      <c r="DC65" s="920" t="s">
        <v>737</v>
      </c>
      <c r="DD65" s="570"/>
      <c r="DE65" s="570"/>
      <c r="DF65" s="570"/>
      <c r="DG65" s="570"/>
      <c r="DH65" s="570"/>
      <c r="DI65" s="570"/>
      <c r="DJ65" s="570"/>
      <c r="DK65" s="570"/>
      <c r="DL65" s="570"/>
      <c r="DM65" s="570"/>
      <c r="DN65" s="570"/>
      <c r="DO65" s="570"/>
      <c r="DP65" s="570"/>
      <c r="DQ65" s="570"/>
      <c r="DR65" s="570"/>
      <c r="DS65" s="570"/>
      <c r="DT65" s="570"/>
      <c r="DU65" s="570"/>
      <c r="DV65" s="570"/>
      <c r="DW65" s="570"/>
      <c r="DX65" s="570"/>
      <c r="DY65" s="570"/>
      <c r="DZ65" s="570"/>
      <c r="EA65" s="570"/>
      <c r="EB65" s="570"/>
      <c r="EC65" s="570"/>
      <c r="ED65" s="570"/>
      <c r="EE65" s="570"/>
      <c r="EF65" s="570"/>
      <c r="EG65" s="570"/>
      <c r="EH65" s="570"/>
      <c r="EI65" s="570"/>
      <c r="EJ65" s="570"/>
      <c r="EK65" s="570"/>
      <c r="EL65" s="570"/>
      <c r="EM65" s="570"/>
      <c r="EN65" s="570"/>
      <c r="EO65" s="570"/>
      <c r="EP65" s="570"/>
      <c r="EQ65" s="570"/>
      <c r="ER65" s="570"/>
    </row>
    <row r="66" spans="1:170" s="570" customFormat="1" ht="16.5" thickBot="1" x14ac:dyDescent="0.3">
      <c r="A66" s="1181">
        <f t="shared" si="85"/>
        <v>60</v>
      </c>
      <c r="B66" s="1005" t="s">
        <v>141</v>
      </c>
      <c r="C66" s="1006" t="s">
        <v>829</v>
      </c>
      <c r="D66" s="1007" t="s">
        <v>833</v>
      </c>
      <c r="E66" s="1008" t="s">
        <v>834</v>
      </c>
      <c r="F66" s="1009">
        <v>3044.0201005025124</v>
      </c>
      <c r="G66" s="1010">
        <f>+F66*0.036268/3</f>
        <v>36.800173668341706</v>
      </c>
      <c r="H66" s="1010"/>
      <c r="I66" s="1009">
        <v>3080.6834170854268</v>
      </c>
      <c r="J66" s="1010">
        <f>+I66*0.036283/3</f>
        <v>37.258812140703519</v>
      </c>
      <c r="K66" s="1010"/>
      <c r="L66" s="1009">
        <v>4370.1708542713568</v>
      </c>
      <c r="M66" s="1010">
        <f>+L66*0.036642/3</f>
        <v>53.37726681407036</v>
      </c>
      <c r="N66" s="1010"/>
      <c r="O66" s="1009"/>
      <c r="P66" s="1010">
        <f>+O66*0.0273835/3</f>
        <v>0</v>
      </c>
      <c r="Q66" s="1010"/>
      <c r="R66" s="1009">
        <v>4509.1055276381912</v>
      </c>
      <c r="S66" s="1010">
        <f>+R66*0.05/4</f>
        <v>56.363819095477396</v>
      </c>
      <c r="T66" s="1010"/>
      <c r="U66" s="1009">
        <v>6435.3768844221113</v>
      </c>
      <c r="V66" s="1010">
        <f>+U66*0.0321938/4</f>
        <v>51.794809085427147</v>
      </c>
      <c r="W66" s="1010"/>
      <c r="X66" s="1009">
        <v>3839.5175879396988</v>
      </c>
      <c r="Y66" s="1010">
        <f>+X66*0.031425/4</f>
        <v>30.16421005025126</v>
      </c>
      <c r="Z66" s="1010"/>
      <c r="AA66" s="1009">
        <v>2616.1206030150756</v>
      </c>
      <c r="AB66" s="1010">
        <f>+AA66*0.03053/4</f>
        <v>19.967540502512566</v>
      </c>
      <c r="AC66" s="1010"/>
      <c r="AD66" s="1009">
        <v>6173.9095477386936</v>
      </c>
      <c r="AE66" s="1010">
        <f>+AD66*0.03193/4</f>
        <v>49.283232964824123</v>
      </c>
      <c r="AF66" s="1010"/>
      <c r="AG66" s="1009">
        <v>0</v>
      </c>
      <c r="AH66" s="1010">
        <f>+AG66*0.0273835/3</f>
        <v>0</v>
      </c>
      <c r="AI66" s="1010">
        <v>0</v>
      </c>
      <c r="AJ66" s="1009">
        <v>4252.4623115577888</v>
      </c>
      <c r="AK66" s="1010">
        <f>+AJ66*0.0316095/4</f>
        <v>33.604551859296478</v>
      </c>
      <c r="AL66" s="1010"/>
      <c r="AM66" s="1009">
        <v>3052.2211055276389</v>
      </c>
      <c r="AN66" s="1010">
        <f>+AM66*0.03093/4</f>
        <v>23.601299698492468</v>
      </c>
      <c r="AO66" s="1010"/>
      <c r="AP66" s="1009">
        <v>0</v>
      </c>
      <c r="AQ66" s="1010">
        <f>+AP66*0.0273835/3</f>
        <v>0</v>
      </c>
      <c r="AR66" s="1010">
        <v>20</v>
      </c>
      <c r="AS66" s="1009">
        <v>4652.86432160804</v>
      </c>
      <c r="AT66" s="1010">
        <f>+AS66*0.028582/3</f>
        <v>44.32938934673367</v>
      </c>
      <c r="AU66" s="1010"/>
      <c r="AV66" s="1009"/>
      <c r="AW66" s="1010">
        <f>+AV66*0.0273835/3</f>
        <v>0</v>
      </c>
      <c r="AX66" s="1010"/>
      <c r="AY66" s="1009"/>
      <c r="AZ66" s="1010">
        <f>+AY66*0.0273835/3</f>
        <v>0</v>
      </c>
      <c r="BA66" s="1010"/>
      <c r="BB66" s="1011">
        <f t="shared" si="78"/>
        <v>46026.452261306535</v>
      </c>
      <c r="BC66" s="645">
        <f t="shared" si="78"/>
        <v>436.54510522613072</v>
      </c>
      <c r="BD66" s="1012">
        <f t="shared" si="78"/>
        <v>20</v>
      </c>
      <c r="BE66" s="646"/>
      <c r="BF66" s="647">
        <f t="shared" si="81"/>
        <v>456.54510522613072</v>
      </c>
      <c r="BG66" s="1009">
        <v>4341.708542713568</v>
      </c>
      <c r="BH66" s="1010">
        <f>+BG66*0.031645/4</f>
        <v>34.348341708542712</v>
      </c>
      <c r="BI66" s="1010"/>
      <c r="BJ66" s="1009">
        <v>0</v>
      </c>
      <c r="BK66" s="1010">
        <f>+BJ66*0.0273835/3</f>
        <v>0</v>
      </c>
      <c r="BL66" s="1010">
        <v>0</v>
      </c>
      <c r="BM66" s="1013">
        <v>4524.5427135678383</v>
      </c>
      <c r="BN66" s="1010">
        <f>+BM66*0.028541/3</f>
        <v>43.04499119597989</v>
      </c>
      <c r="BO66" s="1010"/>
      <c r="BP66" s="1013">
        <v>4097.1256281407032</v>
      </c>
      <c r="BQ66" s="1010">
        <f>+BP66*0.027728/3</f>
        <v>37.868366472361807</v>
      </c>
      <c r="BR66" s="1010"/>
      <c r="BS66" s="1013">
        <v>4120.7638190954767</v>
      </c>
      <c r="BT66" s="1010">
        <f>+BS66*0.028266/3</f>
        <v>38.825836703517581</v>
      </c>
      <c r="BU66" s="1010"/>
      <c r="BV66" s="1013">
        <v>3070.0703517587935</v>
      </c>
      <c r="BW66" s="1010">
        <f>+BV66*0.026441/3</f>
        <v>27.058576723618085</v>
      </c>
      <c r="BX66" s="1010"/>
      <c r="BY66" s="1013">
        <v>4867.0552763819087</v>
      </c>
      <c r="BZ66" s="1010">
        <f>+BY66*0.019681/2</f>
        <v>47.894257447236171</v>
      </c>
      <c r="CA66" s="1010"/>
      <c r="CB66" s="1009"/>
      <c r="CC66" s="1010">
        <f>+CB66*0.0273835/3</f>
        <v>0</v>
      </c>
      <c r="CD66" s="1010"/>
      <c r="CE66" s="1009">
        <v>4416.4824120603016</v>
      </c>
      <c r="CF66" s="1010">
        <f>+CE66*0.0285057/3</f>
        <v>41.964974231155779</v>
      </c>
      <c r="CG66" s="1010"/>
      <c r="CH66" s="1009">
        <v>0</v>
      </c>
      <c r="CI66" s="1010">
        <f>+CH66*0.0273835/3</f>
        <v>0</v>
      </c>
      <c r="CJ66" s="1010"/>
      <c r="CK66" s="1009">
        <v>0</v>
      </c>
      <c r="CL66" s="1010">
        <f>+CK66*0.0273835/3</f>
        <v>0</v>
      </c>
      <c r="CM66" s="1010"/>
      <c r="CN66" s="1009">
        <v>0</v>
      </c>
      <c r="CO66" s="1010">
        <f>+CN66*0.0273835/3</f>
        <v>0</v>
      </c>
      <c r="CP66" s="1010"/>
      <c r="CQ66" s="1009">
        <v>0</v>
      </c>
      <c r="CR66" s="1010">
        <f>+CQ66*0.0273835/3</f>
        <v>0</v>
      </c>
      <c r="CS66" s="1010"/>
      <c r="CT66" s="1014">
        <f t="shared" si="86"/>
        <v>29437.748743718592</v>
      </c>
      <c r="CU66" s="1015">
        <f t="shared" si="86"/>
        <v>271.005344482412</v>
      </c>
      <c r="CV66" s="1016">
        <f t="shared" si="82"/>
        <v>0</v>
      </c>
      <c r="CW66" s="646"/>
      <c r="CX66" s="1017">
        <f t="shared" si="83"/>
        <v>271.005344482412</v>
      </c>
      <c r="CY66" s="1018">
        <f t="shared" si="79"/>
        <v>75464.201005025127</v>
      </c>
      <c r="CZ66" s="1019">
        <f t="shared" si="79"/>
        <v>707.55044970854271</v>
      </c>
      <c r="DA66" s="1020">
        <f t="shared" si="79"/>
        <v>20</v>
      </c>
      <c r="DB66" s="1021">
        <f t="shared" si="84"/>
        <v>727.55044970854271</v>
      </c>
      <c r="DC66" s="920" t="s">
        <v>737</v>
      </c>
      <c r="DE66" s="1182">
        <f>+CZ64+CZ65+CZ66+CZ99</f>
        <v>2127.2843443819092</v>
      </c>
      <c r="DF66" s="1182">
        <f t="shared" ref="DF66:DG66" si="87">+DA64+DA65+DA66+DA99</f>
        <v>641.86824944723617</v>
      </c>
      <c r="DG66" s="1182">
        <f t="shared" si="87"/>
        <v>2769.1525938291452</v>
      </c>
    </row>
    <row r="67" spans="1:170" s="570" customFormat="1" ht="15.75" x14ac:dyDescent="0.25">
      <c r="A67" s="1177">
        <f t="shared" si="85"/>
        <v>61</v>
      </c>
      <c r="B67" s="1183" t="s">
        <v>150</v>
      </c>
      <c r="C67" s="1029" t="s">
        <v>835</v>
      </c>
      <c r="D67" s="1179" t="s">
        <v>836</v>
      </c>
      <c r="E67" s="1180" t="s">
        <v>837</v>
      </c>
      <c r="F67" s="990">
        <v>730.8542713567839</v>
      </c>
      <c r="G67" s="509">
        <f>+F67*0.05/10</f>
        <v>3.6542713567839193</v>
      </c>
      <c r="H67" s="977">
        <f>25-G67</f>
        <v>21.345728643216081</v>
      </c>
      <c r="I67" s="990">
        <v>908.8643216080402</v>
      </c>
      <c r="J67" s="509">
        <f>+I67*0.05/10</f>
        <v>4.5443216080402014</v>
      </c>
      <c r="K67" s="977">
        <f>25-J67</f>
        <v>20.4556783919598</v>
      </c>
      <c r="L67" s="990">
        <v>1392.2412060301508</v>
      </c>
      <c r="M67" s="509">
        <f>+L67*0.05/10</f>
        <v>6.9612060301507537</v>
      </c>
      <c r="N67" s="977">
        <f>35-M67</f>
        <v>28.038793969849245</v>
      </c>
      <c r="O67" s="990"/>
      <c r="P67" s="509">
        <v>0</v>
      </c>
      <c r="Q67" s="977"/>
      <c r="R67" s="990">
        <v>1268.2613065326634</v>
      </c>
      <c r="S67" s="509">
        <f>+R67*0.05/9</f>
        <v>7.0458961474036856</v>
      </c>
      <c r="T67" s="977">
        <f>30-S67</f>
        <v>22.954103852596315</v>
      </c>
      <c r="U67" s="990">
        <v>1159.718592964824</v>
      </c>
      <c r="V67" s="509">
        <f>+U67*0.05/9</f>
        <v>6.4428810720268004</v>
      </c>
      <c r="W67" s="977">
        <f>30-V67</f>
        <v>23.5571189279732</v>
      </c>
      <c r="X67" s="990">
        <v>786.3316582914573</v>
      </c>
      <c r="Y67" s="509">
        <f>+X67*0.05/9</f>
        <v>4.3685092127303191</v>
      </c>
      <c r="Z67" s="977">
        <f>20-Y67</f>
        <v>15.63149078726968</v>
      </c>
      <c r="AA67" s="990">
        <v>562.9748743718593</v>
      </c>
      <c r="AB67" s="509">
        <f>+AA67*0.05/8</f>
        <v>3.518592964824121</v>
      </c>
      <c r="AC67" s="977">
        <f>15-AB67</f>
        <v>11.481407035175879</v>
      </c>
      <c r="AD67" s="990">
        <v>1236.9045226130654</v>
      </c>
      <c r="AE67" s="509">
        <f>+AD67*0.05/9</f>
        <v>6.8716917922948078</v>
      </c>
      <c r="AF67" s="977">
        <f>50-AE67</f>
        <v>43.128308207705189</v>
      </c>
      <c r="AG67" s="990">
        <v>0</v>
      </c>
      <c r="AH67" s="509">
        <v>0</v>
      </c>
      <c r="AI67" s="836">
        <v>0</v>
      </c>
      <c r="AJ67" s="990">
        <v>956.62311557788939</v>
      </c>
      <c r="AK67" s="509">
        <f>+AJ67*0.05/10</f>
        <v>4.783115577889447</v>
      </c>
      <c r="AL67" s="977">
        <f>25-AK67</f>
        <v>20.216884422110553</v>
      </c>
      <c r="AM67" s="990">
        <v>885.2261306532663</v>
      </c>
      <c r="AN67" s="509">
        <f>+AM67*0.05/9</f>
        <v>4.9179229480737021</v>
      </c>
      <c r="AO67" s="836">
        <f>25-AN67</f>
        <v>20.082077051926298</v>
      </c>
      <c r="AP67" s="990">
        <v>0</v>
      </c>
      <c r="AQ67" s="509">
        <v>0</v>
      </c>
      <c r="AR67" s="977">
        <v>20</v>
      </c>
      <c r="AS67" s="990">
        <v>898.25125628140711</v>
      </c>
      <c r="AT67" s="509">
        <f>+AS67*0.05/9</f>
        <v>4.9902847571189284</v>
      </c>
      <c r="AU67" s="836">
        <f>25-AT67</f>
        <v>20.009715242881072</v>
      </c>
      <c r="AV67" s="990"/>
      <c r="AW67" s="509">
        <v>0</v>
      </c>
      <c r="AX67" s="977"/>
      <c r="AY67" s="990"/>
      <c r="AZ67" s="509">
        <v>0</v>
      </c>
      <c r="BA67" s="977"/>
      <c r="BB67" s="694">
        <f t="shared" si="78"/>
        <v>10786.251256281406</v>
      </c>
      <c r="BC67" s="695">
        <f t="shared" si="78"/>
        <v>58.09869346733668</v>
      </c>
      <c r="BD67" s="696">
        <f t="shared" si="78"/>
        <v>266.90130653266328</v>
      </c>
      <c r="BE67" s="1139"/>
      <c r="BF67" s="584">
        <f>+BC67+BD67-BE67</f>
        <v>324.99999999999994</v>
      </c>
      <c r="BG67" s="990">
        <v>958.07035175879389</v>
      </c>
      <c r="BH67" s="509">
        <f>+BG67*0.05/8</f>
        <v>5.987939698492462</v>
      </c>
      <c r="BI67" s="977">
        <f>25-BH67</f>
        <v>19.012060301507539</v>
      </c>
      <c r="BJ67" s="990">
        <v>0</v>
      </c>
      <c r="BK67" s="509">
        <v>0</v>
      </c>
      <c r="BL67" s="977">
        <v>20</v>
      </c>
      <c r="BM67" s="990">
        <v>494.9547738693467</v>
      </c>
      <c r="BN67" s="509">
        <f>+BM67*0.05/9</f>
        <v>2.7497487437185928</v>
      </c>
      <c r="BO67" s="977">
        <f>25-BN67</f>
        <v>22.250251256281409</v>
      </c>
      <c r="BP67" s="990">
        <v>795.0150753768844</v>
      </c>
      <c r="BQ67" s="509">
        <f>+BP67*0.05/9</f>
        <v>4.4167504187604685</v>
      </c>
      <c r="BR67" s="977">
        <f>25-BQ67</f>
        <v>20.583249581239532</v>
      </c>
      <c r="BS67" s="990">
        <v>635.3366834170854</v>
      </c>
      <c r="BT67" s="509">
        <f>+BS67*0.05/9</f>
        <v>3.5296482412060302</v>
      </c>
      <c r="BU67" s="977">
        <f>25-BT67</f>
        <v>21.470351758793971</v>
      </c>
      <c r="BV67" s="990">
        <v>622.3115577889447</v>
      </c>
      <c r="BW67" s="509">
        <f>+BV67*0.05/9</f>
        <v>3.4572864321608043</v>
      </c>
      <c r="BX67" s="977">
        <f>25-BW67</f>
        <v>21.542713567839197</v>
      </c>
      <c r="BY67" s="990">
        <v>456.84422110552759</v>
      </c>
      <c r="BZ67" s="509">
        <f>+BY67*0.05/9</f>
        <v>2.5380234505862642</v>
      </c>
      <c r="CA67" s="977">
        <f>25-BZ67</f>
        <v>22.461976549413734</v>
      </c>
      <c r="CB67" s="990">
        <v>0</v>
      </c>
      <c r="CC67" s="509">
        <v>0</v>
      </c>
      <c r="CD67" s="977">
        <v>0</v>
      </c>
      <c r="CE67" s="990">
        <v>800.321608040201</v>
      </c>
      <c r="CF67" s="509">
        <f>+CE67*0.05/8</f>
        <v>5.0020100502512568</v>
      </c>
      <c r="CG67" s="977">
        <f>25-CF67</f>
        <v>19.997989949748742</v>
      </c>
      <c r="CH67" s="990">
        <v>0</v>
      </c>
      <c r="CI67" s="509">
        <v>0</v>
      </c>
      <c r="CJ67" s="977"/>
      <c r="CK67" s="990">
        <v>0</v>
      </c>
      <c r="CL67" s="509">
        <v>0</v>
      </c>
      <c r="CM67" s="977"/>
      <c r="CN67" s="990">
        <v>0</v>
      </c>
      <c r="CO67" s="509">
        <v>0</v>
      </c>
      <c r="CP67" s="977"/>
      <c r="CQ67" s="990">
        <v>0</v>
      </c>
      <c r="CR67" s="509">
        <v>0</v>
      </c>
      <c r="CS67" s="977"/>
      <c r="CT67" s="981">
        <f>BG67+BJ67+BM67+BP67+BS67+BV67+BY67+CB67+CH67+CK67+CN67+CQ67+CE67</f>
        <v>4762.854271356784</v>
      </c>
      <c r="CU67" s="982">
        <f>BH67+BK67+BN67+BQ67+BT67+BW67+BZ67+CC67+CI67+CL67+CO67+CR67+CF67</f>
        <v>27.68140703517588</v>
      </c>
      <c r="CV67" s="983">
        <f>+BI67+BL67+BO67+BR67+BU67+BX67+CA67+CD67+CG67+CJ67+CM67+CP67+CS67</f>
        <v>167.31859296482412</v>
      </c>
      <c r="CW67" s="1139"/>
      <c r="CX67" s="984">
        <f>+CU67+CV67-CW67</f>
        <v>195</v>
      </c>
      <c r="CY67" s="626">
        <f t="shared" si="79"/>
        <v>15549.10552763819</v>
      </c>
      <c r="CZ67" s="627">
        <f t="shared" si="79"/>
        <v>85.780100502512568</v>
      </c>
      <c r="DA67" s="628">
        <f t="shared" si="79"/>
        <v>434.2198994974874</v>
      </c>
      <c r="DB67" s="629">
        <f>+CZ67+DA67</f>
        <v>520</v>
      </c>
      <c r="DC67" s="920" t="s">
        <v>737</v>
      </c>
    </row>
    <row r="68" spans="1:170" s="571" customFormat="1" ht="15.75" x14ac:dyDescent="0.25">
      <c r="A68" s="1177">
        <f t="shared" si="85"/>
        <v>62</v>
      </c>
      <c r="B68" s="972" t="s">
        <v>151</v>
      </c>
      <c r="C68" s="548" t="s">
        <v>835</v>
      </c>
      <c r="D68" s="574" t="s">
        <v>682</v>
      </c>
      <c r="E68" s="575" t="s">
        <v>683</v>
      </c>
      <c r="F68" s="654">
        <v>730.8542713567839</v>
      </c>
      <c r="G68" s="532">
        <f>+F68*0.05/10</f>
        <v>3.6542713567839193</v>
      </c>
      <c r="H68" s="619">
        <f>25-G68</f>
        <v>21.345728643216081</v>
      </c>
      <c r="I68" s="654">
        <v>908.8643216080402</v>
      </c>
      <c r="J68" s="532">
        <f>+I68*0.05/10</f>
        <v>4.5443216080402014</v>
      </c>
      <c r="K68" s="619">
        <f>35-J68</f>
        <v>30.4556783919598</v>
      </c>
      <c r="L68" s="654">
        <v>1392.2412060301508</v>
      </c>
      <c r="M68" s="532">
        <f>+L68*0.05/10</f>
        <v>6.9612060301507537</v>
      </c>
      <c r="N68" s="619">
        <f>50-M68</f>
        <v>43.038793969849245</v>
      </c>
      <c r="O68" s="654"/>
      <c r="P68" s="532">
        <v>0</v>
      </c>
      <c r="Q68" s="619"/>
      <c r="R68" s="654">
        <v>1268.2613065326634</v>
      </c>
      <c r="S68" s="532">
        <f>+R68*0.05/9</f>
        <v>7.0458961474036856</v>
      </c>
      <c r="T68" s="619">
        <f>30-S68</f>
        <v>22.954103852596315</v>
      </c>
      <c r="U68" s="654">
        <v>1159.718592964824</v>
      </c>
      <c r="V68" s="532">
        <f>+U68*0.05/9</f>
        <v>6.4428810720268004</v>
      </c>
      <c r="W68" s="619">
        <f>30-V68</f>
        <v>23.5571189279732</v>
      </c>
      <c r="X68" s="654">
        <v>786.3316582914573</v>
      </c>
      <c r="Y68" s="532">
        <f>+X68*0.05/9</f>
        <v>4.3685092127303191</v>
      </c>
      <c r="Z68" s="619">
        <f>20-Y68</f>
        <v>15.63149078726968</v>
      </c>
      <c r="AA68" s="654">
        <v>562.9748743718593</v>
      </c>
      <c r="AB68" s="532">
        <f>+AA68*0.05/8</f>
        <v>3.518592964824121</v>
      </c>
      <c r="AC68" s="619">
        <f>15-AB68</f>
        <v>11.481407035175879</v>
      </c>
      <c r="AD68" s="654">
        <v>1236.9045226130654</v>
      </c>
      <c r="AE68" s="532">
        <f>+AD68*0.05/9</f>
        <v>6.8716917922948078</v>
      </c>
      <c r="AF68" s="619">
        <f>50-AE68</f>
        <v>43.128308207705189</v>
      </c>
      <c r="AG68" s="654">
        <v>0</v>
      </c>
      <c r="AH68" s="532">
        <v>0</v>
      </c>
      <c r="AI68" s="577">
        <v>0</v>
      </c>
      <c r="AJ68" s="654">
        <v>956.62311557788939</v>
      </c>
      <c r="AK68" s="532">
        <f>+AJ68*0.05/10</f>
        <v>4.783115577889447</v>
      </c>
      <c r="AL68" s="619">
        <f>25-AK68</f>
        <v>20.216884422110553</v>
      </c>
      <c r="AM68" s="654">
        <v>885.2261306532663</v>
      </c>
      <c r="AN68" s="532">
        <f>+AM68*0.05/9</f>
        <v>4.9179229480737021</v>
      </c>
      <c r="AO68" s="577">
        <f>25-AN68</f>
        <v>20.082077051926298</v>
      </c>
      <c r="AP68" s="654">
        <v>0</v>
      </c>
      <c r="AQ68" s="532">
        <v>0</v>
      </c>
      <c r="AR68" s="619">
        <v>20</v>
      </c>
      <c r="AS68" s="654">
        <v>898.25125628140711</v>
      </c>
      <c r="AT68" s="532">
        <f>+AS68*0.05/9</f>
        <v>4.9902847571189284</v>
      </c>
      <c r="AU68" s="577">
        <f>25-AT68</f>
        <v>20.009715242881072</v>
      </c>
      <c r="AV68" s="654"/>
      <c r="AW68" s="532">
        <v>0</v>
      </c>
      <c r="AX68" s="619"/>
      <c r="AY68" s="654"/>
      <c r="AZ68" s="532">
        <v>0</v>
      </c>
      <c r="BA68" s="619"/>
      <c r="BB68" s="581">
        <f t="shared" si="78"/>
        <v>10786.251256281406</v>
      </c>
      <c r="BC68" s="582">
        <f t="shared" si="78"/>
        <v>58.09869346733668</v>
      </c>
      <c r="BD68" s="727">
        <f t="shared" si="78"/>
        <v>291.90130653266328</v>
      </c>
      <c r="BE68" s="586"/>
      <c r="BF68" s="637">
        <f>+BC68+BD68-BE68</f>
        <v>349.99999999999994</v>
      </c>
      <c r="BG68" s="654">
        <v>958.07035175879389</v>
      </c>
      <c r="BH68" s="532">
        <f>+BG68*0.05/8</f>
        <v>5.987939698492462</v>
      </c>
      <c r="BI68" s="619">
        <f>25-BH68</f>
        <v>19.012060301507539</v>
      </c>
      <c r="BJ68" s="654">
        <v>0</v>
      </c>
      <c r="BK68" s="532">
        <v>0</v>
      </c>
      <c r="BL68" s="619">
        <v>20</v>
      </c>
      <c r="BM68" s="654">
        <v>494.9547738693467</v>
      </c>
      <c r="BN68" s="532">
        <f>+BM68*0.05/9</f>
        <v>2.7497487437185928</v>
      </c>
      <c r="BO68" s="619">
        <f>25-BN68</f>
        <v>22.250251256281409</v>
      </c>
      <c r="BP68" s="654">
        <v>795.0150753768844</v>
      </c>
      <c r="BQ68" s="532">
        <f>+BP68*0.05/9</f>
        <v>4.4167504187604685</v>
      </c>
      <c r="BR68" s="619">
        <f>25-BQ68</f>
        <v>20.583249581239532</v>
      </c>
      <c r="BS68" s="654">
        <v>635.3366834170854</v>
      </c>
      <c r="BT68" s="532">
        <f>+BS68*0.05/9</f>
        <v>3.5296482412060302</v>
      </c>
      <c r="BU68" s="619">
        <f>25-BT68</f>
        <v>21.470351758793971</v>
      </c>
      <c r="BV68" s="654">
        <v>622.3115577889447</v>
      </c>
      <c r="BW68" s="532">
        <f>+BV68*0.05/9</f>
        <v>3.4572864321608043</v>
      </c>
      <c r="BX68" s="619">
        <f>25-BW68</f>
        <v>21.542713567839197</v>
      </c>
      <c r="BY68" s="654">
        <v>456.84422110552759</v>
      </c>
      <c r="BZ68" s="532">
        <f>+BY68*0.05/9</f>
        <v>2.5380234505862642</v>
      </c>
      <c r="CA68" s="619">
        <f>25-BZ68</f>
        <v>22.461976549413734</v>
      </c>
      <c r="CB68" s="654">
        <v>0</v>
      </c>
      <c r="CC68" s="532">
        <v>0</v>
      </c>
      <c r="CD68" s="619">
        <v>0</v>
      </c>
      <c r="CE68" s="654">
        <v>800.321608040201</v>
      </c>
      <c r="CF68" s="532">
        <f>+CE68*0.05/8</f>
        <v>5.0020100502512568</v>
      </c>
      <c r="CG68" s="619">
        <f>25-CF68</f>
        <v>19.997989949748742</v>
      </c>
      <c r="CH68" s="654">
        <v>0</v>
      </c>
      <c r="CI68" s="532">
        <v>0</v>
      </c>
      <c r="CJ68" s="619"/>
      <c r="CK68" s="654">
        <v>0</v>
      </c>
      <c r="CL68" s="532">
        <v>0</v>
      </c>
      <c r="CM68" s="619"/>
      <c r="CN68" s="654">
        <v>0</v>
      </c>
      <c r="CO68" s="532">
        <v>0</v>
      </c>
      <c r="CP68" s="619"/>
      <c r="CQ68" s="654">
        <v>0</v>
      </c>
      <c r="CR68" s="532">
        <v>0</v>
      </c>
      <c r="CS68" s="619"/>
      <c r="CT68" s="981">
        <f>BG68+BJ68+BM68+BP68+BS68+BV68+BY68+CB68+CH68+CK68+CN68+CQ68+CE68</f>
        <v>4762.854271356784</v>
      </c>
      <c r="CU68" s="982">
        <f>BH68+BK68+BN68+BQ68+BT68+BW68+BZ68+CC68+CI68+CL68+CO68+CR68+CF68</f>
        <v>27.68140703517588</v>
      </c>
      <c r="CV68" s="983">
        <f>+BI68+BL68+BO68+BR68+BU68+BX68+CA68+CD68+CG68+CJ68+CM68+CP68+CS68</f>
        <v>167.31859296482412</v>
      </c>
      <c r="CW68" s="586"/>
      <c r="CX68" s="984">
        <f>+CU68+CV68-CW68</f>
        <v>195</v>
      </c>
      <c r="CY68" s="626">
        <f t="shared" si="79"/>
        <v>15549.10552763819</v>
      </c>
      <c r="CZ68" s="627">
        <f t="shared" si="79"/>
        <v>85.780100502512568</v>
      </c>
      <c r="DA68" s="628">
        <f t="shared" si="79"/>
        <v>459.2198994974874</v>
      </c>
      <c r="DB68" s="629">
        <f>+CZ68+DA68</f>
        <v>545</v>
      </c>
      <c r="DC68" s="920" t="s">
        <v>737</v>
      </c>
      <c r="DD68" s="570"/>
      <c r="DE68" s="570"/>
      <c r="DF68" s="570"/>
      <c r="DG68" s="570"/>
      <c r="DH68" s="570"/>
      <c r="DI68" s="570"/>
      <c r="DJ68" s="570"/>
      <c r="DK68" s="570"/>
      <c r="DL68" s="570"/>
      <c r="DM68" s="570"/>
      <c r="DN68" s="570"/>
      <c r="DO68" s="570"/>
      <c r="DP68" s="570"/>
      <c r="DQ68" s="570"/>
      <c r="DR68" s="570"/>
      <c r="DS68" s="570"/>
      <c r="DT68" s="570"/>
      <c r="DU68" s="570"/>
      <c r="DV68" s="570"/>
      <c r="DW68" s="570"/>
      <c r="DX68" s="570"/>
      <c r="DY68" s="570"/>
      <c r="DZ68" s="570"/>
      <c r="EA68" s="570"/>
      <c r="EB68" s="570"/>
      <c r="EC68" s="570"/>
      <c r="ED68" s="570"/>
      <c r="EE68" s="570"/>
      <c r="EF68" s="570"/>
      <c r="EG68" s="570"/>
      <c r="EH68" s="570"/>
      <c r="EI68" s="570"/>
      <c r="EJ68" s="570"/>
      <c r="EK68" s="570"/>
      <c r="EL68" s="570"/>
      <c r="EM68" s="570"/>
      <c r="EN68" s="570"/>
      <c r="EO68" s="570"/>
      <c r="EP68" s="570"/>
      <c r="EQ68" s="570"/>
      <c r="ER68" s="570"/>
    </row>
    <row r="69" spans="1:170" s="570" customFormat="1" ht="16.5" thickBot="1" x14ac:dyDescent="0.3">
      <c r="A69" s="1181">
        <f t="shared" si="85"/>
        <v>63</v>
      </c>
      <c r="B69" s="1023" t="s">
        <v>153</v>
      </c>
      <c r="C69" s="1006" t="s">
        <v>835</v>
      </c>
      <c r="D69" s="1007" t="s">
        <v>838</v>
      </c>
      <c r="E69" s="1008" t="s">
        <v>839</v>
      </c>
      <c r="F69" s="1024">
        <v>730.8542713567839</v>
      </c>
      <c r="G69" s="923">
        <f>+F69*0.05/10</f>
        <v>3.6542713567839193</v>
      </c>
      <c r="H69" s="1010">
        <f>25-G69</f>
        <v>21.345728643216081</v>
      </c>
      <c r="I69" s="1024">
        <v>908.8643216080402</v>
      </c>
      <c r="J69" s="923">
        <f>+I69*0.05/10</f>
        <v>4.5443216080402014</v>
      </c>
      <c r="K69" s="1010">
        <f>25-J69</f>
        <v>20.4556783919598</v>
      </c>
      <c r="L69" s="1024">
        <v>1392.2412060301508</v>
      </c>
      <c r="M69" s="923">
        <f>+L69*0.05/10</f>
        <v>6.9612060301507537</v>
      </c>
      <c r="N69" s="1010">
        <f>35-M69</f>
        <v>28.038793969849245</v>
      </c>
      <c r="O69" s="1024"/>
      <c r="P69" s="923">
        <v>0</v>
      </c>
      <c r="Q69" s="1010"/>
      <c r="R69" s="1024">
        <v>1268.2613065326634</v>
      </c>
      <c r="S69" s="923">
        <f>+R69*0.05/9</f>
        <v>7.0458961474036856</v>
      </c>
      <c r="T69" s="1010">
        <f>30-S69</f>
        <v>22.954103852596315</v>
      </c>
      <c r="U69" s="1024">
        <v>1159.718592964824</v>
      </c>
      <c r="V69" s="923">
        <f>+U69*0.05/9</f>
        <v>6.4428810720268004</v>
      </c>
      <c r="W69" s="1010">
        <f>30-V69</f>
        <v>23.5571189279732</v>
      </c>
      <c r="X69" s="1024">
        <v>786.3316582914573</v>
      </c>
      <c r="Y69" s="923">
        <f>+X69*0.05/9</f>
        <v>4.3685092127303191</v>
      </c>
      <c r="Z69" s="1010">
        <f>20-Y69</f>
        <v>15.63149078726968</v>
      </c>
      <c r="AA69" s="1024">
        <v>562.9748743718593</v>
      </c>
      <c r="AB69" s="923">
        <f t="shared" ref="AB69" si="88">+AA69*0.05/8</f>
        <v>3.518592964824121</v>
      </c>
      <c r="AC69" s="1010">
        <f t="shared" ref="AC69" si="89">15-AB69</f>
        <v>11.481407035175879</v>
      </c>
      <c r="AD69" s="1024">
        <v>1236.9045226130654</v>
      </c>
      <c r="AE69" s="923">
        <f>+AD69*0.05/9</f>
        <v>6.8716917922948078</v>
      </c>
      <c r="AF69" s="1010">
        <f>50-AE69</f>
        <v>43.128308207705189</v>
      </c>
      <c r="AG69" s="1024">
        <v>0</v>
      </c>
      <c r="AH69" s="923">
        <v>0</v>
      </c>
      <c r="AI69" s="1025">
        <v>0</v>
      </c>
      <c r="AJ69" s="1024">
        <v>956.62311557788939</v>
      </c>
      <c r="AK69" s="923">
        <f t="shared" ref="AK69" si="90">+AJ69*0.05/10</f>
        <v>4.783115577889447</v>
      </c>
      <c r="AL69" s="1010">
        <f>25-AK69</f>
        <v>20.216884422110553</v>
      </c>
      <c r="AM69" s="1024">
        <v>885.2261306532663</v>
      </c>
      <c r="AN69" s="923">
        <f>+AM69*0.05/9</f>
        <v>4.9179229480737021</v>
      </c>
      <c r="AO69" s="1025">
        <f>25-AN69</f>
        <v>20.082077051926298</v>
      </c>
      <c r="AP69" s="1024">
        <v>0</v>
      </c>
      <c r="AQ69" s="923">
        <v>0</v>
      </c>
      <c r="AR69" s="1010">
        <v>0</v>
      </c>
      <c r="AS69" s="1024">
        <v>898.25125628140711</v>
      </c>
      <c r="AT69" s="923">
        <f>+AS69*0.05/9</f>
        <v>4.9902847571189284</v>
      </c>
      <c r="AU69" s="1025">
        <f>25-AT69</f>
        <v>20.009715242881072</v>
      </c>
      <c r="AV69" s="1024"/>
      <c r="AW69" s="923">
        <v>0</v>
      </c>
      <c r="AX69" s="1010"/>
      <c r="AY69" s="1024"/>
      <c r="AZ69" s="923">
        <v>0</v>
      </c>
      <c r="BA69" s="1010"/>
      <c r="BB69" s="644">
        <f t="shared" si="78"/>
        <v>10786.251256281406</v>
      </c>
      <c r="BC69" s="645">
        <f t="shared" si="78"/>
        <v>58.09869346733668</v>
      </c>
      <c r="BD69" s="1012">
        <f t="shared" si="78"/>
        <v>246.90130653266331</v>
      </c>
      <c r="BE69" s="1184"/>
      <c r="BF69" s="647">
        <f t="shared" ref="BF69:BF74" si="91">+BC69+BD69-BE69</f>
        <v>305</v>
      </c>
      <c r="BG69" s="1024">
        <v>958.07035175879389</v>
      </c>
      <c r="BH69" s="923">
        <f>+BG69*0.05/8</f>
        <v>5.987939698492462</v>
      </c>
      <c r="BI69" s="1010">
        <f>25-BH69</f>
        <v>19.012060301507539</v>
      </c>
      <c r="BJ69" s="1024">
        <v>0</v>
      </c>
      <c r="BK69" s="923">
        <v>0</v>
      </c>
      <c r="BL69" s="1010">
        <v>20</v>
      </c>
      <c r="BM69" s="1024">
        <v>494.9547738693467</v>
      </c>
      <c r="BN69" s="923">
        <f>+BM69*0.05/9</f>
        <v>2.7497487437185928</v>
      </c>
      <c r="BO69" s="1010">
        <f>25-BN69</f>
        <v>22.250251256281409</v>
      </c>
      <c r="BP69" s="1024">
        <v>795.0150753768844</v>
      </c>
      <c r="BQ69" s="923">
        <f>+BP69*0.05/9</f>
        <v>4.4167504187604685</v>
      </c>
      <c r="BR69" s="1010">
        <f>25-BQ69</f>
        <v>20.583249581239532</v>
      </c>
      <c r="BS69" s="1024">
        <v>635.3366834170854</v>
      </c>
      <c r="BT69" s="923">
        <f>+BS69*0.05/9</f>
        <v>3.5296482412060302</v>
      </c>
      <c r="BU69" s="1010">
        <f>25-BT69</f>
        <v>21.470351758793971</v>
      </c>
      <c r="BV69" s="1024">
        <v>622.3115577889447</v>
      </c>
      <c r="BW69" s="923">
        <f>+BV69*0.05/9</f>
        <v>3.4572864321608043</v>
      </c>
      <c r="BX69" s="1010">
        <f>25-BW69</f>
        <v>21.542713567839197</v>
      </c>
      <c r="BY69" s="1024">
        <v>456.84422110552759</v>
      </c>
      <c r="BZ69" s="923">
        <f>+BY69*0.05/9</f>
        <v>2.5380234505862642</v>
      </c>
      <c r="CA69" s="1010">
        <f>25-BZ69</f>
        <v>22.461976549413734</v>
      </c>
      <c r="CB69" s="1024">
        <v>0</v>
      </c>
      <c r="CC69" s="923">
        <v>0</v>
      </c>
      <c r="CD69" s="1010">
        <v>0</v>
      </c>
      <c r="CE69" s="1024">
        <v>800.321608040201</v>
      </c>
      <c r="CF69" s="923">
        <f>+CE69*0.05/8</f>
        <v>5.0020100502512568</v>
      </c>
      <c r="CG69" s="1010">
        <f>25-CF69</f>
        <v>19.997989949748742</v>
      </c>
      <c r="CH69" s="1024">
        <v>0</v>
      </c>
      <c r="CI69" s="923">
        <v>0</v>
      </c>
      <c r="CJ69" s="1010"/>
      <c r="CK69" s="1024">
        <v>0</v>
      </c>
      <c r="CL69" s="923">
        <v>0</v>
      </c>
      <c r="CM69" s="1010"/>
      <c r="CN69" s="1024">
        <v>0</v>
      </c>
      <c r="CO69" s="923">
        <v>0</v>
      </c>
      <c r="CP69" s="1010"/>
      <c r="CQ69" s="1024">
        <v>0</v>
      </c>
      <c r="CR69" s="923">
        <v>0</v>
      </c>
      <c r="CS69" s="1010"/>
      <c r="CT69" s="1014">
        <f t="shared" ref="CT69:CU74" si="92">BG69+BJ69+BM69+BP69+BS69+BV69+BY69+CB69+CH69+CK69+CN69+CQ69+CE69</f>
        <v>4762.854271356784</v>
      </c>
      <c r="CU69" s="1015">
        <f t="shared" si="92"/>
        <v>27.68140703517588</v>
      </c>
      <c r="CV69" s="1016">
        <f t="shared" ref="CV69:CV74" si="93">+BI69+BL69+BO69+BR69+BU69+BX69+CA69+CD69+CG69+CJ69+CM69+CP69+CS69</f>
        <v>167.31859296482412</v>
      </c>
      <c r="CW69" s="1184"/>
      <c r="CX69" s="1017">
        <f t="shared" ref="CX69:CX74" si="94">+CU69+CV69-CW69</f>
        <v>195</v>
      </c>
      <c r="CY69" s="1018">
        <f t="shared" si="79"/>
        <v>15549.10552763819</v>
      </c>
      <c r="CZ69" s="1019">
        <f t="shared" si="79"/>
        <v>85.780100502512568</v>
      </c>
      <c r="DA69" s="1020">
        <f t="shared" si="79"/>
        <v>414.2198994974874</v>
      </c>
      <c r="DB69" s="1021">
        <f t="shared" ref="DB69:DB74" si="95">+CZ69+DA69</f>
        <v>500</v>
      </c>
      <c r="DC69" s="920" t="s">
        <v>737</v>
      </c>
      <c r="DE69" s="1182">
        <f>+CZ67+CZ68+CZ69</f>
        <v>257.34030150753767</v>
      </c>
      <c r="DF69" s="1182">
        <f t="shared" ref="DF69:DG69" si="96">+DA67+DA68+DA69</f>
        <v>1307.6596984924622</v>
      </c>
      <c r="DG69" s="1182">
        <f t="shared" si="96"/>
        <v>1565</v>
      </c>
    </row>
    <row r="70" spans="1:170" s="571" customFormat="1" ht="15.75" customHeight="1" x14ac:dyDescent="0.25">
      <c r="A70" s="721">
        <f>+A69+1</f>
        <v>64</v>
      </c>
      <c r="B70" s="973" t="s">
        <v>134</v>
      </c>
      <c r="C70" s="1029" t="s">
        <v>728</v>
      </c>
      <c r="D70" s="824" t="s">
        <v>840</v>
      </c>
      <c r="E70" s="825" t="s">
        <v>841</v>
      </c>
      <c r="F70" s="968">
        <v>1834.5</v>
      </c>
      <c r="G70" s="1030">
        <v>14.3925</v>
      </c>
      <c r="H70" s="969"/>
      <c r="I70" s="968">
        <v>2712</v>
      </c>
      <c r="J70" s="1030">
        <v>22.29</v>
      </c>
      <c r="K70" s="969"/>
      <c r="L70" s="968">
        <v>3497.6</v>
      </c>
      <c r="M70" s="1030">
        <v>29.360399999999998</v>
      </c>
      <c r="N70" s="969"/>
      <c r="O70" s="968"/>
      <c r="P70" s="1030">
        <v>0</v>
      </c>
      <c r="Q70" s="969"/>
      <c r="R70" s="968">
        <v>0</v>
      </c>
      <c r="S70" s="1031">
        <v>0</v>
      </c>
      <c r="T70" s="969"/>
      <c r="U70" s="968">
        <v>0</v>
      </c>
      <c r="V70" s="1031">
        <v>0</v>
      </c>
      <c r="W70" s="969"/>
      <c r="X70" s="968">
        <v>2028.8</v>
      </c>
      <c r="Y70" s="1030">
        <v>15.8592</v>
      </c>
      <c r="Z70" s="969"/>
      <c r="AA70" s="968">
        <v>1963.2</v>
      </c>
      <c r="AB70" s="1030">
        <v>15.268799999999997</v>
      </c>
      <c r="AC70" s="969"/>
      <c r="AD70" s="968">
        <v>4409.6000000000004</v>
      </c>
      <c r="AE70" s="1030">
        <v>37.2864</v>
      </c>
      <c r="AF70" s="969"/>
      <c r="AG70" s="968">
        <v>0</v>
      </c>
      <c r="AH70" s="1030">
        <v>0</v>
      </c>
      <c r="AI70" s="969"/>
      <c r="AJ70" s="968">
        <v>3195.2</v>
      </c>
      <c r="AK70" s="1030">
        <v>26.356799999999996</v>
      </c>
      <c r="AL70" s="969"/>
      <c r="AM70" s="968">
        <v>1984</v>
      </c>
      <c r="AN70" s="1030">
        <v>15.455999999999998</v>
      </c>
      <c r="AO70" s="969"/>
      <c r="AP70" s="968">
        <v>0</v>
      </c>
      <c r="AQ70" s="1030">
        <v>0</v>
      </c>
      <c r="AR70" s="1185">
        <v>20</v>
      </c>
      <c r="AS70" s="968">
        <v>2582.4</v>
      </c>
      <c r="AT70" s="1030">
        <v>20.8416</v>
      </c>
      <c r="AU70" s="969"/>
      <c r="AV70" s="968"/>
      <c r="AW70" s="1030">
        <v>0</v>
      </c>
      <c r="AX70" s="969"/>
      <c r="AY70" s="968"/>
      <c r="AZ70" s="1030">
        <v>0</v>
      </c>
      <c r="BA70" s="969"/>
      <c r="BB70" s="735">
        <f t="shared" si="78"/>
        <v>24207.300000000003</v>
      </c>
      <c r="BC70" s="736">
        <f t="shared" si="78"/>
        <v>197.11169999999998</v>
      </c>
      <c r="BD70" s="1186">
        <f t="shared" si="78"/>
        <v>20</v>
      </c>
      <c r="BE70" s="583"/>
      <c r="BF70" s="584">
        <f t="shared" si="91"/>
        <v>217.11169999999998</v>
      </c>
      <c r="BG70" s="968">
        <v>3089.1428571428573</v>
      </c>
      <c r="BH70" s="1030">
        <v>25.402285714285714</v>
      </c>
      <c r="BI70" s="969"/>
      <c r="BJ70" s="968">
        <v>0</v>
      </c>
      <c r="BK70" s="1030">
        <v>0</v>
      </c>
      <c r="BL70" s="1185">
        <v>12</v>
      </c>
      <c r="BM70" s="968">
        <v>633.23076923076928</v>
      </c>
      <c r="BN70" s="1030">
        <v>3.2990769230769232</v>
      </c>
      <c r="BO70" s="969"/>
      <c r="BP70" s="968">
        <v>1545.6</v>
      </c>
      <c r="BQ70" s="1030">
        <v>11.510399999999997</v>
      </c>
      <c r="BR70" s="969"/>
      <c r="BS70" s="968">
        <v>1296</v>
      </c>
      <c r="BT70" s="1030">
        <v>9.2639999999999993</v>
      </c>
      <c r="BU70" s="969"/>
      <c r="BV70" s="968">
        <v>1948</v>
      </c>
      <c r="BW70" s="1030">
        <v>15.132</v>
      </c>
      <c r="BX70" s="969"/>
      <c r="BY70" s="968">
        <v>1074.4615384615386</v>
      </c>
      <c r="BZ70" s="1030">
        <v>7.2701538461538462</v>
      </c>
      <c r="CA70" s="969"/>
      <c r="CB70" s="968">
        <v>0</v>
      </c>
      <c r="CC70" s="1030">
        <v>0</v>
      </c>
      <c r="CD70" s="1185">
        <v>10</v>
      </c>
      <c r="CE70" s="968"/>
      <c r="CF70" s="1030">
        <v>0</v>
      </c>
      <c r="CG70" s="969"/>
      <c r="CH70" s="968"/>
      <c r="CI70" s="1030">
        <v>0</v>
      </c>
      <c r="CJ70" s="969"/>
      <c r="CK70" s="968">
        <v>0</v>
      </c>
      <c r="CL70" s="1030">
        <v>0</v>
      </c>
      <c r="CM70" s="969">
        <v>20</v>
      </c>
      <c r="CN70" s="968">
        <v>0</v>
      </c>
      <c r="CO70" s="1030">
        <v>0</v>
      </c>
      <c r="CP70" s="969"/>
      <c r="CQ70" s="968">
        <v>0</v>
      </c>
      <c r="CR70" s="1030">
        <v>0</v>
      </c>
      <c r="CS70" s="969"/>
      <c r="CT70" s="698">
        <f t="shared" si="92"/>
        <v>9586.4351648351658</v>
      </c>
      <c r="CU70" s="699">
        <f t="shared" si="92"/>
        <v>71.877916483516486</v>
      </c>
      <c r="CV70" s="700">
        <f t="shared" si="93"/>
        <v>42</v>
      </c>
      <c r="CW70" s="583"/>
      <c r="CX70" s="701">
        <f t="shared" si="94"/>
        <v>113.87791648351649</v>
      </c>
      <c r="CY70" s="588">
        <f t="shared" si="79"/>
        <v>33793.735164835169</v>
      </c>
      <c r="CZ70" s="589">
        <f t="shared" si="79"/>
        <v>268.98961648351644</v>
      </c>
      <c r="DA70" s="590">
        <f t="shared" si="79"/>
        <v>62</v>
      </c>
      <c r="DB70" s="591">
        <f t="shared" si="95"/>
        <v>330.98961648351644</v>
      </c>
      <c r="DC70" s="920" t="s">
        <v>770</v>
      </c>
      <c r="DD70" s="398"/>
      <c r="DE70" s="570"/>
      <c r="DF70" s="570"/>
      <c r="DG70" s="570"/>
      <c r="DH70" s="570"/>
      <c r="DI70" s="570"/>
      <c r="DJ70" s="570"/>
      <c r="DK70" s="570"/>
      <c r="DL70" s="570"/>
      <c r="DM70" s="570"/>
      <c r="DN70" s="570"/>
      <c r="DO70" s="570"/>
      <c r="DP70" s="570"/>
      <c r="DQ70" s="570"/>
      <c r="DR70" s="570"/>
      <c r="DS70" s="570"/>
      <c r="DT70" s="570"/>
      <c r="DU70" s="570"/>
      <c r="DV70" s="570"/>
      <c r="DW70" s="570"/>
      <c r="DX70" s="570"/>
      <c r="DY70" s="570"/>
      <c r="DZ70" s="570"/>
      <c r="EA70" s="570"/>
      <c r="EB70" s="570"/>
      <c r="EC70" s="570"/>
      <c r="ED70" s="570"/>
      <c r="EE70" s="570"/>
      <c r="EF70" s="570"/>
      <c r="EG70" s="570"/>
      <c r="EH70" s="570"/>
      <c r="EI70" s="570"/>
      <c r="EJ70" s="570"/>
      <c r="EK70" s="570"/>
      <c r="EL70" s="570"/>
      <c r="EM70" s="570"/>
      <c r="EN70" s="570"/>
      <c r="EO70" s="570"/>
      <c r="EP70" s="570"/>
      <c r="EQ70" s="570"/>
      <c r="ER70" s="570"/>
    </row>
    <row r="71" spans="1:170" s="571" customFormat="1" ht="15.75" customHeight="1" x14ac:dyDescent="0.25">
      <c r="A71" s="894">
        <f>+A70+1</f>
        <v>65</v>
      </c>
      <c r="B71" s="972" t="s">
        <v>268</v>
      </c>
      <c r="C71" s="548" t="s">
        <v>728</v>
      </c>
      <c r="D71" s="769" t="s">
        <v>842</v>
      </c>
      <c r="E71" s="770" t="s">
        <v>843</v>
      </c>
      <c r="F71" s="578">
        <v>1834.5</v>
      </c>
      <c r="G71" s="902">
        <v>14.3925</v>
      </c>
      <c r="H71" s="903"/>
      <c r="I71" s="578">
        <v>0</v>
      </c>
      <c r="J71" s="1187">
        <v>0</v>
      </c>
      <c r="K71" s="903"/>
      <c r="L71" s="578">
        <v>3497.6</v>
      </c>
      <c r="M71" s="902">
        <v>29.360399999999998</v>
      </c>
      <c r="N71" s="903"/>
      <c r="O71" s="578"/>
      <c r="P71" s="902">
        <v>0</v>
      </c>
      <c r="Q71" s="903"/>
      <c r="R71" s="578">
        <v>2799.4285714285716</v>
      </c>
      <c r="S71" s="902">
        <v>22.794857142857143</v>
      </c>
      <c r="T71" s="903"/>
      <c r="U71" s="578">
        <v>3297.2307692307691</v>
      </c>
      <c r="V71" s="902">
        <v>27.27507692307692</v>
      </c>
      <c r="W71" s="903"/>
      <c r="X71" s="578">
        <v>2028.8</v>
      </c>
      <c r="Y71" s="902">
        <v>15.8592</v>
      </c>
      <c r="Z71" s="903"/>
      <c r="AA71" s="578">
        <v>1963.2</v>
      </c>
      <c r="AB71" s="902">
        <v>15.268799999999997</v>
      </c>
      <c r="AC71" s="903"/>
      <c r="AD71" s="578">
        <v>4409.6000000000004</v>
      </c>
      <c r="AE71" s="902">
        <v>37.2864</v>
      </c>
      <c r="AF71" s="903"/>
      <c r="AG71" s="578">
        <v>0</v>
      </c>
      <c r="AH71" s="902">
        <v>0</v>
      </c>
      <c r="AI71" s="903"/>
      <c r="AJ71" s="578">
        <v>3195.2</v>
      </c>
      <c r="AK71" s="902">
        <v>26.356799999999996</v>
      </c>
      <c r="AL71" s="903"/>
      <c r="AM71" s="578">
        <v>1984</v>
      </c>
      <c r="AN71" s="902">
        <v>15.455999999999998</v>
      </c>
      <c r="AO71" s="903"/>
      <c r="AP71" s="578">
        <v>0</v>
      </c>
      <c r="AQ71" s="902">
        <v>0</v>
      </c>
      <c r="AR71" s="905">
        <v>20</v>
      </c>
      <c r="AS71" s="578">
        <v>2582.4</v>
      </c>
      <c r="AT71" s="902">
        <v>20.8416</v>
      </c>
      <c r="AU71" s="903"/>
      <c r="AV71" s="578"/>
      <c r="AW71" s="902">
        <v>0</v>
      </c>
      <c r="AX71" s="903"/>
      <c r="AY71" s="578"/>
      <c r="AZ71" s="902">
        <v>0</v>
      </c>
      <c r="BA71" s="903"/>
      <c r="BB71" s="463">
        <f>+F71+I71+L71+O71+R71+U71+X71+AA71+AD71+AG71+AJ71+AM71+AP71+AS71+AV71+AY71</f>
        <v>27591.959340659345</v>
      </c>
      <c r="BC71" s="464">
        <f>+G71+J71+M71+P71+S71+V71+Y71+AB71+AE71+AH71+AK71+AN71+AQ71+AT71+AW71+AZ71</f>
        <v>224.89163406593403</v>
      </c>
      <c r="BD71" s="901">
        <f>+H71+K71+N71+Q71+T71+W71+Z71+AC71+AF71+AI71+AL71+AO71+AR71+AU71+AX71+BA71</f>
        <v>20</v>
      </c>
      <c r="BE71" s="587"/>
      <c r="BF71" s="637">
        <f>+BC71+BD71-BE71</f>
        <v>244.89163406593403</v>
      </c>
      <c r="BG71" s="578">
        <v>3089.1428571428573</v>
      </c>
      <c r="BH71" s="902">
        <v>25.402285714285714</v>
      </c>
      <c r="BI71" s="903"/>
      <c r="BJ71" s="578">
        <v>0</v>
      </c>
      <c r="BK71" s="902">
        <v>0</v>
      </c>
      <c r="BL71" s="905">
        <v>0</v>
      </c>
      <c r="BM71" s="578">
        <v>633.23076923076928</v>
      </c>
      <c r="BN71" s="902">
        <v>3.2990769230769232</v>
      </c>
      <c r="BO71" s="903"/>
      <c r="BP71" s="578">
        <v>1545.6</v>
      </c>
      <c r="BQ71" s="902">
        <v>11.510399999999997</v>
      </c>
      <c r="BR71" s="903"/>
      <c r="BS71" s="578">
        <v>1296</v>
      </c>
      <c r="BT71" s="902">
        <v>9.2639999999999993</v>
      </c>
      <c r="BU71" s="903"/>
      <c r="BV71" s="578">
        <v>1948</v>
      </c>
      <c r="BW71" s="902">
        <v>15.132</v>
      </c>
      <c r="BX71" s="903"/>
      <c r="BY71" s="578">
        <v>1074.4615384615386</v>
      </c>
      <c r="BZ71" s="902">
        <v>7.2701538461538462</v>
      </c>
      <c r="CA71" s="903"/>
      <c r="CB71" s="578">
        <v>0</v>
      </c>
      <c r="CC71" s="902">
        <v>0</v>
      </c>
      <c r="CD71" s="905">
        <v>10</v>
      </c>
      <c r="CE71" s="578">
        <v>0</v>
      </c>
      <c r="CF71" s="902">
        <v>0</v>
      </c>
      <c r="CG71" s="903">
        <v>20</v>
      </c>
      <c r="CH71" s="578">
        <v>0</v>
      </c>
      <c r="CI71" s="902">
        <v>0</v>
      </c>
      <c r="CJ71" s="903">
        <v>20</v>
      </c>
      <c r="CK71" s="578">
        <v>0</v>
      </c>
      <c r="CL71" s="902">
        <v>0</v>
      </c>
      <c r="CM71" s="903"/>
      <c r="CN71" s="578">
        <v>0</v>
      </c>
      <c r="CO71" s="902">
        <v>0</v>
      </c>
      <c r="CP71" s="903"/>
      <c r="CQ71" s="578">
        <v>0</v>
      </c>
      <c r="CR71" s="902">
        <v>0</v>
      </c>
      <c r="CS71" s="903"/>
      <c r="CT71" s="551">
        <f>BG71+BJ71+BM71+BP71+BS71+BV71+BY71+CB71+CH71+CK71+CN71+CQ71+CE71</f>
        <v>9586.4351648351658</v>
      </c>
      <c r="CU71" s="552">
        <f>BH71+BK71+BN71+BQ71+BT71+BW71+BZ71+CC71+CI71+CL71+CO71+CR71+CF71</f>
        <v>71.877916483516486</v>
      </c>
      <c r="CV71" s="553">
        <f t="shared" si="93"/>
        <v>50</v>
      </c>
      <c r="CW71" s="587"/>
      <c r="CX71" s="554">
        <f t="shared" si="94"/>
        <v>121.87791648351649</v>
      </c>
      <c r="CY71" s="588">
        <f>+BB71+CT71</f>
        <v>37178.394505494507</v>
      </c>
      <c r="CZ71" s="589">
        <f>+BC71+CU71</f>
        <v>296.76955054945051</v>
      </c>
      <c r="DA71" s="590">
        <f>+BD71+CV71</f>
        <v>70</v>
      </c>
      <c r="DB71" s="591">
        <f t="shared" si="95"/>
        <v>366.76955054945051</v>
      </c>
      <c r="DC71" s="920" t="s">
        <v>740</v>
      </c>
      <c r="DD71" s="398"/>
      <c r="DE71" s="570"/>
      <c r="DF71" s="570"/>
      <c r="DG71" s="570"/>
      <c r="DH71" s="570"/>
      <c r="DI71" s="570"/>
      <c r="DJ71" s="570"/>
      <c r="DK71" s="570"/>
      <c r="DL71" s="570"/>
      <c r="DM71" s="570"/>
      <c r="DN71" s="570"/>
      <c r="DO71" s="570"/>
      <c r="DP71" s="570"/>
      <c r="DQ71" s="570"/>
      <c r="DR71" s="570"/>
      <c r="DS71" s="570"/>
      <c r="DT71" s="570"/>
      <c r="DU71" s="570"/>
      <c r="DV71" s="570"/>
      <c r="DW71" s="570"/>
      <c r="DX71" s="570"/>
      <c r="DY71" s="570"/>
      <c r="DZ71" s="570"/>
      <c r="EA71" s="570"/>
      <c r="EB71" s="570"/>
      <c r="EC71" s="570"/>
      <c r="ED71" s="570"/>
      <c r="EE71" s="570"/>
      <c r="EF71" s="570"/>
      <c r="EG71" s="570"/>
      <c r="EH71" s="570"/>
      <c r="EI71" s="570"/>
      <c r="EJ71" s="570"/>
      <c r="EK71" s="570"/>
      <c r="EL71" s="570"/>
      <c r="EM71" s="570"/>
      <c r="EN71" s="570"/>
      <c r="EO71" s="570"/>
      <c r="EP71" s="570"/>
      <c r="EQ71" s="570"/>
      <c r="ER71" s="570"/>
    </row>
    <row r="72" spans="1:170" s="195" customFormat="1" ht="15.75" customHeight="1" x14ac:dyDescent="0.25">
      <c r="A72" s="894">
        <f t="shared" ref="A72:A74" si="97">+A71+1</f>
        <v>66</v>
      </c>
      <c r="B72" s="972" t="s">
        <v>267</v>
      </c>
      <c r="C72" s="548" t="s">
        <v>728</v>
      </c>
      <c r="D72" s="769"/>
      <c r="E72" s="831"/>
      <c r="F72" s="578">
        <v>0</v>
      </c>
      <c r="G72" s="902">
        <v>0</v>
      </c>
      <c r="H72" s="903"/>
      <c r="I72" s="578">
        <v>0</v>
      </c>
      <c r="J72" s="902">
        <v>0</v>
      </c>
      <c r="K72" s="903"/>
      <c r="L72" s="578">
        <v>0</v>
      </c>
      <c r="M72" s="902">
        <v>0</v>
      </c>
      <c r="N72" s="903"/>
      <c r="O72" s="578"/>
      <c r="P72" s="902">
        <v>0</v>
      </c>
      <c r="Q72" s="903"/>
      <c r="R72" s="578">
        <v>2799.4285714285716</v>
      </c>
      <c r="S72" s="902">
        <v>22.794857142857143</v>
      </c>
      <c r="T72" s="903"/>
      <c r="U72" s="578">
        <v>3297.2307692307691</v>
      </c>
      <c r="V72" s="902">
        <v>27.27507692307692</v>
      </c>
      <c r="W72" s="903"/>
      <c r="X72" s="578">
        <v>2028.8</v>
      </c>
      <c r="Y72" s="902">
        <v>15.8592</v>
      </c>
      <c r="Z72" s="903"/>
      <c r="AA72" s="578">
        <v>1963.2</v>
      </c>
      <c r="AB72" s="902">
        <v>15.268799999999997</v>
      </c>
      <c r="AC72" s="903"/>
      <c r="AD72" s="578">
        <v>4409.6000000000004</v>
      </c>
      <c r="AE72" s="902">
        <v>37.2864</v>
      </c>
      <c r="AF72" s="903"/>
      <c r="AG72" s="578">
        <v>0</v>
      </c>
      <c r="AH72" s="902">
        <v>0</v>
      </c>
      <c r="AI72" s="903"/>
      <c r="AJ72" s="578">
        <v>3195.2</v>
      </c>
      <c r="AK72" s="902">
        <v>26.356799999999996</v>
      </c>
      <c r="AL72" s="903"/>
      <c r="AM72" s="578">
        <v>1984</v>
      </c>
      <c r="AN72" s="902">
        <v>15.455999999999998</v>
      </c>
      <c r="AO72" s="903"/>
      <c r="AP72" s="578">
        <v>0</v>
      </c>
      <c r="AQ72" s="902">
        <v>0</v>
      </c>
      <c r="AR72" s="905">
        <v>20</v>
      </c>
      <c r="AS72" s="578">
        <v>2582.4</v>
      </c>
      <c r="AT72" s="902">
        <v>20.8416</v>
      </c>
      <c r="AU72" s="903"/>
      <c r="AV72" s="578"/>
      <c r="AW72" s="902">
        <v>0</v>
      </c>
      <c r="AX72" s="903"/>
      <c r="AY72" s="578"/>
      <c r="AZ72" s="902">
        <v>0</v>
      </c>
      <c r="BA72" s="903"/>
      <c r="BB72" s="463">
        <f t="shared" si="78"/>
        <v>22259.859340659343</v>
      </c>
      <c r="BC72" s="464">
        <f t="shared" si="78"/>
        <v>181.13873406593405</v>
      </c>
      <c r="BD72" s="901">
        <f t="shared" si="78"/>
        <v>20</v>
      </c>
      <c r="BE72" s="587"/>
      <c r="BF72" s="637">
        <f t="shared" si="91"/>
        <v>201.13873406593405</v>
      </c>
      <c r="BG72" s="578">
        <v>3089.1428571428573</v>
      </c>
      <c r="BH72" s="902">
        <v>25.402285714285714</v>
      </c>
      <c r="BI72" s="903"/>
      <c r="BJ72" s="578">
        <v>0</v>
      </c>
      <c r="BK72" s="902">
        <v>0</v>
      </c>
      <c r="BL72" s="905">
        <v>12</v>
      </c>
      <c r="BM72" s="578">
        <v>633.23076923076928</v>
      </c>
      <c r="BN72" s="902">
        <v>3.2990769230769232</v>
      </c>
      <c r="BO72" s="903"/>
      <c r="BP72" s="578">
        <v>1545.6</v>
      </c>
      <c r="BQ72" s="902">
        <v>11.510399999999997</v>
      </c>
      <c r="BR72" s="903"/>
      <c r="BS72" s="578">
        <v>1296</v>
      </c>
      <c r="BT72" s="902">
        <v>9.2639999999999993</v>
      </c>
      <c r="BU72" s="903"/>
      <c r="BV72" s="578">
        <v>1948</v>
      </c>
      <c r="BW72" s="902">
        <v>15.132</v>
      </c>
      <c r="BX72" s="903"/>
      <c r="BY72" s="578">
        <v>1074.4615384615386</v>
      </c>
      <c r="BZ72" s="902">
        <v>7.2701538461538462</v>
      </c>
      <c r="CA72" s="903"/>
      <c r="CB72" s="578">
        <v>0</v>
      </c>
      <c r="CC72" s="902">
        <v>0</v>
      </c>
      <c r="CD72" s="905">
        <v>10</v>
      </c>
      <c r="CE72" s="578">
        <v>0</v>
      </c>
      <c r="CF72" s="902">
        <v>0</v>
      </c>
      <c r="CG72" s="903">
        <v>20</v>
      </c>
      <c r="CH72" s="578">
        <v>0</v>
      </c>
      <c r="CI72" s="902">
        <v>0</v>
      </c>
      <c r="CJ72" s="903">
        <v>20</v>
      </c>
      <c r="CK72" s="578">
        <v>0</v>
      </c>
      <c r="CL72" s="902">
        <v>0</v>
      </c>
      <c r="CM72" s="903"/>
      <c r="CN72" s="578">
        <v>0</v>
      </c>
      <c r="CO72" s="902">
        <v>0</v>
      </c>
      <c r="CP72" s="903"/>
      <c r="CQ72" s="578">
        <v>0</v>
      </c>
      <c r="CR72" s="902">
        <v>0</v>
      </c>
      <c r="CS72" s="903"/>
      <c r="CT72" s="551">
        <f t="shared" si="92"/>
        <v>9586.4351648351658</v>
      </c>
      <c r="CU72" s="552">
        <f t="shared" si="92"/>
        <v>71.877916483516486</v>
      </c>
      <c r="CV72" s="553">
        <f t="shared" si="93"/>
        <v>62</v>
      </c>
      <c r="CW72" s="587"/>
      <c r="CX72" s="554">
        <f t="shared" si="94"/>
        <v>133.87791648351649</v>
      </c>
      <c r="CY72" s="588">
        <f t="shared" si="79"/>
        <v>31846.294505494508</v>
      </c>
      <c r="CZ72" s="589">
        <f t="shared" si="79"/>
        <v>253.01665054945053</v>
      </c>
      <c r="DA72" s="590">
        <f t="shared" si="79"/>
        <v>82</v>
      </c>
      <c r="DB72" s="591">
        <f t="shared" si="95"/>
        <v>335.01665054945056</v>
      </c>
      <c r="DC72" s="920" t="s">
        <v>844</v>
      </c>
      <c r="DD72" s="398"/>
      <c r="DE72" s="424"/>
      <c r="DF72" s="424"/>
      <c r="DG72" s="424"/>
      <c r="DH72" s="424"/>
      <c r="DI72" s="424"/>
      <c r="DJ72" s="424"/>
      <c r="DK72" s="424"/>
      <c r="DL72" s="424"/>
      <c r="DM72" s="424"/>
      <c r="DN72" s="424"/>
      <c r="DO72" s="424"/>
      <c r="DP72" s="424"/>
      <c r="DQ72" s="424"/>
      <c r="DR72" s="424"/>
      <c r="DS72" s="424"/>
      <c r="DT72" s="424"/>
      <c r="DU72" s="424"/>
      <c r="DV72" s="424"/>
      <c r="DW72" s="424"/>
      <c r="DX72" s="424"/>
      <c r="DY72" s="424"/>
      <c r="DZ72" s="424"/>
      <c r="EA72" s="424"/>
      <c r="EB72" s="424"/>
      <c r="EC72" s="424"/>
      <c r="ED72" s="424"/>
      <c r="EE72" s="424"/>
      <c r="EF72" s="424"/>
      <c r="EG72" s="424"/>
      <c r="EH72" s="424"/>
      <c r="EI72" s="424"/>
      <c r="EJ72" s="424"/>
      <c r="EK72" s="424"/>
      <c r="EL72" s="424"/>
      <c r="EM72" s="424"/>
      <c r="EN72" s="424"/>
      <c r="EO72" s="424"/>
      <c r="EP72" s="424"/>
      <c r="EQ72" s="424"/>
      <c r="ER72" s="424"/>
    </row>
    <row r="73" spans="1:170" s="195" customFormat="1" ht="15.75" customHeight="1" x14ac:dyDescent="0.25">
      <c r="A73" s="894">
        <f t="shared" si="97"/>
        <v>67</v>
      </c>
      <c r="B73" s="1188" t="s">
        <v>116</v>
      </c>
      <c r="C73" s="1189" t="s">
        <v>728</v>
      </c>
      <c r="D73" s="895" t="s">
        <v>845</v>
      </c>
      <c r="E73" s="896" t="s">
        <v>846</v>
      </c>
      <c r="F73" s="897">
        <v>1834.5</v>
      </c>
      <c r="G73" s="898">
        <v>14.3925</v>
      </c>
      <c r="H73" s="899"/>
      <c r="I73" s="897">
        <v>0</v>
      </c>
      <c r="J73" s="898">
        <v>0</v>
      </c>
      <c r="K73" s="899"/>
      <c r="L73" s="897">
        <v>3497.6</v>
      </c>
      <c r="M73" s="898">
        <v>29.360399999999998</v>
      </c>
      <c r="N73" s="899"/>
      <c r="O73" s="897"/>
      <c r="P73" s="898">
        <v>0</v>
      </c>
      <c r="Q73" s="899"/>
      <c r="R73" s="897">
        <v>0</v>
      </c>
      <c r="S73" s="898">
        <v>0</v>
      </c>
      <c r="T73" s="899"/>
      <c r="U73" s="897">
        <v>0</v>
      </c>
      <c r="V73" s="898">
        <v>0</v>
      </c>
      <c r="W73" s="899"/>
      <c r="X73" s="897">
        <v>0</v>
      </c>
      <c r="Y73" s="898">
        <v>0</v>
      </c>
      <c r="Z73" s="899"/>
      <c r="AA73" s="897">
        <v>0</v>
      </c>
      <c r="AB73" s="898">
        <v>0</v>
      </c>
      <c r="AC73" s="899"/>
      <c r="AD73" s="897">
        <v>0</v>
      </c>
      <c r="AE73" s="898">
        <v>0</v>
      </c>
      <c r="AF73" s="899"/>
      <c r="AG73" s="897">
        <v>0</v>
      </c>
      <c r="AH73" s="898">
        <v>0</v>
      </c>
      <c r="AI73" s="899"/>
      <c r="AJ73" s="897">
        <v>0</v>
      </c>
      <c r="AK73" s="898">
        <v>0</v>
      </c>
      <c r="AL73" s="899"/>
      <c r="AM73" s="897">
        <v>0</v>
      </c>
      <c r="AN73" s="898">
        <v>0</v>
      </c>
      <c r="AO73" s="899"/>
      <c r="AP73" s="897">
        <v>0</v>
      </c>
      <c r="AQ73" s="898">
        <v>0</v>
      </c>
      <c r="AR73" s="899"/>
      <c r="AS73" s="897">
        <v>0</v>
      </c>
      <c r="AT73" s="898">
        <v>0</v>
      </c>
      <c r="AU73" s="899"/>
      <c r="AV73" s="897"/>
      <c r="AW73" s="898">
        <v>0</v>
      </c>
      <c r="AX73" s="899"/>
      <c r="AY73" s="897"/>
      <c r="AZ73" s="898">
        <v>0</v>
      </c>
      <c r="BA73" s="899"/>
      <c r="BB73" s="937">
        <f t="shared" ref="BB73:BD74" si="98">+F73+I73+L73+O73+R73+U73+X73+AA73+AD73+AG73+AJ73+AM73+AP73+AS73+AV73+AY73</f>
        <v>5332.1</v>
      </c>
      <c r="BC73" s="938">
        <f t="shared" si="98"/>
        <v>43.752899999999997</v>
      </c>
      <c r="BD73" s="939">
        <f t="shared" si="98"/>
        <v>0</v>
      </c>
      <c r="BE73" s="946"/>
      <c r="BF73" s="947">
        <f t="shared" si="91"/>
        <v>43.752899999999997</v>
      </c>
      <c r="BG73" s="897">
        <v>0</v>
      </c>
      <c r="BH73" s="898">
        <v>0</v>
      </c>
      <c r="BI73" s="899"/>
      <c r="BJ73" s="897">
        <v>0</v>
      </c>
      <c r="BK73" s="898">
        <v>0</v>
      </c>
      <c r="BL73" s="900">
        <v>0</v>
      </c>
      <c r="BM73" s="897">
        <v>0</v>
      </c>
      <c r="BN73" s="898">
        <v>0</v>
      </c>
      <c r="BO73" s="899"/>
      <c r="BP73" s="897">
        <v>0</v>
      </c>
      <c r="BQ73" s="898">
        <v>0</v>
      </c>
      <c r="BR73" s="899"/>
      <c r="BS73" s="897">
        <v>0</v>
      </c>
      <c r="BT73" s="898">
        <v>0</v>
      </c>
      <c r="BU73" s="899"/>
      <c r="BV73" s="897">
        <v>0</v>
      </c>
      <c r="BW73" s="898">
        <v>0</v>
      </c>
      <c r="BX73" s="899"/>
      <c r="BY73" s="897">
        <v>0</v>
      </c>
      <c r="BZ73" s="898">
        <v>0</v>
      </c>
      <c r="CA73" s="899"/>
      <c r="CB73" s="897"/>
      <c r="CC73" s="898">
        <v>0</v>
      </c>
      <c r="CD73" s="900"/>
      <c r="CE73" s="897"/>
      <c r="CF73" s="898">
        <v>0</v>
      </c>
      <c r="CG73" s="899"/>
      <c r="CH73" s="897"/>
      <c r="CI73" s="898">
        <v>0</v>
      </c>
      <c r="CJ73" s="899"/>
      <c r="CK73" s="897"/>
      <c r="CL73" s="898">
        <v>0</v>
      </c>
      <c r="CM73" s="899"/>
      <c r="CN73" s="897"/>
      <c r="CO73" s="898">
        <v>0</v>
      </c>
      <c r="CP73" s="899"/>
      <c r="CQ73" s="897"/>
      <c r="CR73" s="898">
        <v>0</v>
      </c>
      <c r="CS73" s="899"/>
      <c r="CT73" s="941">
        <f t="shared" si="92"/>
        <v>0</v>
      </c>
      <c r="CU73" s="942">
        <f t="shared" si="92"/>
        <v>0</v>
      </c>
      <c r="CV73" s="936">
        <f t="shared" si="93"/>
        <v>0</v>
      </c>
      <c r="CW73" s="946"/>
      <c r="CX73" s="939">
        <f t="shared" si="94"/>
        <v>0</v>
      </c>
      <c r="CY73" s="930">
        <f t="shared" ref="CY73:DA74" si="99">+BB73+CT73</f>
        <v>5332.1</v>
      </c>
      <c r="CZ73" s="931">
        <f t="shared" si="99"/>
        <v>43.752899999999997</v>
      </c>
      <c r="DA73" s="931">
        <f t="shared" si="99"/>
        <v>0</v>
      </c>
      <c r="DB73" s="932">
        <f t="shared" si="95"/>
        <v>43.752899999999997</v>
      </c>
      <c r="DC73" s="1004" t="s">
        <v>828</v>
      </c>
      <c r="DD73" s="398"/>
      <c r="DE73" s="424"/>
      <c r="DF73" s="424"/>
      <c r="DG73" s="424"/>
      <c r="DH73" s="424"/>
      <c r="DI73" s="424"/>
      <c r="DJ73" s="424"/>
      <c r="DK73" s="424"/>
      <c r="DL73" s="424"/>
      <c r="DM73" s="424"/>
      <c r="DN73" s="424"/>
      <c r="DO73" s="424"/>
      <c r="DP73" s="424"/>
      <c r="DQ73" s="424"/>
      <c r="DR73" s="424"/>
      <c r="DS73" s="424"/>
      <c r="DT73" s="424"/>
      <c r="DU73" s="424"/>
      <c r="DV73" s="424"/>
      <c r="DW73" s="424"/>
      <c r="DX73" s="424"/>
      <c r="DY73" s="424"/>
      <c r="DZ73" s="424"/>
      <c r="EA73" s="424"/>
      <c r="EB73" s="424"/>
      <c r="EC73" s="424"/>
      <c r="ED73" s="424"/>
      <c r="EE73" s="424"/>
      <c r="EF73" s="424"/>
      <c r="EG73" s="424"/>
      <c r="EH73" s="424"/>
      <c r="EI73" s="424"/>
      <c r="EJ73" s="424"/>
      <c r="EK73" s="424"/>
      <c r="EL73" s="424"/>
      <c r="EM73" s="424"/>
      <c r="EN73" s="424"/>
      <c r="EO73" s="424"/>
      <c r="EP73" s="424"/>
      <c r="EQ73" s="424"/>
      <c r="ER73" s="424"/>
    </row>
    <row r="74" spans="1:170" s="571" customFormat="1" ht="15.75" customHeight="1" thickBot="1" x14ac:dyDescent="0.3">
      <c r="A74" s="894">
        <f t="shared" si="97"/>
        <v>68</v>
      </c>
      <c r="B74" s="1190" t="s">
        <v>269</v>
      </c>
      <c r="C74" s="1189" t="s">
        <v>728</v>
      </c>
      <c r="D74" s="895" t="s">
        <v>847</v>
      </c>
      <c r="E74" s="896" t="s">
        <v>848</v>
      </c>
      <c r="F74" s="897">
        <v>1834.5</v>
      </c>
      <c r="G74" s="898">
        <v>14.3925</v>
      </c>
      <c r="H74" s="899"/>
      <c r="I74" s="897">
        <v>2712</v>
      </c>
      <c r="J74" s="898">
        <v>22.29</v>
      </c>
      <c r="K74" s="899"/>
      <c r="L74" s="897">
        <v>0</v>
      </c>
      <c r="M74" s="1187">
        <v>0</v>
      </c>
      <c r="N74" s="899"/>
      <c r="O74" s="897"/>
      <c r="P74" s="898">
        <v>0</v>
      </c>
      <c r="Q74" s="899"/>
      <c r="R74" s="897">
        <v>0</v>
      </c>
      <c r="S74" s="898">
        <v>0</v>
      </c>
      <c r="T74" s="899"/>
      <c r="U74" s="897">
        <v>0</v>
      </c>
      <c r="V74" s="898">
        <v>0</v>
      </c>
      <c r="W74" s="899"/>
      <c r="X74" s="897">
        <v>0</v>
      </c>
      <c r="Y74" s="898">
        <v>0</v>
      </c>
      <c r="Z74" s="899"/>
      <c r="AA74" s="897">
        <v>0</v>
      </c>
      <c r="AB74" s="898">
        <v>0</v>
      </c>
      <c r="AC74" s="899"/>
      <c r="AD74" s="897">
        <v>0</v>
      </c>
      <c r="AE74" s="898">
        <v>0</v>
      </c>
      <c r="AF74" s="899"/>
      <c r="AG74" s="897">
        <v>0</v>
      </c>
      <c r="AH74" s="898">
        <v>0</v>
      </c>
      <c r="AI74" s="899"/>
      <c r="AJ74" s="897">
        <v>0</v>
      </c>
      <c r="AK74" s="898">
        <v>0</v>
      </c>
      <c r="AL74" s="899"/>
      <c r="AM74" s="897">
        <v>0</v>
      </c>
      <c r="AN74" s="898">
        <v>0</v>
      </c>
      <c r="AO74" s="899"/>
      <c r="AP74" s="897">
        <v>0</v>
      </c>
      <c r="AQ74" s="898">
        <v>0</v>
      </c>
      <c r="AR74" s="899"/>
      <c r="AS74" s="897">
        <v>0</v>
      </c>
      <c r="AT74" s="898">
        <v>0</v>
      </c>
      <c r="AU74" s="899"/>
      <c r="AV74" s="897"/>
      <c r="AW74" s="898">
        <v>0</v>
      </c>
      <c r="AX74" s="899"/>
      <c r="AY74" s="897"/>
      <c r="AZ74" s="898">
        <v>0</v>
      </c>
      <c r="BA74" s="899"/>
      <c r="BB74" s="937">
        <f t="shared" si="98"/>
        <v>4546.5</v>
      </c>
      <c r="BC74" s="938">
        <f t="shared" si="98"/>
        <v>36.682499999999997</v>
      </c>
      <c r="BD74" s="939">
        <f t="shared" si="98"/>
        <v>0</v>
      </c>
      <c r="BE74" s="946"/>
      <c r="BF74" s="947">
        <f t="shared" si="91"/>
        <v>36.682499999999997</v>
      </c>
      <c r="BG74" s="897">
        <v>0</v>
      </c>
      <c r="BH74" s="898">
        <v>0</v>
      </c>
      <c r="BI74" s="899"/>
      <c r="BJ74" s="897">
        <v>0</v>
      </c>
      <c r="BK74" s="898">
        <v>0</v>
      </c>
      <c r="BL74" s="900">
        <v>0</v>
      </c>
      <c r="BM74" s="897">
        <v>0</v>
      </c>
      <c r="BN74" s="898">
        <v>0</v>
      </c>
      <c r="BO74" s="899"/>
      <c r="BP74" s="897">
        <v>0</v>
      </c>
      <c r="BQ74" s="898">
        <v>0</v>
      </c>
      <c r="BR74" s="899"/>
      <c r="BS74" s="897">
        <v>0</v>
      </c>
      <c r="BT74" s="898">
        <v>0</v>
      </c>
      <c r="BU74" s="899"/>
      <c r="BV74" s="897">
        <v>0</v>
      </c>
      <c r="BW74" s="898">
        <v>0</v>
      </c>
      <c r="BX74" s="899"/>
      <c r="BY74" s="897">
        <v>0</v>
      </c>
      <c r="BZ74" s="898">
        <v>0</v>
      </c>
      <c r="CA74" s="899"/>
      <c r="CB74" s="897"/>
      <c r="CC74" s="898">
        <v>0</v>
      </c>
      <c r="CD74" s="900"/>
      <c r="CE74" s="897"/>
      <c r="CF74" s="898">
        <v>0</v>
      </c>
      <c r="CG74" s="899"/>
      <c r="CH74" s="897"/>
      <c r="CI74" s="898">
        <v>0</v>
      </c>
      <c r="CJ74" s="899"/>
      <c r="CK74" s="897"/>
      <c r="CL74" s="898">
        <v>0</v>
      </c>
      <c r="CM74" s="899"/>
      <c r="CN74" s="897"/>
      <c r="CO74" s="898">
        <v>0</v>
      </c>
      <c r="CP74" s="899"/>
      <c r="CQ74" s="897"/>
      <c r="CR74" s="898">
        <v>0</v>
      </c>
      <c r="CS74" s="899"/>
      <c r="CT74" s="941">
        <f t="shared" si="92"/>
        <v>0</v>
      </c>
      <c r="CU74" s="942">
        <f t="shared" si="92"/>
        <v>0</v>
      </c>
      <c r="CV74" s="936">
        <f t="shared" si="93"/>
        <v>0</v>
      </c>
      <c r="CW74" s="946"/>
      <c r="CX74" s="939">
        <f t="shared" si="94"/>
        <v>0</v>
      </c>
      <c r="CY74" s="930">
        <f t="shared" si="99"/>
        <v>4546.5</v>
      </c>
      <c r="CZ74" s="931">
        <f t="shared" si="99"/>
        <v>36.682499999999997</v>
      </c>
      <c r="DA74" s="931">
        <f t="shared" si="99"/>
        <v>0</v>
      </c>
      <c r="DB74" s="932">
        <f t="shared" si="95"/>
        <v>36.682499999999997</v>
      </c>
      <c r="DC74" s="1004" t="s">
        <v>828</v>
      </c>
      <c r="DD74" s="398"/>
      <c r="DE74" s="1182">
        <f>+CZ70+CZ71+CZ72+CZ73+CZ74+CZ100+CZ101+CZ102+CZ103+CZ104+CZ105</f>
        <v>3048.175004395604</v>
      </c>
      <c r="DF74" s="1182">
        <f t="shared" ref="DF74:DG74" si="100">+DA70+DA71+DA72+DA73+DA74+DA100+DA101+DA102+DA103+DA104+DA105</f>
        <v>394</v>
      </c>
      <c r="DG74" s="1182">
        <f t="shared" si="100"/>
        <v>3442.175004395604</v>
      </c>
      <c r="DH74" s="570"/>
      <c r="DI74" s="570"/>
      <c r="DJ74" s="570"/>
      <c r="DK74" s="570"/>
      <c r="DL74" s="570"/>
      <c r="DM74" s="570"/>
      <c r="DN74" s="570"/>
      <c r="DO74" s="570"/>
      <c r="DP74" s="570"/>
      <c r="DQ74" s="570"/>
      <c r="DR74" s="570"/>
      <c r="DS74" s="570"/>
      <c r="DT74" s="570"/>
      <c r="DU74" s="570"/>
      <c r="DV74" s="570"/>
      <c r="DW74" s="570"/>
      <c r="DX74" s="570"/>
      <c r="DY74" s="570"/>
      <c r="DZ74" s="570"/>
      <c r="EA74" s="570"/>
      <c r="EB74" s="570"/>
      <c r="EC74" s="570"/>
      <c r="ED74" s="570"/>
      <c r="EE74" s="570"/>
      <c r="EF74" s="570"/>
      <c r="EG74" s="570"/>
      <c r="EH74" s="570"/>
      <c r="EI74" s="570"/>
      <c r="EJ74" s="570"/>
      <c r="EK74" s="570"/>
      <c r="EL74" s="570"/>
      <c r="EM74" s="570"/>
      <c r="EN74" s="570"/>
      <c r="EO74" s="570"/>
      <c r="EP74" s="570"/>
      <c r="EQ74" s="570"/>
      <c r="ER74" s="570"/>
    </row>
    <row r="75" spans="1:170" s="195" customFormat="1" ht="19.5" customHeight="1" x14ac:dyDescent="0.2">
      <c r="A75" s="1427"/>
      <c r="B75" s="1428"/>
      <c r="C75" s="1429"/>
      <c r="D75" s="1430" t="s">
        <v>494</v>
      </c>
      <c r="E75" s="1432" t="s">
        <v>495</v>
      </c>
      <c r="F75" s="1353" t="s">
        <v>496</v>
      </c>
      <c r="G75" s="1354"/>
      <c r="H75" s="1355"/>
      <c r="I75" s="1353" t="s">
        <v>497</v>
      </c>
      <c r="J75" s="1354"/>
      <c r="K75" s="1355"/>
      <c r="L75" s="1353" t="s">
        <v>498</v>
      </c>
      <c r="M75" s="1354"/>
      <c r="N75" s="1355"/>
      <c r="O75" s="1353" t="s">
        <v>499</v>
      </c>
      <c r="P75" s="1354"/>
      <c r="Q75" s="1355"/>
      <c r="R75" s="1353" t="s">
        <v>500</v>
      </c>
      <c r="S75" s="1354"/>
      <c r="T75" s="1355"/>
      <c r="U75" s="1353" t="s">
        <v>501</v>
      </c>
      <c r="V75" s="1354"/>
      <c r="W75" s="1355"/>
      <c r="X75" s="1353" t="s">
        <v>502</v>
      </c>
      <c r="Y75" s="1354"/>
      <c r="Z75" s="1355"/>
      <c r="AA75" s="1353" t="s">
        <v>503</v>
      </c>
      <c r="AB75" s="1354"/>
      <c r="AC75" s="1355"/>
      <c r="AD75" s="1353" t="s">
        <v>504</v>
      </c>
      <c r="AE75" s="1354"/>
      <c r="AF75" s="1355"/>
      <c r="AG75" s="1353" t="s">
        <v>505</v>
      </c>
      <c r="AH75" s="1354"/>
      <c r="AI75" s="1355"/>
      <c r="AJ75" s="1353" t="s">
        <v>506</v>
      </c>
      <c r="AK75" s="1354"/>
      <c r="AL75" s="1355"/>
      <c r="AM75" s="1353" t="s">
        <v>507</v>
      </c>
      <c r="AN75" s="1354"/>
      <c r="AO75" s="1355"/>
      <c r="AP75" s="1353" t="s">
        <v>508</v>
      </c>
      <c r="AQ75" s="1354"/>
      <c r="AR75" s="1355"/>
      <c r="AS75" s="1353" t="s">
        <v>509</v>
      </c>
      <c r="AT75" s="1354"/>
      <c r="AU75" s="1355"/>
      <c r="AV75" s="1353"/>
      <c r="AW75" s="1354"/>
      <c r="AX75" s="1355"/>
      <c r="AY75" s="1353"/>
      <c r="AZ75" s="1354"/>
      <c r="BA75" s="1355"/>
      <c r="BB75" s="1356" t="s">
        <v>510</v>
      </c>
      <c r="BC75" s="1358" t="s">
        <v>511</v>
      </c>
      <c r="BD75" s="1358" t="s">
        <v>512</v>
      </c>
      <c r="BE75" s="1347" t="s">
        <v>22</v>
      </c>
      <c r="BF75" s="1360" t="s">
        <v>513</v>
      </c>
      <c r="BG75" s="1340" t="s">
        <v>514</v>
      </c>
      <c r="BH75" s="1341"/>
      <c r="BI75" s="1342"/>
      <c r="BJ75" s="1340" t="s">
        <v>515</v>
      </c>
      <c r="BK75" s="1341"/>
      <c r="BL75" s="1342"/>
      <c r="BM75" s="1340" t="s">
        <v>516</v>
      </c>
      <c r="BN75" s="1341"/>
      <c r="BO75" s="1342"/>
      <c r="BP75" s="1340" t="s">
        <v>517</v>
      </c>
      <c r="BQ75" s="1341"/>
      <c r="BR75" s="1342"/>
      <c r="BS75" s="1340" t="s">
        <v>518</v>
      </c>
      <c r="BT75" s="1341"/>
      <c r="BU75" s="1342"/>
      <c r="BV75" s="1340" t="s">
        <v>519</v>
      </c>
      <c r="BW75" s="1341"/>
      <c r="BX75" s="1342"/>
      <c r="BY75" s="1340" t="s">
        <v>520</v>
      </c>
      <c r="BZ75" s="1341"/>
      <c r="CA75" s="1342"/>
      <c r="CB75" s="1340" t="s">
        <v>521</v>
      </c>
      <c r="CC75" s="1341"/>
      <c r="CD75" s="1342"/>
      <c r="CE75" s="1340" t="s">
        <v>522</v>
      </c>
      <c r="CF75" s="1341"/>
      <c r="CG75" s="1342"/>
      <c r="CH75" s="1340" t="s">
        <v>523</v>
      </c>
      <c r="CI75" s="1341"/>
      <c r="CJ75" s="1342"/>
      <c r="CK75" s="1340" t="s">
        <v>524</v>
      </c>
      <c r="CL75" s="1341"/>
      <c r="CM75" s="1342"/>
      <c r="CN75" s="1340" t="s">
        <v>525</v>
      </c>
      <c r="CO75" s="1341"/>
      <c r="CP75" s="1342"/>
      <c r="CQ75" s="1340" t="s">
        <v>526</v>
      </c>
      <c r="CR75" s="1341"/>
      <c r="CS75" s="1342"/>
      <c r="CT75" s="1343" t="s">
        <v>510</v>
      </c>
      <c r="CU75" s="1345" t="s">
        <v>511</v>
      </c>
      <c r="CV75" s="1345" t="s">
        <v>512</v>
      </c>
      <c r="CW75" s="1347" t="s">
        <v>22</v>
      </c>
      <c r="CX75" s="1349" t="s">
        <v>513</v>
      </c>
      <c r="CY75" s="1351" t="s">
        <v>256</v>
      </c>
      <c r="CZ75" s="1322" t="s">
        <v>511</v>
      </c>
      <c r="DA75" s="1324" t="s">
        <v>512</v>
      </c>
      <c r="DB75" s="1326" t="s">
        <v>257</v>
      </c>
      <c r="DC75" s="1423" t="s">
        <v>864</v>
      </c>
      <c r="DD75" s="1425" t="s">
        <v>257</v>
      </c>
      <c r="DE75" s="424"/>
      <c r="DF75" s="424"/>
      <c r="DG75" s="424"/>
      <c r="DH75" s="424"/>
      <c r="DI75" s="424"/>
      <c r="DJ75" s="424"/>
      <c r="DK75" s="424"/>
      <c r="DL75" s="424"/>
      <c r="DM75" s="424"/>
      <c r="DN75" s="424"/>
      <c r="DO75" s="424"/>
      <c r="DP75" s="424"/>
      <c r="DQ75" s="424"/>
      <c r="DR75" s="424"/>
      <c r="DS75" s="424"/>
      <c r="DT75" s="424"/>
      <c r="DU75" s="424"/>
      <c r="DV75" s="424"/>
      <c r="DW75" s="424"/>
      <c r="DX75" s="424"/>
      <c r="DY75" s="424"/>
      <c r="DZ75" s="424"/>
      <c r="EA75" s="424"/>
      <c r="EB75" s="424"/>
      <c r="EC75" s="424"/>
      <c r="ED75" s="424"/>
      <c r="EE75" s="424"/>
      <c r="EF75" s="424"/>
      <c r="EG75" s="424"/>
      <c r="EH75" s="424"/>
      <c r="EI75" s="424"/>
      <c r="EJ75" s="424"/>
      <c r="EK75" s="424"/>
      <c r="EL75" s="424"/>
      <c r="EM75" s="424"/>
      <c r="EN75" s="424"/>
      <c r="EO75" s="424"/>
      <c r="EP75" s="424"/>
      <c r="EQ75" s="424"/>
      <c r="ER75" s="424"/>
    </row>
    <row r="76" spans="1:170" ht="25.5" customHeight="1" thickBot="1" x14ac:dyDescent="0.3">
      <c r="A76" s="1427"/>
      <c r="B76" s="1428"/>
      <c r="C76" s="1429"/>
      <c r="D76" s="1431"/>
      <c r="E76" s="1433"/>
      <c r="F76" s="425" t="s">
        <v>527</v>
      </c>
      <c r="G76" s="426" t="s">
        <v>258</v>
      </c>
      <c r="H76" s="427" t="s">
        <v>528</v>
      </c>
      <c r="I76" s="426" t="s">
        <v>527</v>
      </c>
      <c r="J76" s="426" t="s">
        <v>258</v>
      </c>
      <c r="K76" s="427" t="s">
        <v>528</v>
      </c>
      <c r="L76" s="426" t="s">
        <v>527</v>
      </c>
      <c r="M76" s="426" t="s">
        <v>258</v>
      </c>
      <c r="N76" s="427" t="s">
        <v>528</v>
      </c>
      <c r="O76" s="426" t="s">
        <v>527</v>
      </c>
      <c r="P76" s="426" t="s">
        <v>258</v>
      </c>
      <c r="Q76" s="427" t="s">
        <v>528</v>
      </c>
      <c r="R76" s="426" t="s">
        <v>527</v>
      </c>
      <c r="S76" s="426" t="s">
        <v>258</v>
      </c>
      <c r="T76" s="427" t="s">
        <v>528</v>
      </c>
      <c r="U76" s="426" t="s">
        <v>527</v>
      </c>
      <c r="V76" s="426" t="s">
        <v>258</v>
      </c>
      <c r="W76" s="427" t="s">
        <v>528</v>
      </c>
      <c r="X76" s="426" t="s">
        <v>527</v>
      </c>
      <c r="Y76" s="426" t="s">
        <v>258</v>
      </c>
      <c r="Z76" s="427" t="s">
        <v>528</v>
      </c>
      <c r="AA76" s="426" t="s">
        <v>527</v>
      </c>
      <c r="AB76" s="426" t="s">
        <v>258</v>
      </c>
      <c r="AC76" s="427" t="s">
        <v>528</v>
      </c>
      <c r="AD76" s="426" t="s">
        <v>527</v>
      </c>
      <c r="AE76" s="426" t="s">
        <v>258</v>
      </c>
      <c r="AF76" s="427" t="s">
        <v>528</v>
      </c>
      <c r="AG76" s="426" t="s">
        <v>527</v>
      </c>
      <c r="AH76" s="426" t="s">
        <v>258</v>
      </c>
      <c r="AI76" s="427" t="s">
        <v>528</v>
      </c>
      <c r="AJ76" s="426" t="s">
        <v>527</v>
      </c>
      <c r="AK76" s="426" t="s">
        <v>258</v>
      </c>
      <c r="AL76" s="427" t="s">
        <v>528</v>
      </c>
      <c r="AM76" s="426" t="s">
        <v>527</v>
      </c>
      <c r="AN76" s="426" t="s">
        <v>258</v>
      </c>
      <c r="AO76" s="427" t="s">
        <v>528</v>
      </c>
      <c r="AP76" s="426" t="s">
        <v>527</v>
      </c>
      <c r="AQ76" s="426" t="s">
        <v>258</v>
      </c>
      <c r="AR76" s="427" t="s">
        <v>528</v>
      </c>
      <c r="AS76" s="426" t="s">
        <v>527</v>
      </c>
      <c r="AT76" s="426" t="s">
        <v>258</v>
      </c>
      <c r="AU76" s="427" t="s">
        <v>528</v>
      </c>
      <c r="AV76" s="426" t="s">
        <v>527</v>
      </c>
      <c r="AW76" s="426" t="s">
        <v>258</v>
      </c>
      <c r="AX76" s="427" t="s">
        <v>528</v>
      </c>
      <c r="AY76" s="426" t="s">
        <v>527</v>
      </c>
      <c r="AZ76" s="426" t="s">
        <v>258</v>
      </c>
      <c r="BA76" s="427" t="s">
        <v>528</v>
      </c>
      <c r="BB76" s="1357"/>
      <c r="BC76" s="1359"/>
      <c r="BD76" s="1359"/>
      <c r="BE76" s="1348"/>
      <c r="BF76" s="1361"/>
      <c r="BG76" s="428" t="s">
        <v>527</v>
      </c>
      <c r="BH76" s="428" t="s">
        <v>258</v>
      </c>
      <c r="BI76" s="429" t="s">
        <v>528</v>
      </c>
      <c r="BJ76" s="428" t="s">
        <v>527</v>
      </c>
      <c r="BK76" s="428" t="s">
        <v>258</v>
      </c>
      <c r="BL76" s="429" t="s">
        <v>528</v>
      </c>
      <c r="BM76" s="428" t="s">
        <v>527</v>
      </c>
      <c r="BN76" s="428" t="s">
        <v>258</v>
      </c>
      <c r="BO76" s="429" t="s">
        <v>528</v>
      </c>
      <c r="BP76" s="428" t="s">
        <v>527</v>
      </c>
      <c r="BQ76" s="428" t="s">
        <v>258</v>
      </c>
      <c r="BR76" s="429" t="s">
        <v>528</v>
      </c>
      <c r="BS76" s="428" t="s">
        <v>527</v>
      </c>
      <c r="BT76" s="428" t="s">
        <v>258</v>
      </c>
      <c r="BU76" s="429" t="s">
        <v>528</v>
      </c>
      <c r="BV76" s="428" t="s">
        <v>527</v>
      </c>
      <c r="BW76" s="428" t="s">
        <v>258</v>
      </c>
      <c r="BX76" s="429" t="s">
        <v>528</v>
      </c>
      <c r="BY76" s="428" t="s">
        <v>527</v>
      </c>
      <c r="BZ76" s="428" t="s">
        <v>258</v>
      </c>
      <c r="CA76" s="429" t="s">
        <v>528</v>
      </c>
      <c r="CB76" s="428" t="s">
        <v>527</v>
      </c>
      <c r="CC76" s="428" t="s">
        <v>258</v>
      </c>
      <c r="CD76" s="429" t="s">
        <v>528</v>
      </c>
      <c r="CE76" s="428" t="s">
        <v>527</v>
      </c>
      <c r="CF76" s="428" t="s">
        <v>258</v>
      </c>
      <c r="CG76" s="429" t="s">
        <v>528</v>
      </c>
      <c r="CH76" s="428" t="s">
        <v>527</v>
      </c>
      <c r="CI76" s="428" t="s">
        <v>258</v>
      </c>
      <c r="CJ76" s="429" t="s">
        <v>528</v>
      </c>
      <c r="CK76" s="428" t="s">
        <v>527</v>
      </c>
      <c r="CL76" s="428" t="s">
        <v>258</v>
      </c>
      <c r="CM76" s="429" t="s">
        <v>528</v>
      </c>
      <c r="CN76" s="428" t="s">
        <v>527</v>
      </c>
      <c r="CO76" s="428" t="s">
        <v>258</v>
      </c>
      <c r="CP76" s="429" t="s">
        <v>528</v>
      </c>
      <c r="CQ76" s="428" t="s">
        <v>527</v>
      </c>
      <c r="CR76" s="428" t="s">
        <v>258</v>
      </c>
      <c r="CS76" s="429" t="s">
        <v>528</v>
      </c>
      <c r="CT76" s="1344"/>
      <c r="CU76" s="1346"/>
      <c r="CV76" s="1346"/>
      <c r="CW76" s="1348"/>
      <c r="CX76" s="1350"/>
      <c r="CY76" s="1352"/>
      <c r="CZ76" s="1323"/>
      <c r="DA76" s="1325"/>
      <c r="DB76" s="1327"/>
      <c r="DC76" s="1424"/>
      <c r="DD76" s="1426"/>
    </row>
    <row r="77" spans="1:170" s="452" customFormat="1" ht="15.75" customHeight="1" x14ac:dyDescent="0.25">
      <c r="A77" s="454">
        <f>+A74+1</f>
        <v>69</v>
      </c>
      <c r="B77" s="548" t="s">
        <v>40</v>
      </c>
      <c r="C77" s="548" t="s">
        <v>543</v>
      </c>
      <c r="D77" s="542" t="s">
        <v>541</v>
      </c>
      <c r="E77" s="966" t="s">
        <v>542</v>
      </c>
      <c r="F77" s="531">
        <v>0</v>
      </c>
      <c r="G77" s="532">
        <f>+F77*0.0065/2</f>
        <v>0</v>
      </c>
      <c r="H77" s="532">
        <v>25</v>
      </c>
      <c r="I77" s="531">
        <v>5087.62</v>
      </c>
      <c r="J77" s="532">
        <f>+I77*0.0065/2</f>
        <v>16.534765</v>
      </c>
      <c r="K77" s="492">
        <f>25-J77</f>
        <v>8.4652349999999998</v>
      </c>
      <c r="L77" s="531">
        <v>0</v>
      </c>
      <c r="M77" s="532">
        <f>+L77*0.0065/2</f>
        <v>0</v>
      </c>
      <c r="N77" s="532"/>
      <c r="O77" s="531">
        <v>0</v>
      </c>
      <c r="P77" s="532">
        <f>+O77*0.0065/2</f>
        <v>0</v>
      </c>
      <c r="Q77" s="532"/>
      <c r="R77" s="531">
        <v>0</v>
      </c>
      <c r="S77" s="532">
        <f>+R77*0.0065/2</f>
        <v>0</v>
      </c>
      <c r="T77" s="532">
        <v>20</v>
      </c>
      <c r="U77" s="531">
        <v>7799.23</v>
      </c>
      <c r="V77" s="532">
        <f>+U77*0.0065/2</f>
        <v>25.347497499999996</v>
      </c>
      <c r="W77" s="532"/>
      <c r="X77" s="531">
        <v>0</v>
      </c>
      <c r="Y77" s="532">
        <f>+X77*0.0065/2</f>
        <v>0</v>
      </c>
      <c r="Z77" s="532">
        <v>20</v>
      </c>
      <c r="AA77" s="531">
        <v>8566.56</v>
      </c>
      <c r="AB77" s="532">
        <f>+AA77*0.0065/2</f>
        <v>27.841319999999996</v>
      </c>
      <c r="AC77" s="532"/>
      <c r="AD77" s="533">
        <v>19351.39</v>
      </c>
      <c r="AE77" s="532">
        <f>+AD77*0.0065/2</f>
        <v>62.892017499999994</v>
      </c>
      <c r="AF77" s="532"/>
      <c r="AG77" s="531">
        <v>0</v>
      </c>
      <c r="AH77" s="532">
        <f>+AG77*0.0065/2</f>
        <v>0</v>
      </c>
      <c r="AI77" s="532"/>
      <c r="AJ77" s="531">
        <v>12609.34</v>
      </c>
      <c r="AK77" s="532">
        <f>+AJ77*0.0065/2</f>
        <v>40.980354999999996</v>
      </c>
      <c r="AL77" s="532"/>
      <c r="AM77" s="531">
        <v>0</v>
      </c>
      <c r="AN77" s="532">
        <f>+AM77*0.0065/2</f>
        <v>0</v>
      </c>
      <c r="AO77" s="532">
        <v>20</v>
      </c>
      <c r="AP77" s="531">
        <v>0</v>
      </c>
      <c r="AQ77" s="532">
        <f>+AP77*0.0065/2</f>
        <v>0</v>
      </c>
      <c r="AR77" s="532"/>
      <c r="AS77" s="533">
        <v>16702.080000000002</v>
      </c>
      <c r="AT77" s="532">
        <f>+AS77*0.0065/2</f>
        <v>54.281760000000006</v>
      </c>
      <c r="AU77" s="532"/>
      <c r="AV77" s="531"/>
      <c r="AW77" s="532">
        <f>+AV77*0.0065/2</f>
        <v>0</v>
      </c>
      <c r="AX77" s="532"/>
      <c r="AY77" s="531"/>
      <c r="AZ77" s="532">
        <f>+AY77*0.0065/2</f>
        <v>0</v>
      </c>
      <c r="BA77" s="532"/>
      <c r="BB77" s="463">
        <f t="shared" ref="BB77:BD92" si="101">+F77+I77+L77+O77+R77+U77+X77+AA77+AD77+AG77+AJ77+AM77+AP77+AS77+AV77+AY77</f>
        <v>70116.22</v>
      </c>
      <c r="BC77" s="464">
        <f t="shared" si="101"/>
        <v>227.87771499999997</v>
      </c>
      <c r="BD77" s="465">
        <f t="shared" si="101"/>
        <v>93.465235000000007</v>
      </c>
      <c r="BE77" s="466"/>
      <c r="BF77" s="467">
        <f>+BC77+BD77-BE77</f>
        <v>321.34294999999997</v>
      </c>
      <c r="BG77" s="531">
        <v>5590.77</v>
      </c>
      <c r="BH77" s="532">
        <f>+BG77*0.0065/2</f>
        <v>18.170002499999999</v>
      </c>
      <c r="BI77" s="532"/>
      <c r="BJ77" s="531">
        <v>0</v>
      </c>
      <c r="BK77" s="532">
        <f>+BJ77*0.0065/2</f>
        <v>0</v>
      </c>
      <c r="BL77" s="532"/>
      <c r="BM77" s="531">
        <v>12355</v>
      </c>
      <c r="BN77" s="532">
        <f>+BM77*0.0065/2</f>
        <v>40.153749999999995</v>
      </c>
      <c r="BO77" s="532"/>
      <c r="BP77" s="531">
        <v>10021.73</v>
      </c>
      <c r="BQ77" s="532">
        <f>+BP77*0.0065/2</f>
        <v>32.570622499999999</v>
      </c>
      <c r="BR77" s="532"/>
      <c r="BS77" s="531">
        <v>3309.84</v>
      </c>
      <c r="BT77" s="532">
        <f>+BS77*0.0065/2</f>
        <v>10.75698</v>
      </c>
      <c r="BU77" s="532"/>
      <c r="BV77" s="531">
        <v>8555.5400000000009</v>
      </c>
      <c r="BW77" s="532">
        <f>+BV77*0.0065/2</f>
        <v>27.805505</v>
      </c>
      <c r="BX77" s="532"/>
      <c r="BY77" s="531">
        <v>0</v>
      </c>
      <c r="BZ77" s="532">
        <f>+BY77*0.0065/2</f>
        <v>0</v>
      </c>
      <c r="CA77" s="532">
        <v>20</v>
      </c>
      <c r="CB77" s="531">
        <v>0</v>
      </c>
      <c r="CC77" s="532">
        <f>+CB77*0.0065/2</f>
        <v>0</v>
      </c>
      <c r="CD77" s="532"/>
      <c r="CE77" s="531">
        <v>9856.51</v>
      </c>
      <c r="CF77" s="532">
        <f>+CE77*0.0065/2</f>
        <v>32.033657499999997</v>
      </c>
      <c r="CG77" s="532"/>
      <c r="CH77" s="531">
        <v>0</v>
      </c>
      <c r="CI77" s="532">
        <f>+CH77*0.0065/2</f>
        <v>0</v>
      </c>
      <c r="CJ77" s="532"/>
      <c r="CK77" s="531">
        <v>0</v>
      </c>
      <c r="CL77" s="532">
        <f>+CK77*0.0065/2</f>
        <v>0</v>
      </c>
      <c r="CM77" s="532"/>
      <c r="CN77" s="531">
        <v>0</v>
      </c>
      <c r="CO77" s="532">
        <f>+CN77*0.0065/2</f>
        <v>0</v>
      </c>
      <c r="CP77" s="532"/>
      <c r="CQ77" s="531">
        <v>0</v>
      </c>
      <c r="CR77" s="532">
        <f>+CQ77*0.0065/2</f>
        <v>0</v>
      </c>
      <c r="CS77" s="532"/>
      <c r="CT77" s="551">
        <f t="shared" ref="CT77:CU84" si="102">BG77+BJ77+BM77+BP77+BS77+BV77+BY77+CB77+CH77+CK77+CN77+CQ77+CE77</f>
        <v>49689.390000000007</v>
      </c>
      <c r="CU77" s="552">
        <f t="shared" si="102"/>
        <v>161.49051750000001</v>
      </c>
      <c r="CV77" s="553">
        <f>+BI77+BL77+BO77+BR77+BU77+BX77+CA77+CD77+CG77+CJ77+CM77+CP77+CS77</f>
        <v>20</v>
      </c>
      <c r="CW77" s="466"/>
      <c r="CX77" s="554">
        <f>+CU77+CV77-CW77</f>
        <v>181.49051750000001</v>
      </c>
      <c r="CY77" s="555">
        <f t="shared" ref="CY77:DA92" si="103">+BB77+CT77</f>
        <v>119805.61000000002</v>
      </c>
      <c r="CZ77" s="556">
        <f t="shared" si="103"/>
        <v>389.36823249999998</v>
      </c>
      <c r="DA77" s="557">
        <f t="shared" si="103"/>
        <v>113.46523500000001</v>
      </c>
      <c r="DB77" s="558">
        <f>+CZ77+DA77</f>
        <v>502.83346749999998</v>
      </c>
      <c r="DC77" s="1191">
        <v>81.400734999999997</v>
      </c>
      <c r="DD77" s="1192">
        <f>+DB77+DC77</f>
        <v>584.23420250000004</v>
      </c>
      <c r="DE77" s="920" t="s">
        <v>865</v>
      </c>
      <c r="DF77" s="453"/>
      <c r="DG77" s="453"/>
      <c r="DH77" s="453"/>
      <c r="DI77" s="453"/>
      <c r="DJ77" s="453"/>
      <c r="DK77" s="453"/>
      <c r="DL77" s="453"/>
      <c r="DM77" s="453"/>
      <c r="DN77" s="453"/>
      <c r="DO77" s="453"/>
      <c r="DP77" s="453"/>
      <c r="DQ77" s="453"/>
      <c r="DR77" s="453"/>
      <c r="DS77" s="453"/>
      <c r="DT77" s="453"/>
      <c r="DU77" s="453"/>
      <c r="DV77" s="453"/>
      <c r="DW77" s="453"/>
      <c r="DX77" s="453"/>
      <c r="DY77" s="453"/>
      <c r="DZ77" s="453"/>
      <c r="EA77" s="453"/>
      <c r="EB77" s="453"/>
      <c r="EC77" s="453"/>
      <c r="ED77" s="453"/>
      <c r="EE77" s="453"/>
      <c r="EF77" s="453"/>
      <c r="EG77" s="453"/>
      <c r="EH77" s="453"/>
      <c r="EI77" s="453"/>
      <c r="EJ77" s="453"/>
      <c r="EK77" s="453"/>
      <c r="EL77" s="453"/>
      <c r="EM77" s="453"/>
      <c r="EN77" s="453"/>
      <c r="EO77" s="453"/>
      <c r="EP77" s="453"/>
      <c r="EQ77" s="453"/>
      <c r="ER77" s="453"/>
    </row>
    <row r="78" spans="1:170" s="535" customFormat="1" ht="15.75" customHeight="1" thickBot="1" x14ac:dyDescent="0.3">
      <c r="A78" s="1105">
        <f>+A77+1</f>
        <v>70</v>
      </c>
      <c r="B78" s="928" t="s">
        <v>52</v>
      </c>
      <c r="C78" s="548" t="s">
        <v>543</v>
      </c>
      <c r="D78" s="1086"/>
      <c r="E78" s="1193"/>
      <c r="F78" s="508">
        <v>0</v>
      </c>
      <c r="G78" s="509">
        <f>+F78*0.0065/2</f>
        <v>0</v>
      </c>
      <c r="H78" s="509">
        <v>20</v>
      </c>
      <c r="I78" s="508">
        <v>10491.619999999999</v>
      </c>
      <c r="J78" s="509">
        <f>+I78*0.0065/2</f>
        <v>34.097764999999995</v>
      </c>
      <c r="K78" s="509"/>
      <c r="L78" s="508">
        <v>13725</v>
      </c>
      <c r="M78" s="509">
        <f>+L78*0.0065/2</f>
        <v>44.606249999999996</v>
      </c>
      <c r="N78" s="509"/>
      <c r="O78" s="508">
        <v>0</v>
      </c>
      <c r="P78" s="509">
        <f>+O78*0.0065/2</f>
        <v>0</v>
      </c>
      <c r="Q78" s="509"/>
      <c r="R78" s="508">
        <v>10269.35</v>
      </c>
      <c r="S78" s="509">
        <f>+R78*0.0065/2</f>
        <v>33.375387500000002</v>
      </c>
      <c r="T78" s="509"/>
      <c r="U78" s="509">
        <v>7115.23</v>
      </c>
      <c r="V78" s="509">
        <f>+U78*0.0065/2</f>
        <v>23.124497499999997</v>
      </c>
      <c r="W78" s="509"/>
      <c r="X78" s="509">
        <v>5956.95</v>
      </c>
      <c r="Y78" s="509">
        <f>+X78*0.0065/2</f>
        <v>19.360087499999999</v>
      </c>
      <c r="Z78" s="509"/>
      <c r="AA78" s="508">
        <v>0</v>
      </c>
      <c r="AB78" s="509">
        <f>+AA78*0.0065/2</f>
        <v>0</v>
      </c>
      <c r="AC78" s="509">
        <v>20</v>
      </c>
      <c r="AD78" s="508">
        <v>15942.41</v>
      </c>
      <c r="AE78" s="509">
        <f>+AD78*0.0065/2</f>
        <v>51.812832499999999</v>
      </c>
      <c r="AF78" s="509"/>
      <c r="AG78" s="508">
        <v>0</v>
      </c>
      <c r="AH78" s="509">
        <f>+AG78*0.0065/2</f>
        <v>0</v>
      </c>
      <c r="AI78" s="509"/>
      <c r="AJ78" s="508">
        <v>10588.34</v>
      </c>
      <c r="AK78" s="509">
        <f>+AJ78*0.0065/2</f>
        <v>34.412104999999997</v>
      </c>
      <c r="AL78" s="509"/>
      <c r="AM78" s="1194">
        <v>9423.5400000000009</v>
      </c>
      <c r="AN78" s="509">
        <f>+AM78*0.0065/2</f>
        <v>30.626505000000002</v>
      </c>
      <c r="AO78" s="509"/>
      <c r="AP78" s="508">
        <v>0</v>
      </c>
      <c r="AQ78" s="509">
        <f>+AP78*0.0065/2</f>
        <v>0</v>
      </c>
      <c r="AR78" s="509">
        <v>20</v>
      </c>
      <c r="AS78" s="1194">
        <v>14840.08</v>
      </c>
      <c r="AT78" s="509">
        <f>+AS78*0.0065/2</f>
        <v>48.230259999999994</v>
      </c>
      <c r="AU78" s="509"/>
      <c r="AV78" s="508"/>
      <c r="AW78" s="509">
        <f>+AV78*0.0065/2</f>
        <v>0</v>
      </c>
      <c r="AX78" s="509"/>
      <c r="AY78" s="508"/>
      <c r="AZ78" s="509">
        <f>+AY78*0.0065/2</f>
        <v>0</v>
      </c>
      <c r="BA78" s="509"/>
      <c r="BB78" s="735">
        <f t="shared" si="101"/>
        <v>98352.52</v>
      </c>
      <c r="BC78" s="736">
        <f t="shared" si="101"/>
        <v>319.64569</v>
      </c>
      <c r="BD78" s="737">
        <f t="shared" si="101"/>
        <v>60</v>
      </c>
      <c r="BE78" s="759"/>
      <c r="BF78" s="467">
        <f>+BC78+BD78-BE78</f>
        <v>379.64569</v>
      </c>
      <c r="BG78" s="531">
        <v>5590.77</v>
      </c>
      <c r="BH78" s="532">
        <f>+BG78*0.0065/2</f>
        <v>18.170002499999999</v>
      </c>
      <c r="BI78" s="532"/>
      <c r="BJ78" s="531">
        <v>0</v>
      </c>
      <c r="BK78" s="532">
        <f>+BJ78*0.0065/2</f>
        <v>0</v>
      </c>
      <c r="BL78" s="532"/>
      <c r="BM78" s="534">
        <v>37108.31</v>
      </c>
      <c r="BN78" s="517">
        <f>+BM78*0.02/29</f>
        <v>25.591937931034483</v>
      </c>
      <c r="BO78" s="532"/>
      <c r="BP78" s="531">
        <v>8347.73</v>
      </c>
      <c r="BQ78" s="532">
        <f>+BP78*0.0065/2</f>
        <v>27.130122499999999</v>
      </c>
      <c r="BR78" s="532"/>
      <c r="BS78" s="531">
        <v>3309.84</v>
      </c>
      <c r="BT78" s="532">
        <f>+BS78*0.0065/2</f>
        <v>10.75698</v>
      </c>
      <c r="BU78" s="532"/>
      <c r="BV78" s="531">
        <v>6969.55</v>
      </c>
      <c r="BW78" s="532">
        <f>+BV78*0.0065/2</f>
        <v>22.651037500000001</v>
      </c>
      <c r="BX78" s="532"/>
      <c r="BY78" s="531">
        <v>1931.09</v>
      </c>
      <c r="BZ78" s="532">
        <f>+BY78*0.0065/2</f>
        <v>6.2760424999999991</v>
      </c>
      <c r="CA78" s="532"/>
      <c r="CB78" s="531">
        <v>0</v>
      </c>
      <c r="CC78" s="532">
        <f>+CB78*0.0065/2</f>
        <v>0</v>
      </c>
      <c r="CD78" s="532"/>
      <c r="CE78" s="534">
        <v>44429.56</v>
      </c>
      <c r="CF78" s="517">
        <f>+CE78*0.02/31</f>
        <v>28.664232258064516</v>
      </c>
      <c r="CG78" s="532"/>
      <c r="CH78" s="531">
        <v>0</v>
      </c>
      <c r="CI78" s="532">
        <f>+CH78*0.0065/2</f>
        <v>0</v>
      </c>
      <c r="CJ78" s="532"/>
      <c r="CK78" s="531">
        <v>0</v>
      </c>
      <c r="CL78" s="532">
        <f>+CK78*0.0065/2</f>
        <v>0</v>
      </c>
      <c r="CM78" s="532"/>
      <c r="CN78" s="531">
        <v>0</v>
      </c>
      <c r="CO78" s="532">
        <f>+CN78*0.0065/2</f>
        <v>0</v>
      </c>
      <c r="CP78" s="532"/>
      <c r="CQ78" s="531">
        <v>0</v>
      </c>
      <c r="CR78" s="532">
        <f>+CQ78*0.0065/2</f>
        <v>0</v>
      </c>
      <c r="CS78" s="532"/>
      <c r="CT78" s="551">
        <f t="shared" si="102"/>
        <v>107686.84999999999</v>
      </c>
      <c r="CU78" s="552">
        <f t="shared" si="102"/>
        <v>139.24035518909898</v>
      </c>
      <c r="CV78" s="553">
        <f>+BI78+BL78+BO78+BR78+BU78+BX78+CA78+CD78+CG78+CJ78+CM78+CP78+CS78</f>
        <v>0</v>
      </c>
      <c r="CW78" s="466"/>
      <c r="CX78" s="554">
        <f>+CU78+CV78-CW78</f>
        <v>139.24035518909898</v>
      </c>
      <c r="CY78" s="555">
        <f t="shared" si="103"/>
        <v>206039.37</v>
      </c>
      <c r="CZ78" s="556">
        <f t="shared" si="103"/>
        <v>458.88604518909898</v>
      </c>
      <c r="DA78" s="557">
        <f t="shared" si="103"/>
        <v>60</v>
      </c>
      <c r="DB78" s="558">
        <f>+CZ78+DA78</f>
        <v>518.88604518909892</v>
      </c>
      <c r="DC78" s="1195">
        <v>72.408114999999995</v>
      </c>
      <c r="DD78" s="1196">
        <f>+DB78+DC78</f>
        <v>591.29416018909887</v>
      </c>
      <c r="DE78" s="920" t="s">
        <v>865</v>
      </c>
      <c r="DF78" s="398"/>
      <c r="DG78" s="398"/>
      <c r="DH78" s="398"/>
      <c r="DI78" s="398"/>
      <c r="DJ78" s="398"/>
      <c r="DK78" s="398"/>
      <c r="DL78" s="398"/>
      <c r="DM78" s="398"/>
      <c r="DN78" s="398"/>
      <c r="DO78" s="398"/>
      <c r="DP78" s="398"/>
      <c r="DQ78" s="398"/>
      <c r="DR78" s="398"/>
      <c r="DS78" s="398"/>
      <c r="DT78" s="398"/>
      <c r="DU78" s="398"/>
      <c r="DV78" s="398"/>
      <c r="DW78" s="398"/>
      <c r="DX78" s="398"/>
      <c r="DY78" s="398"/>
      <c r="DZ78" s="398"/>
      <c r="EA78" s="398"/>
      <c r="EB78" s="398"/>
      <c r="EC78" s="398"/>
      <c r="ED78" s="398"/>
      <c r="EE78" s="398"/>
      <c r="EF78" s="398"/>
      <c r="EG78" s="398"/>
      <c r="EH78" s="398"/>
      <c r="EI78" s="398"/>
      <c r="EJ78" s="398"/>
      <c r="EK78" s="398"/>
      <c r="EL78" s="398"/>
      <c r="EM78" s="398"/>
      <c r="EN78" s="398"/>
      <c r="EO78" s="398"/>
      <c r="EP78" s="398"/>
      <c r="EQ78" s="398"/>
      <c r="ER78" s="398"/>
      <c r="ES78" s="192"/>
      <c r="ET78" s="192"/>
      <c r="EU78" s="192"/>
      <c r="EV78" s="192"/>
      <c r="EW78" s="192"/>
      <c r="EX78" s="192"/>
      <c r="EY78" s="192"/>
      <c r="EZ78" s="192"/>
      <c r="FA78" s="192"/>
      <c r="FB78" s="192"/>
      <c r="FC78" s="192"/>
      <c r="FD78" s="192"/>
      <c r="FE78" s="192"/>
      <c r="FF78" s="192"/>
      <c r="FG78" s="192"/>
      <c r="FH78" s="192"/>
      <c r="FI78" s="192"/>
      <c r="FJ78" s="192"/>
      <c r="FK78" s="192"/>
      <c r="FL78" s="192"/>
      <c r="FM78" s="192"/>
      <c r="FN78" s="192"/>
    </row>
    <row r="79" spans="1:170" ht="15.75" x14ac:dyDescent="0.25">
      <c r="A79" s="454">
        <f>+A78+1</f>
        <v>71</v>
      </c>
      <c r="B79" s="928" t="s">
        <v>44</v>
      </c>
      <c r="C79" s="548" t="s">
        <v>543</v>
      </c>
      <c r="D79" s="1108"/>
      <c r="E79" s="1197"/>
      <c r="F79" s="493">
        <v>11821.35</v>
      </c>
      <c r="G79" s="517">
        <f t="shared" ref="G79" si="104">+F79*0.0065/2</f>
        <v>38.419387499999999</v>
      </c>
      <c r="H79" s="517"/>
      <c r="I79" s="537">
        <v>7931.62</v>
      </c>
      <c r="J79" s="517">
        <f t="shared" ref="J79" si="105">+I79*0.0065/2</f>
        <v>25.777764999999999</v>
      </c>
      <c r="K79" s="517"/>
      <c r="L79" s="493">
        <v>13425</v>
      </c>
      <c r="M79" s="517">
        <f t="shared" ref="M79" si="106">+L79*0.0065/2</f>
        <v>43.631250000000001</v>
      </c>
      <c r="N79" s="517"/>
      <c r="O79" s="493">
        <v>0</v>
      </c>
      <c r="P79" s="517">
        <f t="shared" ref="P79" si="107">+O79*0.0065/2</f>
        <v>0</v>
      </c>
      <c r="Q79" s="517"/>
      <c r="R79" s="493">
        <v>11472.34</v>
      </c>
      <c r="S79" s="517">
        <f t="shared" ref="S79" si="108">+R79*0.0065/2</f>
        <v>37.285105000000001</v>
      </c>
      <c r="T79" s="537"/>
      <c r="U79" s="537">
        <v>6185.23</v>
      </c>
      <c r="V79" s="517">
        <f t="shared" ref="V79" si="109">+U79*0.0065/2</f>
        <v>20.101997499999996</v>
      </c>
      <c r="W79" s="517"/>
      <c r="X79" s="537">
        <v>6192.95</v>
      </c>
      <c r="Y79" s="517">
        <f t="shared" ref="Y79" si="110">+X79*0.0065/2</f>
        <v>20.127087499999998</v>
      </c>
      <c r="Z79" s="517"/>
      <c r="AA79" s="493">
        <v>0</v>
      </c>
      <c r="AB79" s="517">
        <f t="shared" ref="AB79" si="111">+AA79*0.0065/2</f>
        <v>0</v>
      </c>
      <c r="AC79" s="517">
        <v>20</v>
      </c>
      <c r="AD79" s="493">
        <v>15688.41</v>
      </c>
      <c r="AE79" s="517">
        <f t="shared" ref="AE79" si="112">+AD79*0.0065/2</f>
        <v>50.987332499999994</v>
      </c>
      <c r="AF79" s="517"/>
      <c r="AG79" s="493">
        <v>0</v>
      </c>
      <c r="AH79" s="517">
        <f t="shared" ref="AH79" si="113">+AG79*0.0065/2</f>
        <v>0</v>
      </c>
      <c r="AI79" s="517"/>
      <c r="AJ79" s="493">
        <v>10228.34</v>
      </c>
      <c r="AK79" s="517">
        <f t="shared" ref="AK79" si="114">+AJ79*0.0065/2</f>
        <v>33.242105000000002</v>
      </c>
      <c r="AL79" s="517"/>
      <c r="AM79" s="493">
        <v>0</v>
      </c>
      <c r="AN79" s="517">
        <f t="shared" ref="AN79" si="115">+AM79*0.0065/2</f>
        <v>0</v>
      </c>
      <c r="AO79" s="517">
        <v>20</v>
      </c>
      <c r="AP79" s="493">
        <v>0</v>
      </c>
      <c r="AQ79" s="517">
        <f t="shared" ref="AQ79" si="116">+AP79*0.0065/2</f>
        <v>0</v>
      </c>
      <c r="AR79" s="517"/>
      <c r="AS79" s="537">
        <v>14577.08</v>
      </c>
      <c r="AT79" s="517">
        <f t="shared" ref="AT79" si="117">+AS79*0.0065/2</f>
        <v>47.375509999999998</v>
      </c>
      <c r="AU79" s="517"/>
      <c r="AV79" s="493"/>
      <c r="AW79" s="517">
        <f t="shared" ref="AW79" si="118">+AV79*0.0065/2</f>
        <v>0</v>
      </c>
      <c r="AX79" s="517"/>
      <c r="AY79" s="493"/>
      <c r="AZ79" s="517">
        <f t="shared" ref="AZ79" si="119">+AY79*0.0065/2</f>
        <v>0</v>
      </c>
      <c r="BA79" s="517"/>
      <c r="BB79" s="463">
        <f t="shared" si="101"/>
        <v>97522.319999999992</v>
      </c>
      <c r="BC79" s="464">
        <f t="shared" si="101"/>
        <v>316.94754</v>
      </c>
      <c r="BD79" s="465">
        <f t="shared" si="101"/>
        <v>40</v>
      </c>
      <c r="BE79" s="587"/>
      <c r="BF79" s="584">
        <f t="shared" ref="BF79" si="120">+BC79+BD79-BE79</f>
        <v>356.94754</v>
      </c>
      <c r="BG79" s="516">
        <v>0</v>
      </c>
      <c r="BH79" s="671">
        <f t="shared" ref="BH79" si="121">+BG79*0.0065/2</f>
        <v>0</v>
      </c>
      <c r="BI79" s="671">
        <v>20</v>
      </c>
      <c r="BJ79" s="516">
        <v>0</v>
      </c>
      <c r="BK79" s="671">
        <f t="shared" ref="BK79" si="122">+BJ79*0.0065/2</f>
        <v>0</v>
      </c>
      <c r="BL79" s="671"/>
      <c r="BM79" s="516">
        <v>10923</v>
      </c>
      <c r="BN79" s="671">
        <f t="shared" ref="BN79" si="123">+BM79*0.0065/2</f>
        <v>35.499749999999999</v>
      </c>
      <c r="BO79" s="671"/>
      <c r="BP79" s="516">
        <v>8533.73</v>
      </c>
      <c r="BQ79" s="671">
        <f>+BP79*0.0065/2</f>
        <v>27.734622499999997</v>
      </c>
      <c r="BR79" s="671"/>
      <c r="BS79" s="516">
        <v>3309.84</v>
      </c>
      <c r="BT79" s="671">
        <f t="shared" ref="BT79" si="124">+BS79*0.0065/2</f>
        <v>10.75698</v>
      </c>
      <c r="BU79" s="671"/>
      <c r="BV79" s="516">
        <v>0</v>
      </c>
      <c r="BW79" s="671">
        <f t="shared" ref="BW79" si="125">+BV79*0.0065/2</f>
        <v>0</v>
      </c>
      <c r="BX79" s="671">
        <v>20</v>
      </c>
      <c r="BY79" s="516">
        <v>0</v>
      </c>
      <c r="BZ79" s="671">
        <f t="shared" ref="BZ79" si="126">+BY79*0.0065/2</f>
        <v>0</v>
      </c>
      <c r="CA79" s="671">
        <v>20</v>
      </c>
      <c r="CB79" s="516">
        <v>0</v>
      </c>
      <c r="CC79" s="671">
        <f t="shared" ref="CC79" si="127">+CB79*0.0065/2</f>
        <v>0</v>
      </c>
      <c r="CD79" s="671"/>
      <c r="CE79" s="516">
        <v>8301.51</v>
      </c>
      <c r="CF79" s="671">
        <f t="shared" ref="CF79" si="128">+CE79*0.0065/2</f>
        <v>26.979907499999999</v>
      </c>
      <c r="CG79" s="671"/>
      <c r="CH79" s="516">
        <v>0</v>
      </c>
      <c r="CI79" s="671">
        <f t="shared" ref="CI79" si="129">+CH79*0.0065/2</f>
        <v>0</v>
      </c>
      <c r="CJ79" s="671"/>
      <c r="CK79" s="516">
        <v>0</v>
      </c>
      <c r="CL79" s="671">
        <f t="shared" ref="CL79" si="130">+CK79*0.0065/2</f>
        <v>0</v>
      </c>
      <c r="CM79" s="671"/>
      <c r="CN79" s="516">
        <v>0</v>
      </c>
      <c r="CO79" s="671">
        <f t="shared" ref="CO79" si="131">+CN79*0.0065/2</f>
        <v>0</v>
      </c>
      <c r="CP79" s="671"/>
      <c r="CQ79" s="516">
        <v>0</v>
      </c>
      <c r="CR79" s="671">
        <f t="shared" ref="CR79" si="132">+CQ79*0.0065/2</f>
        <v>0</v>
      </c>
      <c r="CS79" s="671"/>
      <c r="CT79" s="698">
        <f t="shared" si="102"/>
        <v>31068.080000000002</v>
      </c>
      <c r="CU79" s="699">
        <f t="shared" si="102"/>
        <v>100.97125999999999</v>
      </c>
      <c r="CV79" s="700">
        <f t="shared" ref="CV79" si="133">+BI79+BL79+BO79+BR79+BU79+BX79+CA79+CD79+CG79+CJ79+CM79+CP79+CS79</f>
        <v>60</v>
      </c>
      <c r="CW79" s="583"/>
      <c r="CX79" s="701">
        <f t="shared" ref="CX79" si="134">+CU79+CV79-CW79</f>
        <v>160.97125999999997</v>
      </c>
      <c r="CY79" s="588">
        <f t="shared" si="103"/>
        <v>128590.39999999999</v>
      </c>
      <c r="CZ79" s="589">
        <f t="shared" si="103"/>
        <v>417.91879999999998</v>
      </c>
      <c r="DA79" s="590">
        <f t="shared" si="103"/>
        <v>100</v>
      </c>
      <c r="DB79" s="591">
        <f t="shared" ref="DB79" si="135">+CZ79+DA79</f>
        <v>517.91879999999992</v>
      </c>
      <c r="DC79" s="1195">
        <v>78.381484999999998</v>
      </c>
      <c r="DD79" s="1196">
        <f t="shared" ref="DD79:DD105" si="136">+DB79+DC79</f>
        <v>596.30028499999992</v>
      </c>
      <c r="DE79" s="920" t="s">
        <v>865</v>
      </c>
    </row>
    <row r="80" spans="1:170" s="452" customFormat="1" ht="16.5" thickBot="1" x14ac:dyDescent="0.3">
      <c r="A80" s="1102">
        <f t="shared" ref="A80:A105" si="137">+A79+1</f>
        <v>72</v>
      </c>
      <c r="B80" s="922" t="s">
        <v>41</v>
      </c>
      <c r="C80" s="1006" t="s">
        <v>543</v>
      </c>
      <c r="D80" s="529"/>
      <c r="E80" s="1198"/>
      <c r="F80" s="482">
        <v>10422.370000000001</v>
      </c>
      <c r="G80" s="923">
        <f>+F80*0.0065/2</f>
        <v>33.872702500000003</v>
      </c>
      <c r="H80" s="1103"/>
      <c r="I80" s="924">
        <v>8366.630000000001</v>
      </c>
      <c r="J80" s="923">
        <f>+I80*0.0065/2</f>
        <v>27.191547500000002</v>
      </c>
      <c r="K80" s="1103"/>
      <c r="L80" s="482">
        <v>13995</v>
      </c>
      <c r="M80" s="923">
        <f>+L80*0.0065/2</f>
        <v>45.483750000000001</v>
      </c>
      <c r="N80" s="1103"/>
      <c r="O80" s="482">
        <v>0</v>
      </c>
      <c r="P80" s="923">
        <f>+O80*0.0065/2</f>
        <v>0</v>
      </c>
      <c r="Q80" s="1103"/>
      <c r="R80" s="482">
        <v>9084.34</v>
      </c>
      <c r="S80" s="923">
        <f>+R80*0.0065/2</f>
        <v>29.524104999999999</v>
      </c>
      <c r="T80" s="1103"/>
      <c r="U80" s="482">
        <v>0</v>
      </c>
      <c r="V80" s="923">
        <f>+U80*0.0065/2</f>
        <v>0</v>
      </c>
      <c r="W80" s="1103">
        <v>20</v>
      </c>
      <c r="X80" s="482">
        <v>7999.93</v>
      </c>
      <c r="Y80" s="923">
        <f>+X80*0.0065/2</f>
        <v>25.999772499999999</v>
      </c>
      <c r="Z80" s="1103"/>
      <c r="AA80" s="482">
        <v>6716.55</v>
      </c>
      <c r="AB80" s="923">
        <f>+AA80*0.0065/2</f>
        <v>21.828787500000001</v>
      </c>
      <c r="AC80" s="1103"/>
      <c r="AD80" s="924">
        <v>14893.41</v>
      </c>
      <c r="AE80" s="923">
        <f>+AD80*0.0065/2</f>
        <v>48.403582499999999</v>
      </c>
      <c r="AF80" s="1103"/>
      <c r="AG80" s="482">
        <v>0</v>
      </c>
      <c r="AH80" s="923">
        <f>+AG80*0.0065/2</f>
        <v>0</v>
      </c>
      <c r="AI80" s="1103"/>
      <c r="AJ80" s="482">
        <v>10850.34</v>
      </c>
      <c r="AK80" s="923">
        <f>+AJ80*0.0065/2</f>
        <v>35.263604999999998</v>
      </c>
      <c r="AL80" s="923"/>
      <c r="AM80" s="924">
        <v>8256.5400000000009</v>
      </c>
      <c r="AN80" s="923">
        <f>+AM80*0.0065/2</f>
        <v>26.833755</v>
      </c>
      <c r="AO80" s="1103"/>
      <c r="AP80" s="482">
        <v>0</v>
      </c>
      <c r="AQ80" s="923">
        <f>+AP80*0.0065/2</f>
        <v>0</v>
      </c>
      <c r="AR80" s="1103">
        <v>20</v>
      </c>
      <c r="AS80" s="1104">
        <v>13386.08</v>
      </c>
      <c r="AT80" s="923">
        <f>+AS80*0.0065/2</f>
        <v>43.504759999999997</v>
      </c>
      <c r="AU80" s="1103"/>
      <c r="AV80" s="482"/>
      <c r="AW80" s="923">
        <f>+AV80*0.0065/2</f>
        <v>0</v>
      </c>
      <c r="AX80" s="1103"/>
      <c r="AY80" s="482"/>
      <c r="AZ80" s="923">
        <f>+AY80*0.0065/2</f>
        <v>0</v>
      </c>
      <c r="BA80" s="1103"/>
      <c r="BB80" s="486">
        <f t="shared" si="101"/>
        <v>103971.18999999999</v>
      </c>
      <c r="BC80" s="487">
        <f t="shared" si="101"/>
        <v>337.90636749999999</v>
      </c>
      <c r="BD80" s="488">
        <f t="shared" si="101"/>
        <v>40</v>
      </c>
      <c r="BE80" s="489"/>
      <c r="BF80" s="490">
        <f>+BC80+BD80-BE80</f>
        <v>377.90636749999999</v>
      </c>
      <c r="BG80" s="482">
        <v>5590.77</v>
      </c>
      <c r="BH80" s="923">
        <f>+BG80*0.0065/2</f>
        <v>18.170002499999999</v>
      </c>
      <c r="BI80" s="1103"/>
      <c r="BJ80" s="482">
        <v>0</v>
      </c>
      <c r="BK80" s="923">
        <f>+BJ80*0.0065/2</f>
        <v>0</v>
      </c>
      <c r="BL80" s="1103"/>
      <c r="BM80" s="482">
        <v>7762.16</v>
      </c>
      <c r="BN80" s="923">
        <f>+BM80*0.0065/2</f>
        <v>25.22702</v>
      </c>
      <c r="BO80" s="1103"/>
      <c r="BP80" s="482">
        <v>8498.73</v>
      </c>
      <c r="BQ80" s="923">
        <f>+BP80*0.0065/2</f>
        <v>27.620872499999997</v>
      </c>
      <c r="BR80" s="1103"/>
      <c r="BS80" s="1199">
        <v>16489.21</v>
      </c>
      <c r="BT80" s="485">
        <f>+BS80*0.02/32</f>
        <v>10.30575625</v>
      </c>
      <c r="BU80" s="1199">
        <f>15-BT80</f>
        <v>4.69424375</v>
      </c>
      <c r="BV80" s="482">
        <v>7348.55</v>
      </c>
      <c r="BW80" s="923">
        <f>+BV80*0.0065/2</f>
        <v>23.882787499999999</v>
      </c>
      <c r="BX80" s="1103"/>
      <c r="BY80" s="482">
        <v>1931.09</v>
      </c>
      <c r="BZ80" s="923">
        <f>+BY80*0.0065/2</f>
        <v>6.2760424999999991</v>
      </c>
      <c r="CA80" s="1103"/>
      <c r="CB80" s="482">
        <v>0</v>
      </c>
      <c r="CC80" s="923">
        <f>+CB80*0.0065/2</f>
        <v>0</v>
      </c>
      <c r="CD80" s="1103"/>
      <c r="CE80" s="482">
        <v>7660.51</v>
      </c>
      <c r="CF80" s="923">
        <f>+CE80*0.0065/2</f>
        <v>24.8966575</v>
      </c>
      <c r="CG80" s="1103"/>
      <c r="CH80" s="482">
        <v>0</v>
      </c>
      <c r="CI80" s="923">
        <f>+CH80*0.0065/2</f>
        <v>0</v>
      </c>
      <c r="CJ80" s="1103"/>
      <c r="CK80" s="482">
        <v>0</v>
      </c>
      <c r="CL80" s="923">
        <f>+CK80*0.0065/2</f>
        <v>0</v>
      </c>
      <c r="CM80" s="1103"/>
      <c r="CN80" s="482">
        <v>0</v>
      </c>
      <c r="CO80" s="923">
        <f>+CN80*0.0065/2</f>
        <v>0</v>
      </c>
      <c r="CP80" s="1103"/>
      <c r="CQ80" s="482">
        <v>0</v>
      </c>
      <c r="CR80" s="923">
        <f>+CQ80*0.0065/2</f>
        <v>0</v>
      </c>
      <c r="CS80" s="1103"/>
      <c r="CT80" s="495">
        <f t="shared" si="102"/>
        <v>55281.02</v>
      </c>
      <c r="CU80" s="496">
        <f t="shared" si="102"/>
        <v>136.37913874999998</v>
      </c>
      <c r="CV80" s="497">
        <f>+BI80+BL80+BO80+BR80+BU80+BX80+CA80+CD80+CG80+CJ80+CM80+CP80+CS80</f>
        <v>4.69424375</v>
      </c>
      <c r="CW80" s="489"/>
      <c r="CX80" s="498">
        <f>+CU80+CV80-CW80</f>
        <v>141.07338249999998</v>
      </c>
      <c r="CY80" s="499">
        <f t="shared" si="103"/>
        <v>159252.21</v>
      </c>
      <c r="CZ80" s="500">
        <f t="shared" si="103"/>
        <v>474.28550624999997</v>
      </c>
      <c r="DA80" s="501">
        <f t="shared" si="103"/>
        <v>44.694243749999998</v>
      </c>
      <c r="DB80" s="502">
        <f>+CZ80+DA80</f>
        <v>518.97974999999997</v>
      </c>
      <c r="DC80" s="1200">
        <v>75.443484999999995</v>
      </c>
      <c r="DD80" s="1201">
        <f t="shared" si="136"/>
        <v>594.42323499999998</v>
      </c>
      <c r="DE80" s="920" t="s">
        <v>865</v>
      </c>
      <c r="DF80" s="453"/>
      <c r="DG80" s="453"/>
      <c r="DH80" s="453"/>
      <c r="DI80" s="453"/>
      <c r="DJ80" s="453"/>
      <c r="DK80" s="453"/>
      <c r="DL80" s="453"/>
      <c r="DM80" s="453"/>
      <c r="DN80" s="453"/>
      <c r="DO80" s="453"/>
      <c r="DP80" s="453"/>
      <c r="DQ80" s="453"/>
      <c r="DR80" s="453"/>
      <c r="DS80" s="453"/>
      <c r="DT80" s="453"/>
      <c r="DU80" s="453"/>
      <c r="DV80" s="453"/>
      <c r="DW80" s="453"/>
      <c r="DX80" s="453"/>
      <c r="DY80" s="453"/>
      <c r="DZ80" s="453"/>
      <c r="EA80" s="453"/>
      <c r="EB80" s="453"/>
      <c r="EC80" s="453"/>
      <c r="ED80" s="453"/>
      <c r="EE80" s="453"/>
      <c r="EF80" s="453"/>
      <c r="EG80" s="453"/>
      <c r="EH80" s="453"/>
      <c r="EI80" s="453"/>
      <c r="EJ80" s="453"/>
      <c r="EK80" s="453"/>
      <c r="EL80" s="453"/>
      <c r="EM80" s="453"/>
      <c r="EN80" s="453"/>
      <c r="EO80" s="453"/>
      <c r="EP80" s="453"/>
      <c r="EQ80" s="453"/>
      <c r="ER80" s="453"/>
    </row>
    <row r="81" spans="1:148" ht="15.75" x14ac:dyDescent="0.25">
      <c r="A81" s="1105">
        <f t="shared" si="137"/>
        <v>73</v>
      </c>
      <c r="B81" s="925" t="s">
        <v>47</v>
      </c>
      <c r="C81" s="928" t="s">
        <v>704</v>
      </c>
      <c r="D81" s="1202" t="s">
        <v>696</v>
      </c>
      <c r="E81" s="1203" t="s">
        <v>697</v>
      </c>
      <c r="F81" s="516">
        <v>11378.37</v>
      </c>
      <c r="G81" s="671">
        <f>+F81*0.0065/2</f>
        <v>36.979702500000002</v>
      </c>
      <c r="H81" s="543"/>
      <c r="I81" s="1085">
        <v>9683.619999999999</v>
      </c>
      <c r="J81" s="671">
        <f>+I81*0.0065/2</f>
        <v>31.471764999999994</v>
      </c>
      <c r="K81" s="543"/>
      <c r="L81" s="516">
        <v>15254</v>
      </c>
      <c r="M81" s="671">
        <f>+L81*0.0065/2</f>
        <v>49.575499999999998</v>
      </c>
      <c r="N81" s="543"/>
      <c r="O81" s="516">
        <v>0</v>
      </c>
      <c r="P81" s="671">
        <f>+O81*0.0065/2</f>
        <v>0</v>
      </c>
      <c r="Q81" s="543"/>
      <c r="R81" s="516">
        <v>0</v>
      </c>
      <c r="S81" s="671">
        <f>+R81*0.0065/2</f>
        <v>0</v>
      </c>
      <c r="T81" s="543">
        <v>20</v>
      </c>
      <c r="U81" s="1085">
        <v>8380.25</v>
      </c>
      <c r="V81" s="671">
        <f>+U81*0.0065/2</f>
        <v>27.235812499999998</v>
      </c>
      <c r="W81" s="543"/>
      <c r="X81" s="544">
        <v>6018.95</v>
      </c>
      <c r="Y81" s="671">
        <f>+X81*0.0065/2</f>
        <v>19.561587499999998</v>
      </c>
      <c r="Z81" s="543"/>
      <c r="AA81" s="516">
        <v>7872.55</v>
      </c>
      <c r="AB81" s="671">
        <f>+AA81*0.0065/2</f>
        <v>25.585787499999999</v>
      </c>
      <c r="AC81" s="543"/>
      <c r="AD81" s="1085">
        <v>15764.41</v>
      </c>
      <c r="AE81" s="671">
        <f>+AD81*0.0065/2</f>
        <v>51.234332500000001</v>
      </c>
      <c r="AF81" s="543"/>
      <c r="AG81" s="516">
        <v>0</v>
      </c>
      <c r="AH81" s="671">
        <f>+AG81*0.0065/2</f>
        <v>0</v>
      </c>
      <c r="AI81" s="543"/>
      <c r="AJ81" s="516">
        <v>11545.34</v>
      </c>
      <c r="AK81" s="671">
        <f>+AJ81*0.0065/2</f>
        <v>37.522354999999997</v>
      </c>
      <c r="AL81" s="543"/>
      <c r="AM81" s="516">
        <v>0</v>
      </c>
      <c r="AN81" s="671">
        <f>+AM81*0.0065/2</f>
        <v>0</v>
      </c>
      <c r="AO81" s="543">
        <v>20</v>
      </c>
      <c r="AP81" s="516">
        <v>0</v>
      </c>
      <c r="AQ81" s="671">
        <f>+AP81*0.0065/2</f>
        <v>0</v>
      </c>
      <c r="AR81" s="543"/>
      <c r="AS81" s="1085">
        <v>13201.08</v>
      </c>
      <c r="AT81" s="671">
        <f>+AS81*0.0065/2</f>
        <v>42.903509999999997</v>
      </c>
      <c r="AU81" s="543"/>
      <c r="AV81" s="516"/>
      <c r="AW81" s="671">
        <f>+AV81*0.0065/2</f>
        <v>0</v>
      </c>
      <c r="AX81" s="543"/>
      <c r="AY81" s="516"/>
      <c r="AZ81" s="671">
        <f>+AY81*0.0065/2</f>
        <v>0</v>
      </c>
      <c r="BA81" s="543"/>
      <c r="BB81" s="852">
        <f t="shared" si="101"/>
        <v>99098.569999999992</v>
      </c>
      <c r="BC81" s="853">
        <f t="shared" si="101"/>
        <v>322.07035249999996</v>
      </c>
      <c r="BD81" s="854">
        <f t="shared" si="101"/>
        <v>40</v>
      </c>
      <c r="BE81" s="855"/>
      <c r="BF81" s="856">
        <f>+BC81+BD81-BE81</f>
        <v>362.07035249999996</v>
      </c>
      <c r="BG81" s="516">
        <v>5590.75</v>
      </c>
      <c r="BH81" s="671">
        <f>+BG81*0.0065/2</f>
        <v>18.1699375</v>
      </c>
      <c r="BI81" s="543"/>
      <c r="BJ81" s="516">
        <v>0</v>
      </c>
      <c r="BK81" s="671">
        <f>+BJ81*0.0065/2</f>
        <v>0</v>
      </c>
      <c r="BL81" s="543"/>
      <c r="BM81" s="516">
        <v>7777.15</v>
      </c>
      <c r="BN81" s="671">
        <f>+BM81*0.0065/2</f>
        <v>25.275737499999998</v>
      </c>
      <c r="BO81" s="543"/>
      <c r="BP81" s="516">
        <v>7895.73</v>
      </c>
      <c r="BQ81" s="671">
        <f>+BP81*0.0065/2</f>
        <v>25.661122499999998</v>
      </c>
      <c r="BR81" s="543"/>
      <c r="BS81" s="516">
        <v>3309.84</v>
      </c>
      <c r="BT81" s="671">
        <f>+BS81*0.0065/2</f>
        <v>10.75698</v>
      </c>
      <c r="BU81" s="543"/>
      <c r="BV81" s="516">
        <v>6079.55</v>
      </c>
      <c r="BW81" s="671">
        <f>+BV81*0.0065/2</f>
        <v>19.758537499999999</v>
      </c>
      <c r="BX81" s="543"/>
      <c r="BY81" s="516">
        <v>1931.09</v>
      </c>
      <c r="BZ81" s="671">
        <f>+BY81*0.0065/2</f>
        <v>6.2760424999999991</v>
      </c>
      <c r="CA81" s="543"/>
      <c r="CB81" s="516">
        <v>0</v>
      </c>
      <c r="CC81" s="671">
        <f>+CB81*0.0065/2</f>
        <v>0</v>
      </c>
      <c r="CD81" s="543"/>
      <c r="CE81" s="516">
        <v>8627.51</v>
      </c>
      <c r="CF81" s="671">
        <f>+CE81*0.0065/2</f>
        <v>28.039407499999999</v>
      </c>
      <c r="CG81" s="543"/>
      <c r="CH81" s="516">
        <v>0</v>
      </c>
      <c r="CI81" s="671">
        <f>+CH81*0.0065/2</f>
        <v>0</v>
      </c>
      <c r="CJ81" s="543"/>
      <c r="CK81" s="516">
        <v>0</v>
      </c>
      <c r="CL81" s="671">
        <f>+CK81*0.0065/2</f>
        <v>0</v>
      </c>
      <c r="CM81" s="543"/>
      <c r="CN81" s="516">
        <v>0</v>
      </c>
      <c r="CO81" s="671">
        <f>+CN81*0.0065/2</f>
        <v>0</v>
      </c>
      <c r="CP81" s="543"/>
      <c r="CQ81" s="516">
        <v>0</v>
      </c>
      <c r="CR81" s="671">
        <f>+CQ81*0.0065/2</f>
        <v>0</v>
      </c>
      <c r="CS81" s="543"/>
      <c r="CT81" s="469">
        <f t="shared" si="102"/>
        <v>41211.619999999995</v>
      </c>
      <c r="CU81" s="470">
        <f t="shared" si="102"/>
        <v>133.93776500000001</v>
      </c>
      <c r="CV81" s="471">
        <f>+BI81+BL81+BO81+BR81+BU81+BX81+CA81+CD81+CG81+CJ81+CM81+CP81+CS81</f>
        <v>0</v>
      </c>
      <c r="CW81" s="855"/>
      <c r="CX81" s="473">
        <f>+CU81+CV81-CW81</f>
        <v>133.93776500000001</v>
      </c>
      <c r="CY81" s="588">
        <f t="shared" si="103"/>
        <v>140310.19</v>
      </c>
      <c r="CZ81" s="589">
        <f t="shared" si="103"/>
        <v>456.00811749999997</v>
      </c>
      <c r="DA81" s="590">
        <f t="shared" si="103"/>
        <v>40</v>
      </c>
      <c r="DB81" s="591">
        <f>+CZ81+DA81</f>
        <v>496.00811749999997</v>
      </c>
      <c r="DC81" s="451">
        <v>107.84884823529413</v>
      </c>
      <c r="DD81" s="1204">
        <f t="shared" si="136"/>
        <v>603.85696573529412</v>
      </c>
      <c r="DE81" s="920" t="s">
        <v>865</v>
      </c>
    </row>
    <row r="82" spans="1:148" ht="15.75" x14ac:dyDescent="0.25">
      <c r="A82" s="454">
        <f t="shared" si="137"/>
        <v>74</v>
      </c>
      <c r="B82" s="1106" t="s">
        <v>183</v>
      </c>
      <c r="C82" s="918" t="s">
        <v>704</v>
      </c>
      <c r="D82" s="848"/>
      <c r="E82" s="860"/>
      <c r="F82" s="534">
        <v>44451.46</v>
      </c>
      <c r="G82" s="517">
        <f t="shared" ref="G82" si="138">+F82*0.02/27</f>
        <v>32.927007407407409</v>
      </c>
      <c r="H82" s="517"/>
      <c r="I82" s="534">
        <v>39749.550000000003</v>
      </c>
      <c r="J82" s="517">
        <f t="shared" ref="J82:J84" si="139">+I82*0.02/29</f>
        <v>27.413482758620692</v>
      </c>
      <c r="K82" s="517"/>
      <c r="L82" s="534">
        <v>39966.589999999997</v>
      </c>
      <c r="M82" s="517">
        <f>+L82*0.02/22</f>
        <v>36.333263636363633</v>
      </c>
      <c r="N82" s="517"/>
      <c r="O82" s="534">
        <v>0</v>
      </c>
      <c r="P82" s="517">
        <f t="shared" ref="P82:P84" si="140">+O82*0.02/40</f>
        <v>0</v>
      </c>
      <c r="Q82" s="517"/>
      <c r="R82" s="534">
        <v>57726.71</v>
      </c>
      <c r="S82" s="517">
        <f>+R82*0.02/28</f>
        <v>41.233364285714288</v>
      </c>
      <c r="T82" s="517"/>
      <c r="U82" s="534">
        <v>34380.17</v>
      </c>
      <c r="V82" s="517">
        <f t="shared" ref="V82:V84" si="141">+U82*0.02/32</f>
        <v>21.487606249999999</v>
      </c>
      <c r="W82" s="517"/>
      <c r="X82" s="534">
        <v>29736.53</v>
      </c>
      <c r="Y82" s="517">
        <f>+X82*0.02/25</f>
        <v>23.789224000000001</v>
      </c>
      <c r="Z82" s="517"/>
      <c r="AA82" s="534">
        <v>30759.91</v>
      </c>
      <c r="AB82" s="517">
        <f t="shared" ref="AB82:AB84" si="142">+AA82*0.02/30</f>
        <v>20.506606666666666</v>
      </c>
      <c r="AC82" s="517"/>
      <c r="AD82" s="534">
        <v>87477.440000000002</v>
      </c>
      <c r="AE82" s="517">
        <f t="shared" ref="AE82:AE84" si="143">+AD82*0.02/34</f>
        <v>51.457317647058822</v>
      </c>
      <c r="AF82" s="517"/>
      <c r="AG82" s="534">
        <v>0</v>
      </c>
      <c r="AH82" s="517">
        <f t="shared" ref="AH82:AH84" si="144">+AG82*0.02/40</f>
        <v>0</v>
      </c>
      <c r="AI82" s="517"/>
      <c r="AJ82" s="520">
        <v>63104.04</v>
      </c>
      <c r="AK82" s="517">
        <f t="shared" ref="AK82:AK84" si="145">+AJ82*0.02/34</f>
        <v>37.12002352941176</v>
      </c>
      <c r="AL82" s="517"/>
      <c r="AM82" s="520">
        <v>37050.14</v>
      </c>
      <c r="AN82" s="517">
        <f t="shared" ref="AN82:AN84" si="146">+AM82*0.02/27</f>
        <v>27.444548148148147</v>
      </c>
      <c r="AO82" s="517"/>
      <c r="AP82" s="534">
        <v>0</v>
      </c>
      <c r="AQ82" s="517">
        <f t="shared" ref="AQ82:AQ84" si="147">+AP82*0.02/40</f>
        <v>0</v>
      </c>
      <c r="AR82" s="517"/>
      <c r="AS82" s="534">
        <v>87069.49</v>
      </c>
      <c r="AT82" s="517">
        <f t="shared" ref="AT82" si="148">+AS82*0.02/31</f>
        <v>56.173864516129036</v>
      </c>
      <c r="AU82" s="517"/>
      <c r="AV82" s="534"/>
      <c r="AW82" s="517">
        <f t="shared" ref="AW82:AW84" si="149">+AV82*0.02/40</f>
        <v>0</v>
      </c>
      <c r="AX82" s="517"/>
      <c r="AY82" s="534"/>
      <c r="AZ82" s="517">
        <f t="shared" ref="AZ82:AZ84" si="150">+AY82*0.02/40</f>
        <v>0</v>
      </c>
      <c r="BA82" s="517"/>
      <c r="BB82" s="463">
        <f t="shared" si="101"/>
        <v>551472.03</v>
      </c>
      <c r="BC82" s="464">
        <f t="shared" si="101"/>
        <v>375.88630884552043</v>
      </c>
      <c r="BD82" s="465">
        <f t="shared" si="101"/>
        <v>0</v>
      </c>
      <c r="BE82" s="466"/>
      <c r="BF82" s="467">
        <f t="shared" ref="BF82:BF84" si="151">+BC82+BD82-BE82</f>
        <v>375.88630884552043</v>
      </c>
      <c r="BG82" s="520">
        <v>28163.83</v>
      </c>
      <c r="BH82" s="517">
        <f t="shared" ref="BH82:BH84" si="152">+BG82*0.02/31</f>
        <v>18.170212903225806</v>
      </c>
      <c r="BI82" s="517"/>
      <c r="BJ82" s="534">
        <v>0</v>
      </c>
      <c r="BK82" s="517">
        <f t="shared" ref="BK82:BK84" si="153">+BJ82*0.02/40</f>
        <v>0</v>
      </c>
      <c r="BL82" s="517"/>
      <c r="BM82" s="534">
        <v>37108.31</v>
      </c>
      <c r="BN82" s="517">
        <f t="shared" ref="BN82" si="154">+BM82*0.02/29</f>
        <v>25.591937931034483</v>
      </c>
      <c r="BO82" s="517"/>
      <c r="BP82" s="520">
        <v>42210.15</v>
      </c>
      <c r="BQ82" s="517">
        <f t="shared" ref="BQ82:BQ84" si="155">+BP82*0.02/34</f>
        <v>24.829500000000003</v>
      </c>
      <c r="BR82" s="517"/>
      <c r="BS82" s="534">
        <v>16489.21</v>
      </c>
      <c r="BT82" s="517">
        <f t="shared" ref="BT82" si="156">+BS82*0.02/32</f>
        <v>10.30575625</v>
      </c>
      <c r="BU82" s="520">
        <f t="shared" ref="BU82:BU84" si="157">15-BT82</f>
        <v>4.69424375</v>
      </c>
      <c r="BV82" s="534">
        <v>37405.74</v>
      </c>
      <c r="BW82" s="517">
        <f t="shared" ref="BW82:BW84" si="158">+BV82*0.02/31</f>
        <v>24.132735483870967</v>
      </c>
      <c r="BX82" s="534"/>
      <c r="BY82" s="520">
        <v>8646.86</v>
      </c>
      <c r="BZ82" s="517">
        <f t="shared" ref="BZ82:BZ84" si="159">+BY82*0.02/30</f>
        <v>5.7645733333333338</v>
      </c>
      <c r="CA82" s="517">
        <f t="shared" ref="CA82:CA84" si="160">20-BZ82</f>
        <v>14.235426666666665</v>
      </c>
      <c r="CB82" s="534">
        <v>0</v>
      </c>
      <c r="CC82" s="517">
        <f t="shared" ref="CC82:CC84" si="161">+CB82*0.02/40</f>
        <v>0</v>
      </c>
      <c r="CD82" s="517"/>
      <c r="CE82" s="520">
        <v>44429.56</v>
      </c>
      <c r="CF82" s="517">
        <f>+CE82*0.02/31</f>
        <v>28.664232258064516</v>
      </c>
      <c r="CG82" s="517"/>
      <c r="CH82" s="534">
        <v>0</v>
      </c>
      <c r="CI82" s="517">
        <f t="shared" ref="CI82:CI84" si="162">+CH82*0.02/40</f>
        <v>0</v>
      </c>
      <c r="CJ82" s="517"/>
      <c r="CK82" s="534">
        <v>0</v>
      </c>
      <c r="CL82" s="517">
        <f t="shared" ref="CL82:CL84" si="163">+CK82*0.02/40</f>
        <v>0</v>
      </c>
      <c r="CM82" s="517"/>
      <c r="CN82" s="516">
        <v>0</v>
      </c>
      <c r="CO82" s="517">
        <f t="shared" ref="CO82:CO84" si="164">+CN82*0.02/40</f>
        <v>0</v>
      </c>
      <c r="CP82" s="517"/>
      <c r="CQ82" s="516">
        <v>0</v>
      </c>
      <c r="CR82" s="517">
        <f t="shared" ref="CR82:CR84" si="165">+CQ82*0.02/40</f>
        <v>0</v>
      </c>
      <c r="CS82" s="517"/>
      <c r="CT82" s="551">
        <f t="shared" si="102"/>
        <v>214453.65999999997</v>
      </c>
      <c r="CU82" s="552">
        <f t="shared" si="102"/>
        <v>137.45894815952909</v>
      </c>
      <c r="CV82" s="553">
        <f t="shared" ref="CV82:CV84" si="166">+BI82+BL82+BO82+BR82+BU82+BX82+CA82+CD82+CG82+CJ82+CM82+CP82+CS82</f>
        <v>18.929670416666667</v>
      </c>
      <c r="CW82" s="466"/>
      <c r="CX82" s="554">
        <f t="shared" ref="CX82:CX84" si="167">+CU82+CV82-CW82</f>
        <v>156.38861857619577</v>
      </c>
      <c r="CY82" s="588">
        <f t="shared" si="103"/>
        <v>765925.69</v>
      </c>
      <c r="CZ82" s="589">
        <f t="shared" si="103"/>
        <v>513.34525700504946</v>
      </c>
      <c r="DA82" s="590">
        <f t="shared" si="103"/>
        <v>18.929670416666667</v>
      </c>
      <c r="DB82" s="591">
        <f t="shared" ref="DB82:DB84" si="168">+CZ82+DA82</f>
        <v>532.27492742171614</v>
      </c>
      <c r="DC82" s="1195">
        <v>107.84884823529413</v>
      </c>
      <c r="DD82" s="1196">
        <f t="shared" si="136"/>
        <v>640.12377565701024</v>
      </c>
      <c r="DE82" s="920" t="s">
        <v>865</v>
      </c>
    </row>
    <row r="83" spans="1:148" s="571" customFormat="1" ht="15.75" x14ac:dyDescent="0.25">
      <c r="A83" s="454">
        <f t="shared" si="137"/>
        <v>75</v>
      </c>
      <c r="B83" s="1205" t="s">
        <v>174</v>
      </c>
      <c r="C83" s="548" t="s">
        <v>704</v>
      </c>
      <c r="D83" s="574"/>
      <c r="E83" s="1167"/>
      <c r="F83" s="863">
        <v>44451.46</v>
      </c>
      <c r="G83" s="532">
        <f>+F83*0.02/27</f>
        <v>32.927007407407409</v>
      </c>
      <c r="H83" s="532"/>
      <c r="I83" s="863">
        <v>39749.550000000003</v>
      </c>
      <c r="J83" s="532">
        <f t="shared" si="139"/>
        <v>27.413482758620692</v>
      </c>
      <c r="K83" s="532"/>
      <c r="L83" s="863">
        <v>16898</v>
      </c>
      <c r="M83" s="532">
        <f>+L83*0.02/6</f>
        <v>56.326666666666661</v>
      </c>
      <c r="N83" s="532"/>
      <c r="O83" s="863">
        <v>0</v>
      </c>
      <c r="P83" s="532">
        <f t="shared" si="140"/>
        <v>0</v>
      </c>
      <c r="Q83" s="532"/>
      <c r="R83" s="863">
        <v>57726.71</v>
      </c>
      <c r="S83" s="532">
        <f>+R83*0.02/28</f>
        <v>41.233364285714288</v>
      </c>
      <c r="T83" s="532"/>
      <c r="U83" s="863">
        <v>34380.17</v>
      </c>
      <c r="V83" s="532">
        <f t="shared" si="141"/>
        <v>21.487606249999999</v>
      </c>
      <c r="W83" s="532"/>
      <c r="X83" s="863">
        <v>29736.53</v>
      </c>
      <c r="Y83" s="532">
        <f t="shared" ref="Y83:Y84" si="169">+X83*0.02/25</f>
        <v>23.789224000000001</v>
      </c>
      <c r="Z83" s="532"/>
      <c r="AA83" s="863">
        <v>30759.91</v>
      </c>
      <c r="AB83" s="532">
        <f t="shared" si="142"/>
        <v>20.506606666666666</v>
      </c>
      <c r="AC83" s="532"/>
      <c r="AD83" s="863">
        <v>87477.440000000002</v>
      </c>
      <c r="AE83" s="532">
        <f t="shared" si="143"/>
        <v>51.457317647058822</v>
      </c>
      <c r="AF83" s="532"/>
      <c r="AG83" s="863">
        <v>0</v>
      </c>
      <c r="AH83" s="532">
        <f t="shared" si="144"/>
        <v>0</v>
      </c>
      <c r="AI83" s="532"/>
      <c r="AJ83" s="538">
        <v>63104.04</v>
      </c>
      <c r="AK83" s="532">
        <f t="shared" si="145"/>
        <v>37.12002352941176</v>
      </c>
      <c r="AL83" s="532"/>
      <c r="AM83" s="538">
        <v>37050.14</v>
      </c>
      <c r="AN83" s="532">
        <f t="shared" si="146"/>
        <v>27.444548148148147</v>
      </c>
      <c r="AO83" s="532"/>
      <c r="AP83" s="863">
        <v>0</v>
      </c>
      <c r="AQ83" s="532">
        <f t="shared" si="147"/>
        <v>0</v>
      </c>
      <c r="AR83" s="532"/>
      <c r="AS83" s="863">
        <v>87069.49</v>
      </c>
      <c r="AT83" s="532">
        <f>+AS83*0.02/31</f>
        <v>56.173864516129036</v>
      </c>
      <c r="AU83" s="532"/>
      <c r="AV83" s="863"/>
      <c r="AW83" s="532">
        <f t="shared" si="149"/>
        <v>0</v>
      </c>
      <c r="AX83" s="532"/>
      <c r="AY83" s="863"/>
      <c r="AZ83" s="532">
        <f t="shared" si="150"/>
        <v>0</v>
      </c>
      <c r="BA83" s="532"/>
      <c r="BB83" s="581">
        <f t="shared" si="101"/>
        <v>528403.44000000006</v>
      </c>
      <c r="BC83" s="582">
        <f t="shared" si="101"/>
        <v>395.87971187582343</v>
      </c>
      <c r="BD83" s="727">
        <f t="shared" si="101"/>
        <v>0</v>
      </c>
      <c r="BE83" s="587"/>
      <c r="BF83" s="637">
        <f t="shared" si="151"/>
        <v>395.87971187582343</v>
      </c>
      <c r="BG83" s="538">
        <v>28163.83</v>
      </c>
      <c r="BH83" s="532">
        <f t="shared" si="152"/>
        <v>18.170212903225806</v>
      </c>
      <c r="BI83" s="532"/>
      <c r="BJ83" s="863">
        <v>0</v>
      </c>
      <c r="BK83" s="532">
        <f t="shared" si="153"/>
        <v>0</v>
      </c>
      <c r="BL83" s="532"/>
      <c r="BM83" s="863">
        <v>13678</v>
      </c>
      <c r="BN83" s="532">
        <f>+BM83*0.02/6</f>
        <v>45.593333333333334</v>
      </c>
      <c r="BO83" s="532"/>
      <c r="BP83" s="538">
        <v>0</v>
      </c>
      <c r="BQ83" s="532">
        <f t="shared" si="155"/>
        <v>0</v>
      </c>
      <c r="BR83" s="532"/>
      <c r="BS83" s="863">
        <v>0</v>
      </c>
      <c r="BT83" s="532">
        <f>+BS83*0.02/40</f>
        <v>0</v>
      </c>
      <c r="BU83" s="538">
        <f t="shared" si="157"/>
        <v>15</v>
      </c>
      <c r="BV83" s="863">
        <v>37405.74</v>
      </c>
      <c r="BW83" s="532">
        <f t="shared" si="158"/>
        <v>24.132735483870967</v>
      </c>
      <c r="BX83" s="863"/>
      <c r="BY83" s="538">
        <v>8646.86</v>
      </c>
      <c r="BZ83" s="532">
        <f t="shared" si="159"/>
        <v>5.7645733333333338</v>
      </c>
      <c r="CA83" s="532">
        <f t="shared" si="160"/>
        <v>14.235426666666665</v>
      </c>
      <c r="CB83" s="863">
        <v>0</v>
      </c>
      <c r="CC83" s="532">
        <f t="shared" si="161"/>
        <v>0</v>
      </c>
      <c r="CD83" s="532"/>
      <c r="CE83" s="538">
        <v>44429.56</v>
      </c>
      <c r="CF83" s="532">
        <f t="shared" ref="CF83:CF84" si="170">+CE83*0.02/31</f>
        <v>28.664232258064516</v>
      </c>
      <c r="CG83" s="532"/>
      <c r="CH83" s="863">
        <v>0</v>
      </c>
      <c r="CI83" s="532">
        <f t="shared" si="162"/>
        <v>0</v>
      </c>
      <c r="CJ83" s="532"/>
      <c r="CK83" s="863">
        <v>0</v>
      </c>
      <c r="CL83" s="532">
        <f t="shared" si="163"/>
        <v>0</v>
      </c>
      <c r="CM83" s="532"/>
      <c r="CN83" s="863">
        <v>0</v>
      </c>
      <c r="CO83" s="532">
        <f t="shared" si="164"/>
        <v>0</v>
      </c>
      <c r="CP83" s="532"/>
      <c r="CQ83" s="863">
        <v>0</v>
      </c>
      <c r="CR83" s="532">
        <f t="shared" si="165"/>
        <v>0</v>
      </c>
      <c r="CS83" s="532"/>
      <c r="CT83" s="622">
        <f t="shared" si="102"/>
        <v>132323.99</v>
      </c>
      <c r="CU83" s="623">
        <f t="shared" si="102"/>
        <v>122.32508731182794</v>
      </c>
      <c r="CV83" s="624">
        <f t="shared" si="166"/>
        <v>29.235426666666665</v>
      </c>
      <c r="CW83" s="587"/>
      <c r="CX83" s="625">
        <f t="shared" si="167"/>
        <v>151.56051397849461</v>
      </c>
      <c r="CY83" s="626">
        <f t="shared" si="103"/>
        <v>660727.43000000005</v>
      </c>
      <c r="CZ83" s="627">
        <f t="shared" si="103"/>
        <v>518.20479918765136</v>
      </c>
      <c r="DA83" s="628">
        <f t="shared" si="103"/>
        <v>29.235426666666665</v>
      </c>
      <c r="DB83" s="629">
        <f t="shared" si="168"/>
        <v>547.44022585431799</v>
      </c>
      <c r="DC83" s="1195">
        <v>38.500260000000004</v>
      </c>
      <c r="DD83" s="1196">
        <f t="shared" si="136"/>
        <v>585.94048585431801</v>
      </c>
      <c r="DE83" s="920" t="s">
        <v>865</v>
      </c>
      <c r="DF83" s="570"/>
      <c r="DG83" s="570"/>
      <c r="DH83" s="570"/>
      <c r="DI83" s="570"/>
      <c r="DJ83" s="570"/>
      <c r="DK83" s="570"/>
      <c r="DL83" s="570"/>
      <c r="DM83" s="570"/>
      <c r="DN83" s="570"/>
      <c r="DO83" s="570"/>
      <c r="DP83" s="570"/>
      <c r="DQ83" s="570"/>
      <c r="DR83" s="570"/>
      <c r="DS83" s="570"/>
      <c r="DT83" s="570"/>
      <c r="DU83" s="570"/>
      <c r="DV83" s="570"/>
      <c r="DW83" s="570"/>
      <c r="DX83" s="570"/>
      <c r="DY83" s="570"/>
      <c r="DZ83" s="570"/>
      <c r="EA83" s="570"/>
      <c r="EB83" s="570"/>
      <c r="EC83" s="570"/>
      <c r="ED83" s="570"/>
      <c r="EE83" s="570"/>
      <c r="EF83" s="570"/>
      <c r="EG83" s="570"/>
      <c r="EH83" s="570"/>
      <c r="EI83" s="570"/>
      <c r="EJ83" s="570"/>
      <c r="EK83" s="570"/>
      <c r="EL83" s="570"/>
      <c r="EM83" s="570"/>
      <c r="EN83" s="570"/>
      <c r="EO83" s="570"/>
      <c r="EP83" s="570"/>
      <c r="EQ83" s="570"/>
      <c r="ER83" s="570"/>
    </row>
    <row r="84" spans="1:148" ht="15.75" x14ac:dyDescent="0.25">
      <c r="A84" s="454">
        <f t="shared" si="137"/>
        <v>76</v>
      </c>
      <c r="B84" s="1106" t="s">
        <v>170</v>
      </c>
      <c r="C84" s="918" t="s">
        <v>704</v>
      </c>
      <c r="D84" s="848" t="s">
        <v>742</v>
      </c>
      <c r="E84" s="858" t="s">
        <v>743</v>
      </c>
      <c r="F84" s="534">
        <v>44451.46</v>
      </c>
      <c r="G84" s="517">
        <f t="shared" ref="G84" si="171">+F84*0.02/27</f>
        <v>32.927007407407409</v>
      </c>
      <c r="H84" s="517"/>
      <c r="I84" s="534">
        <v>39749.550000000003</v>
      </c>
      <c r="J84" s="517">
        <f t="shared" si="139"/>
        <v>27.413482758620692</v>
      </c>
      <c r="K84" s="517"/>
      <c r="L84" s="534">
        <v>39966.589999999997</v>
      </c>
      <c r="M84" s="517">
        <f t="shared" ref="M84" si="172">+L84*0.02/22</f>
        <v>36.333263636363633</v>
      </c>
      <c r="N84" s="517"/>
      <c r="O84" s="534">
        <v>0</v>
      </c>
      <c r="P84" s="517">
        <f t="shared" si="140"/>
        <v>0</v>
      </c>
      <c r="Q84" s="517"/>
      <c r="R84" s="534">
        <v>57726.71</v>
      </c>
      <c r="S84" s="517">
        <f t="shared" ref="S84" si="173">+R84*0.02/28</f>
        <v>41.233364285714288</v>
      </c>
      <c r="T84" s="517"/>
      <c r="U84" s="534">
        <v>34380.17</v>
      </c>
      <c r="V84" s="517">
        <f t="shared" si="141"/>
        <v>21.487606249999999</v>
      </c>
      <c r="W84" s="517"/>
      <c r="X84" s="534">
        <v>29736.53</v>
      </c>
      <c r="Y84" s="517">
        <f t="shared" si="169"/>
        <v>23.789224000000001</v>
      </c>
      <c r="Z84" s="517"/>
      <c r="AA84" s="534">
        <v>30759.91</v>
      </c>
      <c r="AB84" s="517">
        <f t="shared" si="142"/>
        <v>20.506606666666666</v>
      </c>
      <c r="AC84" s="517"/>
      <c r="AD84" s="534">
        <v>87477.440000000002</v>
      </c>
      <c r="AE84" s="517">
        <f t="shared" si="143"/>
        <v>51.457317647058822</v>
      </c>
      <c r="AF84" s="517"/>
      <c r="AG84" s="534">
        <v>0</v>
      </c>
      <c r="AH84" s="517">
        <f t="shared" si="144"/>
        <v>0</v>
      </c>
      <c r="AI84" s="517"/>
      <c r="AJ84" s="520">
        <v>63104.04</v>
      </c>
      <c r="AK84" s="517">
        <f t="shared" si="145"/>
        <v>37.12002352941176</v>
      </c>
      <c r="AL84" s="517"/>
      <c r="AM84" s="520">
        <v>37050.14</v>
      </c>
      <c r="AN84" s="517">
        <f t="shared" si="146"/>
        <v>27.444548148148147</v>
      </c>
      <c r="AO84" s="517"/>
      <c r="AP84" s="534">
        <v>0</v>
      </c>
      <c r="AQ84" s="517">
        <f t="shared" si="147"/>
        <v>0</v>
      </c>
      <c r="AR84" s="517"/>
      <c r="AS84" s="534">
        <v>87069.49</v>
      </c>
      <c r="AT84" s="517">
        <f t="shared" ref="AT84" si="174">+AS84*0.02/31</f>
        <v>56.173864516129036</v>
      </c>
      <c r="AU84" s="517"/>
      <c r="AV84" s="534"/>
      <c r="AW84" s="517">
        <f t="shared" si="149"/>
        <v>0</v>
      </c>
      <c r="AX84" s="517"/>
      <c r="AY84" s="534"/>
      <c r="AZ84" s="517">
        <f t="shared" si="150"/>
        <v>0</v>
      </c>
      <c r="BA84" s="517"/>
      <c r="BB84" s="463">
        <f t="shared" si="101"/>
        <v>551472.03</v>
      </c>
      <c r="BC84" s="464">
        <f t="shared" si="101"/>
        <v>375.88630884552043</v>
      </c>
      <c r="BD84" s="465">
        <f t="shared" si="101"/>
        <v>0</v>
      </c>
      <c r="BE84" s="466"/>
      <c r="BF84" s="467">
        <f t="shared" si="151"/>
        <v>375.88630884552043</v>
      </c>
      <c r="BG84" s="520">
        <v>28163.83</v>
      </c>
      <c r="BH84" s="517">
        <f t="shared" si="152"/>
        <v>18.170212903225806</v>
      </c>
      <c r="BI84" s="517"/>
      <c r="BJ84" s="534">
        <v>0</v>
      </c>
      <c r="BK84" s="517">
        <f t="shared" si="153"/>
        <v>0</v>
      </c>
      <c r="BL84" s="517"/>
      <c r="BM84" s="534">
        <v>37108.31</v>
      </c>
      <c r="BN84" s="517">
        <f t="shared" ref="BN84" si="175">+BM84*0.02/29</f>
        <v>25.591937931034483</v>
      </c>
      <c r="BO84" s="517"/>
      <c r="BP84" s="520">
        <v>42210.15</v>
      </c>
      <c r="BQ84" s="517">
        <f t="shared" si="155"/>
        <v>24.829500000000003</v>
      </c>
      <c r="BR84" s="517"/>
      <c r="BS84" s="534">
        <v>16489.21</v>
      </c>
      <c r="BT84" s="517">
        <f t="shared" ref="BT84" si="176">+BS84*0.02/32</f>
        <v>10.30575625</v>
      </c>
      <c r="BU84" s="520">
        <f t="shared" si="157"/>
        <v>4.69424375</v>
      </c>
      <c r="BV84" s="534">
        <v>37405.74</v>
      </c>
      <c r="BW84" s="517">
        <f t="shared" si="158"/>
        <v>24.132735483870967</v>
      </c>
      <c r="BX84" s="534"/>
      <c r="BY84" s="520">
        <v>8646.86</v>
      </c>
      <c r="BZ84" s="517">
        <f t="shared" si="159"/>
        <v>5.7645733333333338</v>
      </c>
      <c r="CA84" s="517">
        <f t="shared" si="160"/>
        <v>14.235426666666665</v>
      </c>
      <c r="CB84" s="534">
        <v>0</v>
      </c>
      <c r="CC84" s="517">
        <f t="shared" si="161"/>
        <v>0</v>
      </c>
      <c r="CD84" s="517"/>
      <c r="CE84" s="520">
        <v>44429.56</v>
      </c>
      <c r="CF84" s="517">
        <f t="shared" si="170"/>
        <v>28.664232258064516</v>
      </c>
      <c r="CG84" s="517"/>
      <c r="CH84" s="534">
        <v>0</v>
      </c>
      <c r="CI84" s="517">
        <f t="shared" si="162"/>
        <v>0</v>
      </c>
      <c r="CJ84" s="517"/>
      <c r="CK84" s="534">
        <v>0</v>
      </c>
      <c r="CL84" s="517">
        <f t="shared" si="163"/>
        <v>0</v>
      </c>
      <c r="CM84" s="517"/>
      <c r="CN84" s="534">
        <v>0</v>
      </c>
      <c r="CO84" s="517">
        <f t="shared" si="164"/>
        <v>0</v>
      </c>
      <c r="CP84" s="517"/>
      <c r="CQ84" s="534">
        <v>0</v>
      </c>
      <c r="CR84" s="517">
        <f t="shared" si="165"/>
        <v>0</v>
      </c>
      <c r="CS84" s="517"/>
      <c r="CT84" s="551">
        <f t="shared" si="102"/>
        <v>214453.65999999997</v>
      </c>
      <c r="CU84" s="552">
        <f t="shared" si="102"/>
        <v>137.45894815952909</v>
      </c>
      <c r="CV84" s="553">
        <f t="shared" si="166"/>
        <v>18.929670416666667</v>
      </c>
      <c r="CW84" s="466"/>
      <c r="CX84" s="554">
        <f t="shared" si="167"/>
        <v>156.38861857619577</v>
      </c>
      <c r="CY84" s="588">
        <f t="shared" si="103"/>
        <v>765925.69</v>
      </c>
      <c r="CZ84" s="589">
        <f t="shared" si="103"/>
        <v>513.34525700504946</v>
      </c>
      <c r="DA84" s="590">
        <f t="shared" si="103"/>
        <v>18.929670416666667</v>
      </c>
      <c r="DB84" s="591">
        <f t="shared" si="168"/>
        <v>532.27492742171614</v>
      </c>
      <c r="DC84" s="1195">
        <v>107.84884823529413</v>
      </c>
      <c r="DD84" s="1196">
        <f t="shared" si="136"/>
        <v>640.12377565701024</v>
      </c>
      <c r="DE84" s="920" t="s">
        <v>865</v>
      </c>
    </row>
    <row r="85" spans="1:148" ht="16.5" thickBot="1" x14ac:dyDescent="0.3">
      <c r="A85" s="1102">
        <f t="shared" si="137"/>
        <v>77</v>
      </c>
      <c r="B85" s="1206" t="s">
        <v>195</v>
      </c>
      <c r="C85" s="922" t="s">
        <v>704</v>
      </c>
      <c r="D85" s="1207" t="s">
        <v>705</v>
      </c>
      <c r="E85" s="1208" t="s">
        <v>706</v>
      </c>
      <c r="F85" s="1199">
        <v>44451.46</v>
      </c>
      <c r="G85" s="485">
        <f>+F85*0.02/27</f>
        <v>32.927007407407409</v>
      </c>
      <c r="H85" s="485"/>
      <c r="I85" s="1199">
        <v>39749.550000000003</v>
      </c>
      <c r="J85" s="485">
        <f>+I85*0.02/29</f>
        <v>27.413482758620692</v>
      </c>
      <c r="K85" s="485"/>
      <c r="L85" s="1199">
        <v>39966.589999999997</v>
      </c>
      <c r="M85" s="485">
        <f>+L85*0.02/22</f>
        <v>36.333263636363633</v>
      </c>
      <c r="N85" s="485"/>
      <c r="O85" s="1199">
        <v>0</v>
      </c>
      <c r="P85" s="485">
        <f>+O85*0.02/40</f>
        <v>0</v>
      </c>
      <c r="Q85" s="485"/>
      <c r="R85" s="1199">
        <v>57726.71</v>
      </c>
      <c r="S85" s="485">
        <f>+R85*0.02/28</f>
        <v>41.233364285714288</v>
      </c>
      <c r="T85" s="485"/>
      <c r="U85" s="1199">
        <v>34380.17</v>
      </c>
      <c r="V85" s="485">
        <f>+U85*0.02/32</f>
        <v>21.487606249999999</v>
      </c>
      <c r="W85" s="485"/>
      <c r="X85" s="1199">
        <v>29736.53</v>
      </c>
      <c r="Y85" s="485">
        <f>+X85*0.02/25</f>
        <v>23.789224000000001</v>
      </c>
      <c r="Z85" s="485"/>
      <c r="AA85" s="1199">
        <v>30759.91</v>
      </c>
      <c r="AB85" s="485">
        <f>+AA85*0.02/30</f>
        <v>20.506606666666666</v>
      </c>
      <c r="AC85" s="485"/>
      <c r="AD85" s="1199">
        <v>87477.440000000002</v>
      </c>
      <c r="AE85" s="485">
        <f>+AD85*0.02/34</f>
        <v>51.457317647058822</v>
      </c>
      <c r="AF85" s="485"/>
      <c r="AG85" s="1199">
        <v>0</v>
      </c>
      <c r="AH85" s="485">
        <f>+AG85*0.02/40</f>
        <v>0</v>
      </c>
      <c r="AI85" s="485"/>
      <c r="AJ85" s="1209">
        <v>63104.04</v>
      </c>
      <c r="AK85" s="923">
        <f>+AJ85*0.02/34</f>
        <v>37.12002352941176</v>
      </c>
      <c r="AL85" s="485"/>
      <c r="AM85" s="1209">
        <v>37050.14</v>
      </c>
      <c r="AN85" s="923">
        <f>+AM85*0.02/27</f>
        <v>27.444548148148147</v>
      </c>
      <c r="AO85" s="485"/>
      <c r="AP85" s="1209">
        <v>0</v>
      </c>
      <c r="AQ85" s="485">
        <f>+AP85*0.02/40</f>
        <v>0</v>
      </c>
      <c r="AR85" s="485"/>
      <c r="AS85" s="1199">
        <v>87069.49</v>
      </c>
      <c r="AT85" s="485">
        <f>+AS85*0.02/31</f>
        <v>56.173864516129036</v>
      </c>
      <c r="AU85" s="485"/>
      <c r="AV85" s="1199"/>
      <c r="AW85" s="485">
        <f>+AV85*0.02/40</f>
        <v>0</v>
      </c>
      <c r="AX85" s="485"/>
      <c r="AY85" s="1199"/>
      <c r="AZ85" s="485">
        <f>+AY85*0.02/40</f>
        <v>0</v>
      </c>
      <c r="BA85" s="485"/>
      <c r="BB85" s="486">
        <f t="shared" si="101"/>
        <v>551472.03</v>
      </c>
      <c r="BC85" s="487">
        <f t="shared" si="101"/>
        <v>375.88630884552043</v>
      </c>
      <c r="BD85" s="488">
        <f t="shared" si="101"/>
        <v>0</v>
      </c>
      <c r="BE85" s="489"/>
      <c r="BF85" s="490">
        <f>+BC85+BD85-BE85</f>
        <v>375.88630884552043</v>
      </c>
      <c r="BG85" s="1199">
        <v>28163.83</v>
      </c>
      <c r="BH85" s="485">
        <f>+BG85*0.02/31</f>
        <v>18.170212903225806</v>
      </c>
      <c r="BI85" s="485"/>
      <c r="BJ85" s="1199">
        <v>0</v>
      </c>
      <c r="BK85" s="485">
        <f>+BJ85*0.02/40</f>
        <v>0</v>
      </c>
      <c r="BL85" s="485"/>
      <c r="BM85" s="1199">
        <v>37108.31</v>
      </c>
      <c r="BN85" s="485">
        <f>+BM85*0.02/29</f>
        <v>25.591937931034483</v>
      </c>
      <c r="BO85" s="485"/>
      <c r="BP85" s="1209">
        <v>42210.15</v>
      </c>
      <c r="BQ85" s="923">
        <f>+BP85*0.02/34</f>
        <v>24.829500000000003</v>
      </c>
      <c r="BR85" s="485"/>
      <c r="BS85" s="1199">
        <v>16489.21</v>
      </c>
      <c r="BT85" s="485">
        <f>+BS85*0.02/32</f>
        <v>10.30575625</v>
      </c>
      <c r="BU85" s="1199">
        <f>15-BT85</f>
        <v>4.69424375</v>
      </c>
      <c r="BV85" s="1199">
        <v>37405.74</v>
      </c>
      <c r="BW85" s="485">
        <f>+BV85*0.02/31</f>
        <v>24.132735483870967</v>
      </c>
      <c r="BX85" s="1199"/>
      <c r="BY85" s="1199">
        <v>8646.86</v>
      </c>
      <c r="BZ85" s="485">
        <f>+BY85*0.02/30</f>
        <v>5.7645733333333338</v>
      </c>
      <c r="CA85" s="485">
        <f>20-BZ85</f>
        <v>14.235426666666665</v>
      </c>
      <c r="CB85" s="1199">
        <v>0</v>
      </c>
      <c r="CC85" s="485">
        <f>+CB85*0.02/40</f>
        <v>0</v>
      </c>
      <c r="CD85" s="485"/>
      <c r="CE85" s="1199">
        <v>44429.56</v>
      </c>
      <c r="CF85" s="485">
        <f>+CE85*0.02/31</f>
        <v>28.664232258064516</v>
      </c>
      <c r="CG85" s="485"/>
      <c r="CH85" s="1199">
        <v>0</v>
      </c>
      <c r="CI85" s="485">
        <f>+CH85*0.02/40</f>
        <v>0</v>
      </c>
      <c r="CJ85" s="485"/>
      <c r="CK85" s="1199">
        <v>0</v>
      </c>
      <c r="CL85" s="485">
        <f>+CK85*0.02/40</f>
        <v>0</v>
      </c>
      <c r="CM85" s="485"/>
      <c r="CN85" s="1199">
        <v>0</v>
      </c>
      <c r="CO85" s="485">
        <f>+CN85*0.02/40</f>
        <v>0</v>
      </c>
      <c r="CP85" s="485">
        <v>20</v>
      </c>
      <c r="CQ85" s="1199">
        <v>0</v>
      </c>
      <c r="CR85" s="485">
        <f>+CQ85*0.02/40</f>
        <v>0</v>
      </c>
      <c r="CS85" s="485"/>
      <c r="CT85" s="495">
        <f>BG85+BJ85+BM85+BP85+BS85+BV85+BY85+CB85+CH85+CK85+CN85+CQ85+CE85</f>
        <v>214453.65999999997</v>
      </c>
      <c r="CU85" s="496">
        <f>BH85+BK85+BN85+BQ85+BT85+BW85+BZ85+CC85+CI85+CL85+CO85+CR85+CF85</f>
        <v>137.45894815952909</v>
      </c>
      <c r="CV85" s="497">
        <f>+BI85+BL85+BO85+BR85+BU85+BX85+CA85+CD85+CG85+CJ85+CM85+CP85+CS85</f>
        <v>38.929670416666667</v>
      </c>
      <c r="CW85" s="489"/>
      <c r="CX85" s="498">
        <f>+CU85+CV85-CW85</f>
        <v>176.38861857619577</v>
      </c>
      <c r="CY85" s="499">
        <f t="shared" si="103"/>
        <v>765925.69</v>
      </c>
      <c r="CZ85" s="500">
        <f t="shared" si="103"/>
        <v>513.34525700504946</v>
      </c>
      <c r="DA85" s="501">
        <f t="shared" si="103"/>
        <v>38.929670416666667</v>
      </c>
      <c r="DB85" s="502">
        <f>+CZ85+DA85</f>
        <v>552.27492742171614</v>
      </c>
      <c r="DC85" s="1200">
        <v>30</v>
      </c>
      <c r="DD85" s="1201">
        <f t="shared" si="136"/>
        <v>582.27492742171614</v>
      </c>
      <c r="DE85" s="920" t="s">
        <v>865</v>
      </c>
    </row>
    <row r="86" spans="1:148" ht="15.75" x14ac:dyDescent="0.25">
      <c r="A86" s="1105">
        <f t="shared" si="137"/>
        <v>78</v>
      </c>
      <c r="B86" s="1210" t="s">
        <v>81</v>
      </c>
      <c r="C86" s="1211" t="s">
        <v>756</v>
      </c>
      <c r="D86" s="1212" t="s">
        <v>608</v>
      </c>
      <c r="E86" s="1213" t="s">
        <v>609</v>
      </c>
      <c r="F86" s="1214">
        <v>3383.638190954774</v>
      </c>
      <c r="G86" s="517">
        <f>IF(F86&lt;2700,F86*0.0075,IF(F86&lt;3200,F86*0.009,IF(F86&lt;3700,F86*0.0101,IF(F86&gt;3699,F86*0.01135,""))))</f>
        <v>34.174745728643217</v>
      </c>
      <c r="H86" s="1215"/>
      <c r="I86" s="1214">
        <v>2919.075376884422</v>
      </c>
      <c r="J86" s="517">
        <f>IF(I86&lt;2700,I86*0.0075,IF(I86&lt;3200,I86*0.009,IF(I86&lt;3700,I86*0.0101,IF(I86&gt;3699,I86*0.01135,""))))</f>
        <v>26.271678391959796</v>
      </c>
      <c r="K86" s="1215"/>
      <c r="L86" s="1214">
        <v>3523.5376884422108</v>
      </c>
      <c r="M86" s="517">
        <f>IF(L86&lt;2700,L86*0.0075,IF(L86&lt;3200,L86*0.009,IF(L86&lt;3700,L86*0.0101,IF(L86&gt;3699,L86*0.01135,""))))</f>
        <v>35.587730653266327</v>
      </c>
      <c r="N86" s="1215"/>
      <c r="O86" s="1216"/>
      <c r="P86" s="1215">
        <f>IF(O86&lt;2700,O86*0.0101,IF(O86&lt;3200,O86*0.01135,IF(O86&lt;3700,O86*0.0126,IF(O86&gt;3699,O86*0.01385,""))))</f>
        <v>0</v>
      </c>
      <c r="Q86" s="1215"/>
      <c r="R86" s="1214">
        <v>0</v>
      </c>
      <c r="S86" s="1215">
        <f>IF(R86&lt;2700,R86*0.0101,IF(R86&lt;3200,R86*0.01135,IF(R86&lt;3700,R86*0.0126,IF(R86&gt;3699,R86*0.01385,""))))</f>
        <v>0</v>
      </c>
      <c r="T86" s="1215">
        <v>20</v>
      </c>
      <c r="U86" s="1214">
        <v>0</v>
      </c>
      <c r="V86" s="1215">
        <f>IF(U86&lt;2700,U86*0.0101,IF(U86&lt;3200,U86*0.01135,IF(U86&lt;3700,U86*0.0126,IF(U86&gt;3699,U86*0.01385,""))))</f>
        <v>0</v>
      </c>
      <c r="W86" s="1215">
        <v>18</v>
      </c>
      <c r="X86" s="1216">
        <v>0</v>
      </c>
      <c r="Y86" s="1215">
        <f>IF(X86&lt;2700,X86*0.0101,IF(X86&lt;3200,X86*0.01135,IF(X86&lt;3700,X86*0.0126,IF(X86&gt;3699,X86*0.01385,""))))</f>
        <v>0</v>
      </c>
      <c r="Z86" s="1215">
        <v>18</v>
      </c>
      <c r="AA86" s="1216">
        <v>0</v>
      </c>
      <c r="AB86" s="1215">
        <f>IF(AA86&lt;2700,AA86*0.0101,IF(AA86&lt;3200,AA86*0.01135,IF(AA86&lt;3700,AA86*0.0126,IF(AA86&gt;3699,AA86*0.01385,""))))</f>
        <v>0</v>
      </c>
      <c r="AC86" s="1215">
        <v>0</v>
      </c>
      <c r="AD86" s="1214">
        <v>0</v>
      </c>
      <c r="AE86" s="1215">
        <f>IF(AD86&lt;2700,AD86*0.009,IF(AD86&lt;3200,AD86*0.0101,IF(AD86&lt;3700,AD86*0.01135,IF(AD86&gt;3699,AD86*0.0126,""))))</f>
        <v>0</v>
      </c>
      <c r="AF86" s="1215">
        <v>18</v>
      </c>
      <c r="AG86" s="1214">
        <v>0</v>
      </c>
      <c r="AH86" s="1215">
        <f>IF(AG86&lt;2700,AG86*0.0101,IF(AG86&lt;3200,AG86*0.01135,IF(AG86&lt;3700,AG86*0.0126,IF(AG86&gt;3699,AG86*0.01385,""))))</f>
        <v>0</v>
      </c>
      <c r="AI86" s="1215">
        <v>18</v>
      </c>
      <c r="AJ86" s="1214">
        <v>0</v>
      </c>
      <c r="AK86" s="1215">
        <f>IF(AJ86&lt;2700,AJ86*0.009,IF(AJ86&lt;3200,AJ86*0.0101,IF(AJ86&lt;3700,AJ86*0.01135,IF(AJ86&gt;3699,AJ86*0.0126,""))))</f>
        <v>0</v>
      </c>
      <c r="AL86" s="1215">
        <v>18</v>
      </c>
      <c r="AM86" s="1214">
        <v>0</v>
      </c>
      <c r="AN86" s="1215">
        <f>IF(AM86&lt;2700,AM86*0.009,IF(AM86&lt;3200,AM86*0.0101,IF(AM86&lt;3700,AM86*0.01135,IF(AM86&gt;3699,AM86*0.0126,""))))</f>
        <v>0</v>
      </c>
      <c r="AO86" s="1215">
        <v>18</v>
      </c>
      <c r="AP86" s="1216">
        <v>0</v>
      </c>
      <c r="AQ86" s="1215">
        <f>IF(AP86&lt;2700,AP86*0.0101,IF(AP86&lt;3200,AP86*0.01135,IF(AP86&lt;3700,AP86*0.0126,IF(AP86&gt;3699,AP86*0.01385,""))))</f>
        <v>0</v>
      </c>
      <c r="AR86" s="1215">
        <v>12</v>
      </c>
      <c r="AS86" s="1214">
        <v>0</v>
      </c>
      <c r="AT86" s="1215">
        <f>IF(AS86&lt;2700,AS86*0.009,IF(AS86&lt;3200,AS86*0.0101,IF(AS86&lt;3700,AS86*0.01135,IF(AS86&gt;3699,AS86*0.0126,""))))</f>
        <v>0</v>
      </c>
      <c r="AU86" s="1215">
        <v>0</v>
      </c>
      <c r="AV86" s="1216"/>
      <c r="AW86" s="1215">
        <f>IF(AV86&lt;2700,AV86*0.0101,IF(AV86&lt;3200,AV86*0.01135,IF(AV86&lt;3700,AV86*0.0126,IF(AV86&gt;3699,AV86*0.01385,""))))</f>
        <v>0</v>
      </c>
      <c r="AX86" s="1215"/>
      <c r="AY86" s="1216"/>
      <c r="AZ86" s="1215">
        <f>IF(AY86&lt;2700,AY86*0.0101,IF(AY86&lt;3200,AY86*0.01135,IF(AY86&lt;3700,AY86*0.0126,IF(AY86&gt;3699,AY86*0.01385,""))))</f>
        <v>0</v>
      </c>
      <c r="BA86" s="1215"/>
      <c r="BB86" s="1217">
        <f t="shared" si="101"/>
        <v>9826.2512562814063</v>
      </c>
      <c r="BC86" s="1218">
        <f t="shared" si="101"/>
        <v>96.034154773869346</v>
      </c>
      <c r="BD86" s="854">
        <f t="shared" si="101"/>
        <v>140</v>
      </c>
      <c r="BE86" s="1219"/>
      <c r="BF86" s="1220">
        <f t="shared" ref="BF86:BF102" si="177">+BC86+BD86-BE86</f>
        <v>236.03415477386935</v>
      </c>
      <c r="BG86" s="1216">
        <v>0</v>
      </c>
      <c r="BH86" s="1215">
        <f>IF(BG86&lt;2700,BG86*0.0101,IF(BG86&lt;3200,BG86*0.01135,IF(BG86&lt;3700,BG86*0.0126,IF(BG86&gt;3699,BG86*0.01385,""))))</f>
        <v>0</v>
      </c>
      <c r="BI86" s="1215">
        <v>18</v>
      </c>
      <c r="BJ86" s="1216">
        <v>0</v>
      </c>
      <c r="BK86" s="1215">
        <f>IF(BJ86&lt;2700,BJ86*0.0101,IF(BJ86&lt;3200,BJ86*0.01135,IF(BJ86&lt;3700,BJ86*0.0126,IF(BJ86&gt;3699,BJ86*0.01385,""))))</f>
        <v>0</v>
      </c>
      <c r="BL86" s="1215">
        <v>12</v>
      </c>
      <c r="BM86" s="1214">
        <v>2514.3316582914572</v>
      </c>
      <c r="BN86" s="1215">
        <f>IF(BM86&lt;2700,BM86*0.009,IF(BM86&lt;3200,BM86*0.0101,IF(BM86&lt;3700,BM86*0.01135,IF(BM86&gt;3699,BM86*0.0126,""))))</f>
        <v>22.628984924623111</v>
      </c>
      <c r="BO86" s="1215"/>
      <c r="BP86" s="1214">
        <v>0</v>
      </c>
      <c r="BQ86" s="1215">
        <f>IF(BP86&lt;2700,BP86*0.0101,IF(BP86&lt;3200,BP86*0.01135,IF(BP86&lt;3700,BP86*0.0126,IF(BP86&gt;3699,BP86*0.01385,""))))</f>
        <v>0</v>
      </c>
      <c r="BR86" s="1215">
        <v>18</v>
      </c>
      <c r="BS86" s="1214">
        <v>0</v>
      </c>
      <c r="BT86" s="1215">
        <f>IF(BS86&lt;2700,BS86*0.0101,IF(BS86&lt;3200,BS86*0.01135,IF(BS86&lt;3700,BS86*0.0126,IF(BS86&gt;3699,BS86*0.01385,""))))</f>
        <v>0</v>
      </c>
      <c r="BU86" s="1215">
        <v>18</v>
      </c>
      <c r="BV86" s="1214">
        <v>2122.1306532663316</v>
      </c>
      <c r="BW86" s="1215">
        <f>IF(BV86&lt;2700,BV86*0.009,IF(BV86&lt;3200,BV86*0.0101,IF(BV86&lt;3700,BV86*0.01135,IF(BV86&gt;3699,BV86*0.0126,""))))</f>
        <v>19.099175879396984</v>
      </c>
      <c r="BX86" s="1215"/>
      <c r="BY86" s="1214">
        <v>1689.4070351758794</v>
      </c>
      <c r="BZ86" s="1215">
        <f>IF(BY86&lt;2700,BY86*0.009,IF(BY86&lt;3200,BY86*0.0101,IF(BY86&lt;3700,BY86*0.01135,IF(BY86&gt;3699,BY86*0.0126,""))))</f>
        <v>15.204663316582913</v>
      </c>
      <c r="CA86" s="1215"/>
      <c r="CB86" s="1216">
        <v>0</v>
      </c>
      <c r="CC86" s="1215">
        <f>IF(CB86&lt;2700,CB86*0.0101,IF(CB86&lt;3200,CB86*0.01135,IF(CB86&lt;3700,CB86*0.0126,IF(CB86&gt;3699,CB86*0.01385,""))))</f>
        <v>0</v>
      </c>
      <c r="CD86" s="1215">
        <v>10</v>
      </c>
      <c r="CE86" s="1214">
        <v>0</v>
      </c>
      <c r="CF86" s="1215">
        <f>IF(CE86&lt;2700,CE86*0.0101,IF(CE86&lt;3200,CE86*0.01135,IF(CE86&lt;3700,CE86*0.0126,IF(CE86&gt;3699,CE86*0.01385,""))))</f>
        <v>0</v>
      </c>
      <c r="CG86" s="1215">
        <v>18</v>
      </c>
      <c r="CH86" s="1216">
        <v>0</v>
      </c>
      <c r="CI86" s="1215">
        <f>IF(CH86&lt;2700,CH86*0.0101,IF(CH86&lt;3200,CH86*0.01135,IF(CH86&lt;3700,CH86*0.0126,IF(CH86&gt;3699,CH86*0.01385,""))))</f>
        <v>0</v>
      </c>
      <c r="CJ86" s="1215">
        <v>18</v>
      </c>
      <c r="CK86" s="1216">
        <v>0</v>
      </c>
      <c r="CL86" s="1215">
        <f>IF(CK86&lt;2700,CK86*0.0101,IF(CK86&lt;3200,CK86*0.01135,IF(CK86&lt;3700,CK86*0.0126,IF(CK86&gt;3699,CK86*0.01385,""))))</f>
        <v>0</v>
      </c>
      <c r="CM86" s="1215"/>
      <c r="CN86" s="1216">
        <v>0</v>
      </c>
      <c r="CO86" s="1215">
        <f>IF(CN86&lt;2700,CN86*0.0101,IF(CN86&lt;3200,CN86*0.01135,IF(CN86&lt;3700,CN86*0.0126,IF(CN86&gt;3699,CN86*0.01385,""))))</f>
        <v>0</v>
      </c>
      <c r="CP86" s="1215"/>
      <c r="CQ86" s="1216">
        <v>0</v>
      </c>
      <c r="CR86" s="1215">
        <f>IF(CQ86&lt;2700,CQ86*0.0101,IF(CQ86&lt;3200,CQ86*0.01135,IF(CQ86&lt;3700,CQ86*0.0126,IF(CQ86&gt;3699,CQ86*0.01385,""))))</f>
        <v>0</v>
      </c>
      <c r="CS86" s="1215"/>
      <c r="CT86" s="469">
        <f t="shared" ref="CT86:CU91" si="178">BG86+BJ86+BM86+BP86+BS86+BV86+BY86+CB86+CH86+CK86+CN86+CQ86+CE86</f>
        <v>6325.869346733668</v>
      </c>
      <c r="CU86" s="470">
        <f t="shared" si="178"/>
        <v>56.932824120603001</v>
      </c>
      <c r="CV86" s="471">
        <f t="shared" ref="CV86:CV100" si="179">+BI86+BL86+BO86+BR86+BU86+BX86+CA86+CD86+CG86+CJ86+CM86+CP86+CS86</f>
        <v>112</v>
      </c>
      <c r="CW86" s="1219"/>
      <c r="CX86" s="473">
        <f t="shared" ref="CX86:CX100" si="180">+CU86+CV86-CW86</f>
        <v>168.93282412060302</v>
      </c>
      <c r="CY86" s="474">
        <f t="shared" si="103"/>
        <v>16152.120603015075</v>
      </c>
      <c r="CZ86" s="475">
        <f t="shared" si="103"/>
        <v>152.96697889447233</v>
      </c>
      <c r="DA86" s="476">
        <f t="shared" si="103"/>
        <v>252</v>
      </c>
      <c r="DB86" s="477">
        <f t="shared" ref="DB86:DB100" si="181">+CZ86+DA86</f>
        <v>404.96697889447233</v>
      </c>
      <c r="DC86" s="1221">
        <v>60.93</v>
      </c>
      <c r="DD86" s="1204">
        <f t="shared" si="136"/>
        <v>465.89697889447234</v>
      </c>
      <c r="DE86" s="920" t="s">
        <v>866</v>
      </c>
    </row>
    <row r="87" spans="1:148" s="571" customFormat="1" ht="15.75" x14ac:dyDescent="0.25">
      <c r="A87" s="454">
        <f t="shared" si="137"/>
        <v>79</v>
      </c>
      <c r="B87" s="972" t="s">
        <v>145</v>
      </c>
      <c r="C87" s="750" t="s">
        <v>756</v>
      </c>
      <c r="D87" s="574" t="s">
        <v>547</v>
      </c>
      <c r="E87" s="575" t="s">
        <v>548</v>
      </c>
      <c r="F87" s="576">
        <v>3591.0753768844224</v>
      </c>
      <c r="G87" s="517">
        <f>IF(F87&lt;2700,F87*0.0075,IF(F87&lt;3200,F87*0.009,IF(F87&lt;3700,F87*0.0101,IF(F87&gt;3699,F87*0.01135,""))))</f>
        <v>36.269861306532668</v>
      </c>
      <c r="H87" s="577"/>
      <c r="I87" s="576">
        <v>2202.6934673366836</v>
      </c>
      <c r="J87" s="517">
        <f>IF(I87&lt;2700,I87*0.0075,IF(I87&lt;3200,I87*0.009,IF(I87&lt;3700,I87*0.0101,IF(I87&gt;3699,I87*0.01135,""))))</f>
        <v>16.520201005025125</v>
      </c>
      <c r="K87" s="577">
        <v>5</v>
      </c>
      <c r="L87" s="576">
        <v>3606.0301507537688</v>
      </c>
      <c r="M87" s="517">
        <f>IF(L87&lt;2700,L87*0.0075,IF(L87&lt;3200,L87*0.009,IF(L87&lt;3700,L87*0.0101,IF(L87&gt;3699,L87*0.01135,""))))</f>
        <v>36.420904522613064</v>
      </c>
      <c r="N87" s="577"/>
      <c r="O87" s="578"/>
      <c r="P87" s="517">
        <f>IF(O87&lt;2700,O87*0.0101,IF(O87&lt;3200,O87*0.01135,IF(O87&lt;3700,O87*0.0126,IF(O87&gt;3699,O87*0.01385,""))))</f>
        <v>0</v>
      </c>
      <c r="Q87" s="577"/>
      <c r="R87" s="579">
        <v>0</v>
      </c>
      <c r="S87" s="517">
        <f>IF(R87&lt;2700,R87*0.009,IF(R87&lt;3200,R87*0.0101,IF(R87&lt;3700,R87*0.01135,IF(R87&gt;3699,R87*0.0126,""))))</f>
        <v>0</v>
      </c>
      <c r="T87" s="580">
        <v>18</v>
      </c>
      <c r="U87" s="579">
        <v>0</v>
      </c>
      <c r="V87" s="517">
        <f>IF(U87&lt;2700,U87*0.009,IF(U87&lt;3200,U87*0.0101,IF(U87&lt;3700,U87*0.01135,IF(U87&gt;3699,U87*0.0126,""))))</f>
        <v>0</v>
      </c>
      <c r="W87" s="580">
        <v>18</v>
      </c>
      <c r="X87" s="579">
        <v>0</v>
      </c>
      <c r="Y87" s="517">
        <f>IF(X87&lt;2700,X87*0.009,IF(X87&lt;3200,X87*0.0101,IF(X87&lt;3700,X87*0.01135,IF(X87&gt;3699,X87*0.0126,""))))</f>
        <v>0</v>
      </c>
      <c r="Z87" s="580">
        <v>18</v>
      </c>
      <c r="AA87" s="579">
        <v>0</v>
      </c>
      <c r="AB87" s="517">
        <f>IF(AA87&lt;2700,AA87*0.009,IF(AA87&lt;3200,AA87*0.0101,IF(AA87&lt;3700,AA87*0.01135,IF(AA87&gt;3699,AA87*0.0126,""))))</f>
        <v>0</v>
      </c>
      <c r="AC87" s="580">
        <v>18</v>
      </c>
      <c r="AD87" s="579">
        <v>0</v>
      </c>
      <c r="AE87" s="517">
        <f>IF(AD87&lt;2700,AD87*0.009,IF(AD87&lt;3200,AD87*0.0101,IF(AD87&lt;3700,AD87*0.01135,IF(AD87&gt;3699,AD87*0.0126,""))))</f>
        <v>0</v>
      </c>
      <c r="AF87" s="580">
        <v>18</v>
      </c>
      <c r="AG87" s="579">
        <v>0</v>
      </c>
      <c r="AH87" s="517">
        <f>IF(AG87&lt;2700,AG87*0.0101,IF(AG87&lt;3200,AG87*0.01135,IF(AG87&lt;3700,AG87*0.0126,IF(AG87&gt;3699,AG87*0.01385,""))))</f>
        <v>0</v>
      </c>
      <c r="AI87" s="580">
        <v>18</v>
      </c>
      <c r="AJ87" s="576">
        <v>0</v>
      </c>
      <c r="AK87" s="517">
        <f>IF(AJ87&lt;2700,AJ87*0.009,IF(AJ87&lt;3200,AJ87*0.0101,IF(AJ87&lt;3700,AJ87*0.01135,IF(AJ87&gt;3699,AJ87*0.0126,""))))</f>
        <v>0</v>
      </c>
      <c r="AL87" s="577">
        <v>18</v>
      </c>
      <c r="AM87" s="576">
        <v>0</v>
      </c>
      <c r="AN87" s="517">
        <f>IF(AM87&lt;2700,AM87*0.009,IF(AM87&lt;3200,AM87*0.0101,IF(AM87&lt;3700,AM87*0.01135,IF(AM87&gt;3699,AM87*0.0126,""))))</f>
        <v>0</v>
      </c>
      <c r="AO87" s="577">
        <v>18</v>
      </c>
      <c r="AP87" s="576">
        <v>0</v>
      </c>
      <c r="AQ87" s="517">
        <f>IF(AP87&lt;2700,AP87*0.0101,IF(AP87&lt;3200,AP87*0.01135,IF(AP87&lt;3700,AP87*0.0126,IF(AP87&gt;3699,AP87*0.01385,""))))</f>
        <v>0</v>
      </c>
      <c r="AR87" s="577">
        <v>18</v>
      </c>
      <c r="AS87" s="576">
        <v>0</v>
      </c>
      <c r="AT87" s="517">
        <f>IF(AS87&lt;2700,AS87*0.009,IF(AS87&lt;3200,AS87*0.0101,IF(AS87&lt;3700,AS87*0.01135,IF(AS87&gt;3699,AS87*0.0126,""))))</f>
        <v>0</v>
      </c>
      <c r="AU87" s="577">
        <v>18</v>
      </c>
      <c r="AV87" s="578"/>
      <c r="AW87" s="517">
        <f>IF(AV87&lt;2700,AV87*0.0101,IF(AV87&lt;3200,AV87*0.01135,IF(AV87&lt;3700,AV87*0.0126,IF(AV87&gt;3699,AV87*0.01385,""))))</f>
        <v>0</v>
      </c>
      <c r="AX87" s="577"/>
      <c r="AY87" s="578"/>
      <c r="AZ87" s="517">
        <f>IF(AY87&lt;2700,AY87*0.0101,IF(AY87&lt;3200,AY87*0.01135,IF(AY87&lt;3700,AY87*0.0126,IF(AY87&gt;3699,AY87*0.01385,""))))</f>
        <v>0</v>
      </c>
      <c r="BA87" s="577"/>
      <c r="BB87" s="581">
        <f t="shared" si="101"/>
        <v>9399.7989949748735</v>
      </c>
      <c r="BC87" s="582">
        <f t="shared" si="101"/>
        <v>89.210966834170847</v>
      </c>
      <c r="BD87" s="465">
        <f t="shared" si="101"/>
        <v>185</v>
      </c>
      <c r="BE87" s="587"/>
      <c r="BF87" s="637">
        <f t="shared" si="177"/>
        <v>274.21096683417085</v>
      </c>
      <c r="BG87" s="578">
        <v>0</v>
      </c>
      <c r="BH87" s="517">
        <f>IF(BG87&lt;2700,BG87*0.009,IF(BG87&lt;3200,BG87*0.0101,IF(BG87&lt;3700,BG87*0.01135,IF(BG87&gt;3699,BG87*0.0126,""))))</f>
        <v>0</v>
      </c>
      <c r="BI87" s="577">
        <v>18</v>
      </c>
      <c r="BJ87" s="578">
        <v>0</v>
      </c>
      <c r="BK87" s="585">
        <f>IF(BJ87&lt;2700,BJ87*0.0101,IF(BJ87&lt;3200,BJ87*0.01135,IF(BJ87&lt;3700,BJ87*0.0126,IF(BJ87&gt;3699,BJ87*0.01385,""))))</f>
        <v>0</v>
      </c>
      <c r="BL87" s="586">
        <v>0</v>
      </c>
      <c r="BM87" s="576">
        <v>2175.1959798994972</v>
      </c>
      <c r="BN87" s="517">
        <f>IF(BM87&lt;2700,BM87*0.009,IF(BM87&lt;3200,BM87*0.0101,IF(BM87&lt;3700,BM87*0.01135,IF(BM87&gt;3699,BM87*0.0126,""))))</f>
        <v>19.576763819095472</v>
      </c>
      <c r="BO87" s="577"/>
      <c r="BP87" s="576">
        <v>2744.9246231155776</v>
      </c>
      <c r="BQ87" s="517">
        <f>IF(BP87&lt;2700,BP87*0.009,IF(BP87&lt;3200,BP87*0.0101,IF(BP87&lt;3700,BP87*0.01135,IF(BP87&gt;3699,BP87*0.0126,""))))</f>
        <v>27.723738693467332</v>
      </c>
      <c r="BR87" s="577"/>
      <c r="BS87" s="576">
        <v>2624.8040201005028</v>
      </c>
      <c r="BT87" s="517">
        <f>IF(BS87&lt;2700,BS87*0.009,IF(BS87&lt;3200,BS87*0.0101,IF(BS87&lt;3700,BS87*0.01135,IF(BS87&gt;3699,BS87*0.0126,""))))</f>
        <v>23.623236180904524</v>
      </c>
      <c r="BU87" s="577"/>
      <c r="BV87" s="576">
        <v>2994.3316582914572</v>
      </c>
      <c r="BW87" s="517">
        <f>IF(BV87&lt;2700,BV87*0.009,IF(BV87&lt;3200,BV87*0.0101,IF(BV87&lt;3700,BV87*0.01135,IF(BV87&gt;3699,BV87*0.0126,""))))</f>
        <v>30.242749748743716</v>
      </c>
      <c r="BX87" s="577"/>
      <c r="BY87" s="576">
        <v>1798.4321608040202</v>
      </c>
      <c r="BZ87" s="517">
        <f>IF(BY87&lt;2700,BY87*0.009,IF(BY87&lt;3200,BY87*0.0101,IF(BY87&lt;3700,BY87*0.01135,IF(BY87&gt;3699,BY87*0.0126,""))))</f>
        <v>16.185889447236182</v>
      </c>
      <c r="CA87" s="577"/>
      <c r="CB87" s="578">
        <v>0</v>
      </c>
      <c r="CC87" s="517">
        <f>IF(CB87&lt;2700,CB87*0.0101,IF(CB87&lt;3200,CB87*0.01135,IF(CB87&lt;3700,CB87*0.0126,IF(CB87&gt;3699,CB87*0.01385,""))))</f>
        <v>0</v>
      </c>
      <c r="CD87" s="577">
        <v>10</v>
      </c>
      <c r="CE87" s="576">
        <v>2936.4422110552769</v>
      </c>
      <c r="CF87" s="517">
        <f>IF(CE87&lt;2700,CE87*0.009,IF(CE87&lt;3200,CE87*0.0101,IF(CE87&lt;3700,CE87*0.01135,IF(CE87&gt;3699,CE87*0.0126,""))))</f>
        <v>29.658066331658294</v>
      </c>
      <c r="CG87" s="577"/>
      <c r="CH87" s="578">
        <v>0</v>
      </c>
      <c r="CI87" s="517">
        <f>IF(CH87&lt;2700,CH87*0.0101,IF(CH87&lt;3200,CH87*0.01135,IF(CH87&lt;3700,CH87*0.0126,IF(CH87&gt;3699,CH87*0.01385,""))))</f>
        <v>0</v>
      </c>
      <c r="CJ87" s="577">
        <v>18</v>
      </c>
      <c r="CK87" s="578">
        <v>0</v>
      </c>
      <c r="CL87" s="517">
        <f>IF(CK87&lt;2700,CK87*0.0101,IF(CK87&lt;3200,CK87*0.01135,IF(CK87&lt;3700,CK87*0.0126,IF(CK87&gt;3699,CK87*0.01385,""))))</f>
        <v>0</v>
      </c>
      <c r="CM87" s="577">
        <v>18</v>
      </c>
      <c r="CN87" s="578">
        <v>0</v>
      </c>
      <c r="CO87" s="517">
        <f>IF(CN87&lt;2700,CN87*0.0101,IF(CN87&lt;3200,CN87*0.01135,IF(CN87&lt;3700,CN87*0.0126,IF(CN87&gt;3699,CN87*0.01385,""))))</f>
        <v>0</v>
      </c>
      <c r="CP87" s="577">
        <v>18</v>
      </c>
      <c r="CQ87" s="578">
        <v>0</v>
      </c>
      <c r="CR87" s="517">
        <f>IF(CQ87&lt;2700,CQ87*0.0101,IF(CQ87&lt;3200,CQ87*0.01135,IF(CQ87&lt;3700,CQ87*0.0126,IF(CQ87&gt;3699,CQ87*0.01385,""))))</f>
        <v>0</v>
      </c>
      <c r="CS87" s="577">
        <v>18</v>
      </c>
      <c r="CT87" s="551">
        <f t="shared" si="178"/>
        <v>15274.130653266333</v>
      </c>
      <c r="CU87" s="552">
        <f t="shared" si="178"/>
        <v>147.01044422110553</v>
      </c>
      <c r="CV87" s="553">
        <f t="shared" si="179"/>
        <v>100</v>
      </c>
      <c r="CW87" s="587"/>
      <c r="CX87" s="554">
        <f t="shared" si="180"/>
        <v>247.01044422110553</v>
      </c>
      <c r="CY87" s="555">
        <f t="shared" si="103"/>
        <v>24673.929648241206</v>
      </c>
      <c r="CZ87" s="556">
        <f t="shared" si="103"/>
        <v>236.22141105527638</v>
      </c>
      <c r="DA87" s="557">
        <f t="shared" si="103"/>
        <v>285</v>
      </c>
      <c r="DB87" s="558">
        <f t="shared" si="181"/>
        <v>521.22141105527635</v>
      </c>
      <c r="DC87" s="1222">
        <v>60.15</v>
      </c>
      <c r="DD87" s="1196">
        <f t="shared" si="136"/>
        <v>581.37141105527633</v>
      </c>
      <c r="DE87" s="920" t="s">
        <v>865</v>
      </c>
      <c r="DF87" s="570"/>
      <c r="DG87" s="570"/>
      <c r="DH87" s="570"/>
      <c r="DI87" s="570"/>
      <c r="DJ87" s="570"/>
      <c r="DK87" s="570"/>
      <c r="DL87" s="570"/>
      <c r="DM87" s="570"/>
      <c r="DN87" s="570"/>
      <c r="DO87" s="570"/>
      <c r="DP87" s="570"/>
      <c r="DQ87" s="570"/>
      <c r="DR87" s="570"/>
      <c r="DS87" s="570"/>
      <c r="DT87" s="570"/>
      <c r="DU87" s="570"/>
      <c r="DV87" s="570"/>
      <c r="DW87" s="570"/>
      <c r="DX87" s="570"/>
      <c r="DY87" s="570"/>
      <c r="DZ87" s="570"/>
      <c r="EA87" s="570"/>
      <c r="EB87" s="570"/>
      <c r="EC87" s="570"/>
      <c r="ED87" s="570"/>
      <c r="EE87" s="570"/>
      <c r="EF87" s="570"/>
      <c r="EG87" s="570"/>
      <c r="EH87" s="570"/>
      <c r="EI87" s="570"/>
      <c r="EJ87" s="570"/>
      <c r="EK87" s="570"/>
      <c r="EL87" s="570"/>
      <c r="EM87" s="570"/>
      <c r="EN87" s="570"/>
      <c r="EO87" s="570"/>
      <c r="EP87" s="570"/>
      <c r="EQ87" s="570"/>
      <c r="ER87" s="570"/>
    </row>
    <row r="88" spans="1:148" s="571" customFormat="1" ht="15.75" x14ac:dyDescent="0.25">
      <c r="A88" s="454">
        <f t="shared" si="137"/>
        <v>80</v>
      </c>
      <c r="B88" s="972" t="s">
        <v>71</v>
      </c>
      <c r="C88" s="750" t="s">
        <v>756</v>
      </c>
      <c r="D88" s="635" t="s">
        <v>566</v>
      </c>
      <c r="E88" s="636" t="s">
        <v>567</v>
      </c>
      <c r="F88" s="576">
        <v>3383.638190954774</v>
      </c>
      <c r="G88" s="517">
        <f>IF(F88&lt;2700,F88*0.007,IF(F88&lt;3200,F88*0.008,IF(F88&lt;3700,F88*0.0097,IF(F88&gt;3699,F88*0.01095,""))))</f>
        <v>32.821290452261309</v>
      </c>
      <c r="H88" s="517"/>
      <c r="I88" s="576">
        <v>2919.075376884422</v>
      </c>
      <c r="J88" s="517">
        <f>IF(I88&lt;2700,I88*0.007,IF(I88&lt;3200,I88*0.008,IF(I88&lt;3700,I88*0.0097,IF(I88&gt;3699,I88*0.01095,""))))</f>
        <v>23.352603015075378</v>
      </c>
      <c r="K88" s="517"/>
      <c r="L88" s="576">
        <v>3692.86432160804</v>
      </c>
      <c r="M88" s="517">
        <f>IF(L88&lt;2700,L88*0.007,IF(L88&lt;3200,L88*0.008,IF(L88&lt;3700,L88*0.0097,IF(L88&gt;3699,L88*0.01095,""))))</f>
        <v>35.820783919597986</v>
      </c>
      <c r="N88" s="517"/>
      <c r="O88" s="578"/>
      <c r="P88" s="517">
        <f>IF(O88&lt;2700,O88*0.0097,IF(O88&lt;3200,O88*0.01095,IF(O88&lt;3700,O88*0.0122,IF(O88&gt;3699,O88*0.01345,""))))</f>
        <v>0</v>
      </c>
      <c r="Q88" s="517"/>
      <c r="R88" s="576">
        <v>0</v>
      </c>
      <c r="S88" s="517">
        <f>IF(R88&lt;2700,R88*0.0097,IF(R88&lt;3200,R88*0.01095,IF(R88&lt;3700,R88*0.0122,IF(R88&gt;3699,R88*0.01345,""))))</f>
        <v>0</v>
      </c>
      <c r="T88" s="517"/>
      <c r="U88" s="576">
        <v>0</v>
      </c>
      <c r="V88" s="517">
        <f>IF(U88&lt;2700,U88*0.0097,IF(U88&lt;3200,U88*0.01095,IF(U88&lt;3700,U88*0.0122,IF(U88&gt;3699,U88*0.01345,""))))</f>
        <v>0</v>
      </c>
      <c r="W88" s="517">
        <v>20</v>
      </c>
      <c r="X88" s="578">
        <v>0</v>
      </c>
      <c r="Y88" s="517">
        <f>IF(X88&lt;2700,X88*0.0097,IF(X88&lt;3200,X88*0.01095,IF(X88&lt;3700,X88*0.0122,IF(X88&gt;3699,X88*0.01345,""))))</f>
        <v>0</v>
      </c>
      <c r="Z88" s="517">
        <v>20</v>
      </c>
      <c r="AA88" s="578">
        <v>0</v>
      </c>
      <c r="AB88" s="517">
        <f>IF(AA88&lt;2700,AA88*0.0097,IF(AA88&lt;3200,AA88*0.01095,IF(AA88&lt;3700,AA88*0.0122,IF(AA88&gt;3699,AA88*0.01345,""))))</f>
        <v>0</v>
      </c>
      <c r="AC88" s="517">
        <v>18</v>
      </c>
      <c r="AD88" s="576">
        <v>0</v>
      </c>
      <c r="AE88" s="517">
        <f>IF(AD88&lt;2700,AD88*0.0097,IF(AD88&lt;3200,AD88*0.01095,IF(AD88&lt;3700,AD88*0.0122,IF(AD88&gt;3699,AD88*0.01345,""))))</f>
        <v>0</v>
      </c>
      <c r="AF88" s="517">
        <v>18</v>
      </c>
      <c r="AG88" s="576">
        <v>0</v>
      </c>
      <c r="AH88" s="517">
        <f>IF(AG88&lt;2700,AG88*0.0097,IF(AG88&lt;3200,AG88*0.01095,IF(AG88&lt;3700,AG88*0.0122,IF(AG88&gt;3699,AG88*0.01345,""))))</f>
        <v>0</v>
      </c>
      <c r="AI88" s="517">
        <v>18</v>
      </c>
      <c r="AJ88" s="576">
        <v>0</v>
      </c>
      <c r="AK88" s="517">
        <f>IF(AJ88&lt;2700,AJ88*0.0097,IF(AJ88&lt;3200,AJ88*0.01095,IF(AJ88&lt;3700,AJ88*0.0122,IF(AJ88&gt;3699,AJ88*0.01345,""))))</f>
        <v>0</v>
      </c>
      <c r="AL88" s="517">
        <v>18</v>
      </c>
      <c r="AM88" s="576">
        <v>0</v>
      </c>
      <c r="AN88" s="517">
        <f>IF(AM88&lt;2700,AM88*0.0097,IF(AM88&lt;3200,AM88*0.01095,IF(AM88&lt;3700,AM88*0.0122,IF(AM88&gt;3699,AM88*0.01345,""))))</f>
        <v>0</v>
      </c>
      <c r="AO88" s="517">
        <v>18</v>
      </c>
      <c r="AP88" s="576">
        <v>0</v>
      </c>
      <c r="AQ88" s="517">
        <f>IF(AP88&lt;2700,AP88*0.0097,IF(AP88&lt;3200,AP88*0.01095,IF(AP88&lt;3700,AP88*0.0122,IF(AP88&gt;3699,AP88*0.01345,""))))</f>
        <v>0</v>
      </c>
      <c r="AR88" s="517">
        <v>18</v>
      </c>
      <c r="AS88" s="576">
        <v>3106.7336683417079</v>
      </c>
      <c r="AT88" s="517">
        <f>IF(AS88&lt;2700,AS88*0.007,IF(AS88&lt;3200,AS88*0.008,IF(AS88&lt;3700,AS88*0.0097,IF(AS88&gt;3699,AS88*0.01095,""))))</f>
        <v>24.853869346733664</v>
      </c>
      <c r="AU88" s="517"/>
      <c r="AV88" s="578"/>
      <c r="AW88" s="517">
        <f>IF(AV88&lt;2700,AV88*0.0097,IF(AV88&lt;3200,AV88*0.01095,IF(AV88&lt;3700,AV88*0.0122,IF(AV88&gt;3699,AV88*0.01345,""))))</f>
        <v>0</v>
      </c>
      <c r="AX88" s="517"/>
      <c r="AY88" s="578"/>
      <c r="AZ88" s="517">
        <f>IF(AY88&lt;2700,AY88*0.0097,IF(AY88&lt;3200,AY88*0.01095,IF(AY88&lt;3700,AY88*0.0122,IF(AY88&gt;3699,AY88*0.01345,""))))</f>
        <v>0</v>
      </c>
      <c r="BA88" s="517"/>
      <c r="BB88" s="581">
        <f t="shared" si="101"/>
        <v>13102.311557788944</v>
      </c>
      <c r="BC88" s="582">
        <f t="shared" si="101"/>
        <v>116.84854673366833</v>
      </c>
      <c r="BD88" s="465">
        <f t="shared" si="101"/>
        <v>148</v>
      </c>
      <c r="BE88" s="587"/>
      <c r="BF88" s="637">
        <f t="shared" si="177"/>
        <v>264.84854673366834</v>
      </c>
      <c r="BG88" s="578">
        <v>3482.0502512562812</v>
      </c>
      <c r="BH88" s="517">
        <f>IF(BG88&lt;2700,BG88*0.008,IF(BG88&lt;3200,BG88*0.0097,IF(BG88&lt;3700,BG88*0.01095,IF(BG88&gt;3699,BG88*0.0122,""))))</f>
        <v>38.128450251256275</v>
      </c>
      <c r="BI88" s="517"/>
      <c r="BJ88" s="578">
        <v>0</v>
      </c>
      <c r="BK88" s="517">
        <f>IF(BJ88&lt;2700,BJ88*0.0097,IF(BJ88&lt;3200,BJ88*0.01095,IF(BJ88&lt;3700,BJ88*0.0122,IF(BJ88&gt;3699,BJ88*0.01345,""))))</f>
        <v>0</v>
      </c>
      <c r="BL88" s="517">
        <v>12</v>
      </c>
      <c r="BM88" s="618">
        <v>3126.0301507537688</v>
      </c>
      <c r="BN88" s="517">
        <f>IF(BM88&lt;2700,BM88*0.008,IF(BM88&lt;3200,BM88*0.0097,IF(BM88&lt;3700,BM88*0.01095,IF(BM88&gt;3699,BM88*0.0122,""))))</f>
        <v>30.322492462311558</v>
      </c>
      <c r="BO88" s="599"/>
      <c r="BP88" s="618">
        <v>2573.1859296482412</v>
      </c>
      <c r="BQ88" s="517">
        <f>IF(BP88&lt;2700,BP88*0.008,IF(BP88&lt;3200,BP88*0.0097,IF(BP88&lt;3700,BP88*0.01095,IF(BP88&gt;3699,BP88*0.0122,""))))</f>
        <v>20.585487437185929</v>
      </c>
      <c r="BR88" s="599"/>
      <c r="BS88" s="618">
        <v>2940.78391959799</v>
      </c>
      <c r="BT88" s="517">
        <f>IF(BS88&lt;2700,BS88*0.008,IF(BS88&lt;3200,BS88*0.0097,IF(BS88&lt;3700,BS88*0.01095,IF(BS88&gt;3699,BS88*0.0122,""))))</f>
        <v>28.525604020100506</v>
      </c>
      <c r="BU88" s="599"/>
      <c r="BV88" s="618">
        <v>2406.2713567839196</v>
      </c>
      <c r="BW88" s="517">
        <f>IF(BV88&lt;2700,BV88*0.008,IF(BV88&lt;3200,BV88*0.0097,IF(BV88&lt;3700,BV88*0.01095,IF(BV88&gt;3699,BV88*0.0122,""))))</f>
        <v>19.250170854271357</v>
      </c>
      <c r="BX88" s="599"/>
      <c r="BY88" s="576">
        <v>1267.778894472362</v>
      </c>
      <c r="BZ88" s="517">
        <f>IF(BY88&lt;2700,BY88*0.008,IF(BY88&lt;3200,BY88*0.0097,IF(BY88&lt;3700,BY88*0.01095,IF(BY88&gt;3699,BY88*0.0122,""))))</f>
        <v>10.142231155778896</v>
      </c>
      <c r="CA88" s="517"/>
      <c r="CB88" s="578">
        <v>0</v>
      </c>
      <c r="CC88" s="517">
        <f>IF(CB88&lt;2700,CB88*0.0097,IF(CB88&lt;3200,CB88*0.01095,IF(CB88&lt;3700,CB88*0.0122,IF(CB88&gt;3699,CB88*0.01345,""))))</f>
        <v>0</v>
      </c>
      <c r="CD88" s="517">
        <v>10</v>
      </c>
      <c r="CE88" s="576">
        <v>3016.0402010050248</v>
      </c>
      <c r="CF88" s="517">
        <f>IF(CE88&lt;2700,CE88*0.008,IF(CE88&lt;3200,CE88*0.0097,IF(CE88&lt;3700,CE88*0.01095,IF(CE88&gt;3699,CE88*0.0122,""))))</f>
        <v>29.255589949748742</v>
      </c>
      <c r="CG88" s="517"/>
      <c r="CH88" s="578">
        <v>0</v>
      </c>
      <c r="CI88" s="517">
        <f>IF(CH88&lt;2700,CH88*0.0097,IF(CH88&lt;3200,CH88*0.01095,IF(CH88&lt;3700,CH88*0.0122,IF(CH88&gt;3699,CH88*0.01345,""))))</f>
        <v>0</v>
      </c>
      <c r="CJ88" s="517">
        <v>18</v>
      </c>
      <c r="CK88" s="578">
        <v>0</v>
      </c>
      <c r="CL88" s="517">
        <f>IF(CK88&lt;2700,CK88*0.0097,IF(CK88&lt;3200,CK88*0.01095,IF(CK88&lt;3700,CK88*0.0122,IF(CK88&gt;3699,CK88*0.01345,""))))</f>
        <v>0</v>
      </c>
      <c r="CM88" s="517"/>
      <c r="CN88" s="620">
        <v>0</v>
      </c>
      <c r="CO88" s="517">
        <f>IF(CN88&lt;2700,CN88*0.0097,IF(CN88&lt;3200,CN88*0.01095,IF(CN88&lt;3700,CN88*0.0122,IF(CN88&gt;3699,CN88*0.01345,""))))</f>
        <v>0</v>
      </c>
      <c r="CP88" s="517"/>
      <c r="CQ88" s="620">
        <v>0</v>
      </c>
      <c r="CR88" s="517">
        <f>IF(CQ88&lt;2700,CQ88*0.0097,IF(CQ88&lt;3200,CQ88*0.01095,IF(CQ88&lt;3700,CQ88*0.0122,IF(CQ88&gt;3699,CQ88*0.01345,""))))</f>
        <v>0</v>
      </c>
      <c r="CS88" s="517"/>
      <c r="CT88" s="551">
        <f t="shared" si="178"/>
        <v>18812.140703517587</v>
      </c>
      <c r="CU88" s="552">
        <f t="shared" si="178"/>
        <v>176.21002613065326</v>
      </c>
      <c r="CV88" s="553">
        <f t="shared" si="179"/>
        <v>40</v>
      </c>
      <c r="CW88" s="587"/>
      <c r="CX88" s="554">
        <f t="shared" si="180"/>
        <v>216.21002613065326</v>
      </c>
      <c r="CY88" s="555">
        <f t="shared" si="103"/>
        <v>31914.452261306531</v>
      </c>
      <c r="CZ88" s="556">
        <f t="shared" si="103"/>
        <v>293.0585728643216</v>
      </c>
      <c r="DA88" s="557">
        <f t="shared" si="103"/>
        <v>188</v>
      </c>
      <c r="DB88" s="558">
        <f t="shared" si="181"/>
        <v>481.0585728643216</v>
      </c>
      <c r="DC88" s="1222">
        <v>58.51</v>
      </c>
      <c r="DD88" s="1196">
        <f t="shared" si="136"/>
        <v>539.5685728643216</v>
      </c>
      <c r="DE88" s="920" t="s">
        <v>865</v>
      </c>
      <c r="DF88" s="570"/>
      <c r="DG88" s="570"/>
      <c r="DH88" s="570"/>
      <c r="DI88" s="570"/>
      <c r="DJ88" s="570"/>
      <c r="DK88" s="570"/>
      <c r="DL88" s="570"/>
      <c r="DM88" s="570"/>
      <c r="DN88" s="570"/>
      <c r="DO88" s="570"/>
      <c r="DP88" s="570"/>
      <c r="DQ88" s="570"/>
      <c r="DR88" s="570"/>
      <c r="DS88" s="570"/>
      <c r="DT88" s="570"/>
      <c r="DU88" s="570"/>
      <c r="DV88" s="570"/>
      <c r="DW88" s="570"/>
      <c r="DX88" s="570"/>
      <c r="DY88" s="570"/>
      <c r="DZ88" s="570"/>
      <c r="EA88" s="570"/>
      <c r="EB88" s="570"/>
      <c r="EC88" s="570"/>
      <c r="ED88" s="570"/>
      <c r="EE88" s="570"/>
      <c r="EF88" s="570"/>
      <c r="EG88" s="570"/>
      <c r="EH88" s="570"/>
      <c r="EI88" s="570"/>
      <c r="EJ88" s="570"/>
      <c r="EK88" s="570"/>
      <c r="EL88" s="570"/>
      <c r="EM88" s="570"/>
      <c r="EN88" s="570"/>
      <c r="EO88" s="570"/>
      <c r="EP88" s="570"/>
      <c r="EQ88" s="570"/>
      <c r="ER88" s="570"/>
    </row>
    <row r="89" spans="1:148" ht="15.75" x14ac:dyDescent="0.25">
      <c r="A89" s="454">
        <f t="shared" si="137"/>
        <v>81</v>
      </c>
      <c r="B89" s="962" t="s">
        <v>69</v>
      </c>
      <c r="C89" s="748" t="s">
        <v>756</v>
      </c>
      <c r="D89" s="763"/>
      <c r="E89" s="764" t="s">
        <v>636</v>
      </c>
      <c r="F89" s="757">
        <v>0</v>
      </c>
      <c r="G89" s="671">
        <f>IF(F89&lt;2700,F89*0.0097,IF(F89&lt;3200,F89*0.01095,IF(F89&lt;3700,F89*0.0122,IF(F89&gt;3699,F89*0.01345,""))))</f>
        <v>0</v>
      </c>
      <c r="H89" s="671">
        <v>20</v>
      </c>
      <c r="I89" s="757">
        <v>0</v>
      </c>
      <c r="J89" s="671">
        <f>IF(I89&lt;2700,I89*0.0097,IF(I89&lt;3200,I89*0.01095,IF(I89&lt;3700,I89*0.0122,IF(I89&gt;3699,I89*0.01345,""))))</f>
        <v>0</v>
      </c>
      <c r="K89" s="671">
        <v>20</v>
      </c>
      <c r="L89" s="757">
        <v>0</v>
      </c>
      <c r="M89" s="671">
        <f>IF(L89&lt;2700,L89*0.0097,IF(L89&lt;3200,L89*0.01095,IF(L89&lt;3700,L89*0.0122,IF(L89&gt;3699,L89*0.01345,""))))</f>
        <v>0</v>
      </c>
      <c r="N89" s="671">
        <v>20</v>
      </c>
      <c r="O89" s="758"/>
      <c r="P89" s="671">
        <f>IF(O89&lt;2700,O89*0.0097,IF(O89&lt;3200,O89*0.01095,IF(O89&lt;3700,O89*0.0122,IF(O89&gt;3699,O89*0.01345,""))))</f>
        <v>0</v>
      </c>
      <c r="Q89" s="671"/>
      <c r="R89" s="757">
        <v>0</v>
      </c>
      <c r="S89" s="979">
        <f>IF(R89&lt;2700,R89*0.0097,IF(R89&lt;3200,R89*0.01095,IF(R89&lt;3700,R89*0.0122,IF(R89&gt;3699,R89*0.01345,""))))</f>
        <v>0</v>
      </c>
      <c r="T89" s="671"/>
      <c r="U89" s="757">
        <v>3188.7437185929648</v>
      </c>
      <c r="V89" s="517">
        <f>IF(U89&lt;2700,U89*0.007,IF(U89&lt;3200,U89*0.008,IF(U89&lt;3700,U89*0.0097,IF(U89&gt;3699,U89*0.01095,""))))</f>
        <v>25.509949748743718</v>
      </c>
      <c r="W89" s="671"/>
      <c r="X89" s="758">
        <v>2907.497487437186</v>
      </c>
      <c r="Y89" s="517">
        <f>IF(X89&lt;2700,X89*0.007,IF(X89&lt;3200,X89*0.008,IF(X89&lt;3700,X89*0.0097,IF(X89&gt;3699,X89*0.01095,""))))</f>
        <v>23.259979899497488</v>
      </c>
      <c r="Z89" s="671"/>
      <c r="AA89" s="758">
        <v>2156.3819095477388</v>
      </c>
      <c r="AB89" s="517">
        <f>IF(AA89&lt;2700,AA89*0.007,IF(AA89&lt;3200,AA89*0.008,IF(AA89&lt;3700,AA89*0.0097,IF(AA89&gt;3699,AA89*0.01095,""))))</f>
        <v>15.094673366834172</v>
      </c>
      <c r="AC89" s="671"/>
      <c r="AD89" s="757">
        <v>6435.3768844221104</v>
      </c>
      <c r="AE89" s="517">
        <f>IF(AD89&lt;2700,AD89*0.007,IF(AD89&lt;3200,AD89*0.008,IF(AD89&lt;3700,AD89*0.0097,IF(AD89&gt;3699,AD89*0.01095,""))))</f>
        <v>70.467376884422109</v>
      </c>
      <c r="AF89" s="671"/>
      <c r="AG89" s="757">
        <v>0</v>
      </c>
      <c r="AH89" s="671">
        <f>IF(AG89&lt;2700,AG89*0.0097,IF(AG89&lt;3200,AG89*0.01095,IF(AG89&lt;3700,AG89*0.0122,IF(AG89&gt;3699,AG89*0.01345,""))))</f>
        <v>0</v>
      </c>
      <c r="AI89" s="671"/>
      <c r="AJ89" s="757">
        <v>0</v>
      </c>
      <c r="AK89" s="979">
        <f>IF(AJ89&lt;2700,AJ89*0.0097,IF(AJ89&lt;3200,AJ89*0.01095,IF(AJ89&lt;3700,AJ89*0.0122,IF(AJ89&gt;3699,AJ89*0.01345,""))))</f>
        <v>0</v>
      </c>
      <c r="AL89" s="671"/>
      <c r="AM89" s="757">
        <v>2827.4170854271356</v>
      </c>
      <c r="AN89" s="517">
        <f>IF(AM89&lt;2700,AM89*0.007,IF(AM89&lt;3200,AM89*0.008,IF(AM89&lt;3700,AM89*0.0097,IF(AM89&gt;3699,AM89*0.01095,""))))</f>
        <v>22.619336683417085</v>
      </c>
      <c r="AO89" s="671"/>
      <c r="AP89" s="758">
        <v>0</v>
      </c>
      <c r="AQ89" s="671">
        <f>IF(AP89&lt;2700,AP89*0.0097,IF(AP89&lt;3200,AP89*0.01095,IF(AP89&lt;3700,AP89*0.0122,IF(AP89&gt;3699,AP89*0.01345,""))))</f>
        <v>0</v>
      </c>
      <c r="AR89" s="964">
        <v>12</v>
      </c>
      <c r="AS89" s="757">
        <v>3378.3316582914576</v>
      </c>
      <c r="AT89" s="517">
        <f>IF(AS89&lt;2700,AS89*0.007,IF(AS89&lt;3200,AS89*0.008,IF(AS89&lt;3700,AS89*0.0097,IF(AS89&gt;3699,AS89*0.01095,""))))</f>
        <v>32.769817085427142</v>
      </c>
      <c r="AU89" s="671"/>
      <c r="AV89" s="758"/>
      <c r="AW89" s="671">
        <f>IF(AV89&lt;2700,AV89*0.0097,IF(AV89&lt;3200,AV89*0.01095,IF(AV89&lt;3700,AV89*0.0122,IF(AV89&gt;3699,AV89*0.01345,""))))</f>
        <v>0</v>
      </c>
      <c r="AX89" s="671"/>
      <c r="AY89" s="758"/>
      <c r="AZ89" s="671">
        <f>IF(AY89&lt;2700,AY89*0.0097,IF(AY89&lt;3200,AY89*0.01095,IF(AY89&lt;3700,AY89*0.0122,IF(AY89&gt;3699,AY89*0.01345,""))))</f>
        <v>0</v>
      </c>
      <c r="BA89" s="671"/>
      <c r="BB89" s="735">
        <f t="shared" si="101"/>
        <v>20893.748743718592</v>
      </c>
      <c r="BC89" s="736">
        <f t="shared" si="101"/>
        <v>189.72113366834171</v>
      </c>
      <c r="BD89" s="737">
        <f t="shared" si="101"/>
        <v>72</v>
      </c>
      <c r="BE89" s="759"/>
      <c r="BF89" s="760">
        <f t="shared" si="177"/>
        <v>261.72113366834174</v>
      </c>
      <c r="BG89" s="758">
        <v>3115.8994974874367</v>
      </c>
      <c r="BH89" s="671">
        <f>IF(BG89&lt;2700,BG89*0.008,IF(BG89&lt;3200,BG89*0.0097,IF(BG89&lt;3700,BG89*0.01095,IF(BG89&gt;3699,BG89*0.0122,""))))</f>
        <v>30.224225125628138</v>
      </c>
      <c r="BI89" s="671"/>
      <c r="BJ89" s="758">
        <v>0</v>
      </c>
      <c r="BK89" s="979">
        <f>IF(BJ89&lt;2700,BJ89*0.0097,IF(BJ89&lt;3200,BJ89*0.01095,IF(BJ89&lt;3700,BJ89*0.0122,IF(BJ89&gt;3699,BJ89*0.01345,""))))</f>
        <v>0</v>
      </c>
      <c r="BL89" s="979">
        <v>0</v>
      </c>
      <c r="BM89" s="757">
        <v>0</v>
      </c>
      <c r="BN89" s="671">
        <f>IF(BM89&lt;2700,BM89*0.0097,IF(BM89&lt;3200,BM89*0.01095,IF(BM89&lt;3700,BM89*0.0122,IF(BM89&gt;3699,BM89*0.01345,""))))</f>
        <v>0</v>
      </c>
      <c r="BO89" s="671">
        <v>18</v>
      </c>
      <c r="BP89" s="757">
        <v>0</v>
      </c>
      <c r="BQ89" s="671">
        <f>IF(BP89&lt;2700,BP89*0.0097,IF(BP89&lt;3200,BP89*0.01095,IF(BP89&lt;3700,BP89*0.0122,IF(BP89&gt;3699,BP89*0.01345,""))))</f>
        <v>0</v>
      </c>
      <c r="BR89" s="977">
        <v>18</v>
      </c>
      <c r="BS89" s="757">
        <v>0</v>
      </c>
      <c r="BT89" s="979">
        <f>IF(BS89&lt;2700,BS89*0.0097,IF(BS89&lt;3200,BS89*0.01095,IF(BS89&lt;3700,BS89*0.0122,IF(BS89&gt;3699,BS89*0.01345,""))))</f>
        <v>0</v>
      </c>
      <c r="BU89" s="979">
        <v>0</v>
      </c>
      <c r="BV89" s="757">
        <v>0</v>
      </c>
      <c r="BW89" s="671">
        <f>IF(BV89&lt;2700,BV89*0.0097,IF(BV89&lt;3200,BV89*0.01095,IF(BV89&lt;3700,BV89*0.0122,IF(BV89&gt;3699,BV89*0.01345,""))))</f>
        <v>0</v>
      </c>
      <c r="BX89" s="671">
        <v>0</v>
      </c>
      <c r="BY89" s="757">
        <v>0</v>
      </c>
      <c r="BZ89" s="671">
        <f>IF(BY89&lt;2700,BY89*0.0097,IF(BY89&lt;3200,BY89*0.01095,IF(BY89&lt;3700,BY89*0.0122,IF(BY89&gt;3699,BY89*0.01345,""))))</f>
        <v>0</v>
      </c>
      <c r="CA89" s="671">
        <v>0</v>
      </c>
      <c r="CB89" s="757">
        <v>0</v>
      </c>
      <c r="CC89" s="671">
        <f>IF(CB89&lt;2700,CB89*0.0097,IF(CB89&lt;3200,CB89*0.01095,IF(CB89&lt;3700,CB89*0.0122,IF(CB89&gt;3699,CB89*0.01345,""))))</f>
        <v>0</v>
      </c>
      <c r="CD89" s="671">
        <v>10</v>
      </c>
      <c r="CE89" s="757">
        <v>0</v>
      </c>
      <c r="CF89" s="671">
        <f>IF(CE89&lt;2700,CE89*0.0097,IF(CE89&lt;3200,CE89*0.01095,IF(CE89&lt;3700,CE89*0.0122,IF(CE89&gt;3699,CE89*0.01345,""))))</f>
        <v>0</v>
      </c>
      <c r="CG89" s="671">
        <v>18</v>
      </c>
      <c r="CH89" s="757">
        <v>0</v>
      </c>
      <c r="CI89" s="671">
        <f t="shared" ref="CI89" si="182">IF(CH89&lt;2700,CH89*0.0101,IF(CH89&lt;3200,CH89*0.01135,IF(CH89&lt;3700,CH89*0.0126,IF(CH89&gt;3699,CH89*0.01385,""))))</f>
        <v>0</v>
      </c>
      <c r="CJ89" s="836">
        <v>18</v>
      </c>
      <c r="CK89" s="757">
        <v>0</v>
      </c>
      <c r="CL89" s="671">
        <f t="shared" ref="CL89" si="183">IF(CK89&lt;2700,CK89*0.0101,IF(CK89&lt;3200,CK89*0.01135,IF(CK89&lt;3700,CK89*0.0126,IF(CK89&gt;3699,CK89*0.01385,""))))</f>
        <v>0</v>
      </c>
      <c r="CM89" s="836">
        <v>18</v>
      </c>
      <c r="CN89" s="757">
        <v>0</v>
      </c>
      <c r="CO89" s="671">
        <f t="shared" ref="CO89" si="184">IF(CN89&lt;2700,CN89*0.0101,IF(CN89&lt;3200,CN89*0.01135,IF(CN89&lt;3700,CN89*0.0126,IF(CN89&gt;3699,CN89*0.01385,""))))</f>
        <v>0</v>
      </c>
      <c r="CP89" s="836">
        <v>18</v>
      </c>
      <c r="CQ89" s="757">
        <v>0</v>
      </c>
      <c r="CR89" s="979">
        <f>IF(CQ89&lt;2700,CQ89*0.0097,IF(CQ89&lt;3200,CQ89*0.01095,IF(CQ89&lt;3700,CQ89*0.0122,IF(CQ89&gt;3699,CQ89*0.01345,""))))</f>
        <v>0</v>
      </c>
      <c r="CS89" s="771"/>
      <c r="CT89" s="698">
        <f t="shared" si="178"/>
        <v>3115.8994974874367</v>
      </c>
      <c r="CU89" s="699">
        <f t="shared" si="178"/>
        <v>30.224225125628138</v>
      </c>
      <c r="CV89" s="700">
        <f t="shared" si="179"/>
        <v>118</v>
      </c>
      <c r="CW89" s="583"/>
      <c r="CX89" s="701">
        <f t="shared" si="180"/>
        <v>148.22422512562815</v>
      </c>
      <c r="CY89" s="588">
        <f t="shared" si="103"/>
        <v>24009.648241206029</v>
      </c>
      <c r="CZ89" s="589">
        <f t="shared" si="103"/>
        <v>219.94535879396983</v>
      </c>
      <c r="DA89" s="590">
        <f t="shared" si="103"/>
        <v>190</v>
      </c>
      <c r="DB89" s="591">
        <f t="shared" si="181"/>
        <v>409.94535879396983</v>
      </c>
      <c r="DC89" s="1222">
        <v>81.38</v>
      </c>
      <c r="DD89" s="1196">
        <f t="shared" si="136"/>
        <v>491.32535879396983</v>
      </c>
      <c r="DE89" s="920" t="s">
        <v>867</v>
      </c>
    </row>
    <row r="90" spans="1:148" s="571" customFormat="1" ht="15.75" x14ac:dyDescent="0.25">
      <c r="A90" s="454">
        <f t="shared" si="137"/>
        <v>82</v>
      </c>
      <c r="B90" s="973" t="s">
        <v>66</v>
      </c>
      <c r="C90" s="980" t="s">
        <v>756</v>
      </c>
      <c r="D90" s="658" t="s">
        <v>579</v>
      </c>
      <c r="E90" s="659" t="s">
        <v>580</v>
      </c>
      <c r="F90" s="576"/>
      <c r="G90" s="517">
        <f>IF(F90&lt;2700,F90*0.008,IF(F90&lt;3200,F90*0.0097,IF(F90&lt;3700,F90*0.01095,IF(F90&gt;3699,F90*0.0122,""))))</f>
        <v>0</v>
      </c>
      <c r="H90" s="517"/>
      <c r="I90" s="576">
        <v>2535.0753768844215</v>
      </c>
      <c r="J90" s="517">
        <f>IF(I90&lt;2700,I90*0.008,IF(I90&lt;3200,I90*0.0097,IF(I90&lt;3700,I90*0.01095,IF(I90&gt;3699,I90*0.0122,""))))</f>
        <v>20.280603015075371</v>
      </c>
      <c r="K90" s="517"/>
      <c r="L90" s="576">
        <v>0</v>
      </c>
      <c r="M90" s="517">
        <f>IF(L90&lt;2700,L90*0.0097,IF(L90&lt;3200,L90*0.01095,IF(L90&lt;3700,L90*0.0122,IF(L90&gt;3699,L90*0.01345,""))))</f>
        <v>0</v>
      </c>
      <c r="N90" s="517"/>
      <c r="O90" s="578"/>
      <c r="P90" s="517">
        <f>IF(O90&lt;2700,O90*0.0097,IF(O90&lt;3200,O90*0.01095,IF(O90&lt;3700,O90*0.0122,IF(O90&gt;3699,O90*0.01345,""))))</f>
        <v>0</v>
      </c>
      <c r="Q90" s="517"/>
      <c r="R90" s="576">
        <v>3494.1105527638188</v>
      </c>
      <c r="S90" s="517">
        <f>IF(R90&lt;2700,R90*0.007,IF(R90&lt;3200,R90*0.008,IF(R90&lt;3700,R90*0.0097,IF(R90&gt;3699,R90*0.01095,""))))</f>
        <v>33.89287236180904</v>
      </c>
      <c r="T90" s="517"/>
      <c r="U90" s="576">
        <v>2730.934673366834</v>
      </c>
      <c r="V90" s="517">
        <f>IF(U90&lt;2700,U90*0.007,IF(U90&lt;3200,U90*0.008,IF(U90&lt;3700,U90*0.0097,IF(U90&gt;3699,U90*0.01095,""))))</f>
        <v>21.847477386934671</v>
      </c>
      <c r="W90" s="517"/>
      <c r="X90" s="578">
        <v>2272.1608040201004</v>
      </c>
      <c r="Y90" s="517">
        <f>IF(X90&lt;2700,X90*0.007,IF(X90&lt;3200,X90*0.008,IF(X90&lt;3700,X90*0.0097,IF(X90&gt;3699,X90*0.01095,""))))</f>
        <v>15.905125628140704</v>
      </c>
      <c r="Z90" s="517"/>
      <c r="AA90" s="578">
        <v>1748.7437185929648</v>
      </c>
      <c r="AB90" s="517">
        <f>IF(AA90&lt;2700,AA90*0.007,IF(AA90&lt;3200,AA90*0.008,IF(AA90&lt;3700,AA90*0.0097,IF(AA90&gt;3699,AA90*0.01095,""))))</f>
        <v>12.241206030150753</v>
      </c>
      <c r="AC90" s="517"/>
      <c r="AD90" s="576">
        <v>6174.3919597989943</v>
      </c>
      <c r="AE90" s="517">
        <f>IF(AD90&lt;2700,AD90*0.007,IF(AD90&lt;3200,AD90*0.008,IF(AD90&lt;3700,AD90*0.0097,IF(AD90&gt;3699,AD90*0.01095,""))))</f>
        <v>67.609591959798991</v>
      </c>
      <c r="AF90" s="517"/>
      <c r="AG90" s="579">
        <v>0</v>
      </c>
      <c r="AH90" s="517">
        <f>IF(AG90&lt;2700,AG90*0.0097,IF(AG90&lt;3200,AG90*0.01095,IF(AG90&lt;3700,AG90*0.0122,IF(AG90&gt;3699,AG90*0.01345,""))))</f>
        <v>0</v>
      </c>
      <c r="AI90" s="517"/>
      <c r="AJ90" s="576">
        <v>3792.7236180904524</v>
      </c>
      <c r="AK90" s="517">
        <f>IF(AJ90&lt;2700,AJ90*0.007,IF(AJ90&lt;3200,AJ90*0.008,IF(AJ90&lt;3700,AJ90*0.0097,IF(AJ90&gt;3699,AJ90*0.01095,""))))</f>
        <v>41.530323618090456</v>
      </c>
      <c r="AL90" s="517"/>
      <c r="AM90" s="576">
        <v>2992.4020100502516</v>
      </c>
      <c r="AN90" s="517">
        <f>IF(AM90&lt;2700,AM90*0.007,IF(AM90&lt;3200,AM90*0.008,IF(AM90&lt;3700,AM90*0.0097,IF(AM90&gt;3699,AM90*0.01095,""))))</f>
        <v>23.939216080402012</v>
      </c>
      <c r="AO90" s="517"/>
      <c r="AP90" s="620">
        <v>0</v>
      </c>
      <c r="AQ90" s="517">
        <f>IF(AP90&lt;2700,AP90*0.0097,IF(AP90&lt;3200,AP90*0.01095,IF(AP90&lt;3700,AP90*0.0122,IF(AP90&gt;3699,AP90*0.01345,""))))</f>
        <v>0</v>
      </c>
      <c r="AR90" s="580">
        <v>16</v>
      </c>
      <c r="AS90" s="576">
        <v>3699.1356783919596</v>
      </c>
      <c r="AT90" s="517">
        <f>IF(AS90&lt;2700,AS90*0.007,IF(AS90&lt;3200,AS90*0.008,IF(AS90&lt;3700,AS90*0.0097,IF(AS90&gt;3699,AS90*0.01095,""))))</f>
        <v>35.881616080402011</v>
      </c>
      <c r="AU90" s="517"/>
      <c r="AV90" s="578"/>
      <c r="AW90" s="517">
        <f>IF(AV90&lt;2700,AV90*0.0097,IF(AV90&lt;3200,AV90*0.01095,IF(AV90&lt;3700,AV90*0.0122,IF(AV90&gt;3699,AV90*0.01345,""))))</f>
        <v>0</v>
      </c>
      <c r="AX90" s="517"/>
      <c r="AY90" s="578"/>
      <c r="AZ90" s="517">
        <f>IF(AY90&lt;2700,AY90*0.0097,IF(AY90&lt;3200,AY90*0.01095,IF(AY90&lt;3700,AY90*0.0122,IF(AY90&gt;3699,AY90*0.01345,""))))</f>
        <v>0</v>
      </c>
      <c r="BA90" s="517"/>
      <c r="BB90" s="581">
        <f t="shared" si="101"/>
        <v>29439.678391959795</v>
      </c>
      <c r="BC90" s="582">
        <f t="shared" si="101"/>
        <v>273.12803216080397</v>
      </c>
      <c r="BD90" s="465">
        <f t="shared" si="101"/>
        <v>16</v>
      </c>
      <c r="BE90" s="587"/>
      <c r="BF90" s="637">
        <f t="shared" si="177"/>
        <v>289.12803216080397</v>
      </c>
      <c r="BG90" s="578">
        <v>3354.6934673366832</v>
      </c>
      <c r="BH90" s="517">
        <f>IF(BG90&lt;2700,BG90*0.008,IF(BG90&lt;3200,BG90*0.0097,IF(BG90&lt;3700,BG90*0.01095,IF(BG90&gt;3699,BG90*0.0122,""))))</f>
        <v>36.733893467336678</v>
      </c>
      <c r="BI90" s="517"/>
      <c r="BJ90" s="578">
        <v>0</v>
      </c>
      <c r="BK90" s="517">
        <f>IF(BJ90&lt;2700,BJ90*0.0097,IF(BJ90&lt;3200,BJ90*0.01095,IF(BJ90&lt;3700,BJ90*0.0122,IF(BJ90&gt;3699,BJ90*0.01345,""))))</f>
        <v>0</v>
      </c>
      <c r="BL90" s="517">
        <v>0</v>
      </c>
      <c r="BM90" s="576">
        <v>3140.0201005025128</v>
      </c>
      <c r="BN90" s="517">
        <f>IF(BM90&lt;2700,BM90*0.008,IF(BM90&lt;3200,BM90*0.0097,IF(BM90&lt;3700,BM90*0.01095,IF(BM90&gt;3699,BM90*0.0122,""))))</f>
        <v>30.458194974874374</v>
      </c>
      <c r="BO90" s="517"/>
      <c r="BP90" s="576">
        <v>3291.497487437186</v>
      </c>
      <c r="BQ90" s="517">
        <f>IF(BP90&lt;2700,BP90*0.008,IF(BP90&lt;3200,BP90*0.0097,IF(BP90&lt;3700,BP90*0.01095,IF(BP90&gt;3699,BP90*0.0122,""))))</f>
        <v>36.041897487437183</v>
      </c>
      <c r="BR90" s="517"/>
      <c r="BS90" s="576">
        <v>3297.286432160804</v>
      </c>
      <c r="BT90" s="517">
        <f>IF(BS90&lt;2700,BS90*0.008,IF(BS90&lt;3200,BS90*0.0097,IF(BS90&lt;3700,BS90*0.01095,IF(BS90&gt;3699,BS90*0.0122,""))))</f>
        <v>36.105286432160803</v>
      </c>
      <c r="BU90" s="517"/>
      <c r="BV90" s="576">
        <v>3263.5175879396988</v>
      </c>
      <c r="BW90" s="517">
        <f>IF(BV90&lt;2700,BV90*0.008,IF(BV90&lt;3200,BV90*0.0097,IF(BV90&lt;3700,BV90*0.01095,IF(BV90&gt;3699,BV90*0.0122,""))))</f>
        <v>35.735517587939704</v>
      </c>
      <c r="BX90" s="517"/>
      <c r="BY90" s="576">
        <v>1308.3015075376884</v>
      </c>
      <c r="BZ90" s="517">
        <f>IF(BY90&lt;2700,BY90*0.008,IF(BY90&lt;3200,BY90*0.0097,IF(BY90&lt;3700,BY90*0.01095,IF(BY90&gt;3699,BY90*0.0122,""))))</f>
        <v>10.466412060301508</v>
      </c>
      <c r="CA90" s="517"/>
      <c r="CB90" s="578">
        <v>0</v>
      </c>
      <c r="CC90" s="517">
        <f>IF(CB90&lt;2700,CB90*0.0097,IF(CB90&lt;3200,CB90*0.01095,IF(CB90&lt;3700,CB90*0.0122,IF(CB90&gt;3699,CB90*0.01345,""))))</f>
        <v>0</v>
      </c>
      <c r="CD90" s="517">
        <v>0</v>
      </c>
      <c r="CE90" s="576">
        <v>3181.5075376884424</v>
      </c>
      <c r="CF90" s="517">
        <f>IF(CE90&lt;2700,CE90*0.008,IF(CE90&lt;3200,CE90*0.0097,IF(CE90&lt;3700,CE90*0.01095,IF(CE90&gt;3699,CE90*0.0122,""))))</f>
        <v>30.860623115577891</v>
      </c>
      <c r="CG90" s="517"/>
      <c r="CH90" s="578">
        <v>0</v>
      </c>
      <c r="CI90" s="517">
        <f>IF(CH90&lt;2700,CH90*0.0097,IF(CH90&lt;3200,CH90*0.01095,IF(CH90&lt;3700,CH90*0.0122,IF(CH90&gt;3699,CH90*0.01345,""))))</f>
        <v>0</v>
      </c>
      <c r="CJ90" s="517"/>
      <c r="CK90" s="620">
        <v>0</v>
      </c>
      <c r="CL90" s="517">
        <f>IF(CK90&lt;2700,CK90*0.0097,IF(CK90&lt;3200,CK90*0.01095,IF(CK90&lt;3700,CK90*0.0122,IF(CK90&gt;3699,CK90*0.01345,""))))</f>
        <v>0</v>
      </c>
      <c r="CM90" s="517"/>
      <c r="CN90" s="620">
        <v>0</v>
      </c>
      <c r="CO90" s="517">
        <f>IF(CN90&lt;2700,CN90*0.0097,IF(CN90&lt;3200,CN90*0.01095,IF(CN90&lt;3700,CN90*0.0122,IF(CN90&gt;3699,CN90*0.01345,""))))</f>
        <v>0</v>
      </c>
      <c r="CP90" s="517"/>
      <c r="CQ90" s="620">
        <v>0</v>
      </c>
      <c r="CR90" s="517">
        <f>IF(CQ90&lt;2700,CQ90*0.0097,IF(CQ90&lt;3200,CQ90*0.01095,IF(CQ90&lt;3700,CQ90*0.0122,IF(CQ90&gt;3699,CQ90*0.01345,""))))</f>
        <v>0</v>
      </c>
      <c r="CS90" s="517"/>
      <c r="CT90" s="551">
        <f t="shared" si="178"/>
        <v>20836.824120603018</v>
      </c>
      <c r="CU90" s="552">
        <f t="shared" si="178"/>
        <v>216.40182512562814</v>
      </c>
      <c r="CV90" s="553">
        <f t="shared" si="179"/>
        <v>0</v>
      </c>
      <c r="CW90" s="587"/>
      <c r="CX90" s="554">
        <f t="shared" si="180"/>
        <v>216.40182512562814</v>
      </c>
      <c r="CY90" s="588">
        <f t="shared" si="103"/>
        <v>50276.502512562816</v>
      </c>
      <c r="CZ90" s="589">
        <f t="shared" si="103"/>
        <v>489.5298572864321</v>
      </c>
      <c r="DA90" s="590">
        <f t="shared" si="103"/>
        <v>16</v>
      </c>
      <c r="DB90" s="591">
        <f t="shared" si="181"/>
        <v>505.5298572864321</v>
      </c>
      <c r="DC90" s="1222">
        <v>66.14</v>
      </c>
      <c r="DD90" s="1196">
        <f t="shared" si="136"/>
        <v>571.66985728643215</v>
      </c>
      <c r="DE90" s="920" t="s">
        <v>865</v>
      </c>
      <c r="DF90" s="570"/>
      <c r="DG90" s="570"/>
      <c r="DH90" s="570"/>
      <c r="DI90" s="570"/>
      <c r="DJ90" s="570"/>
      <c r="DK90" s="570"/>
      <c r="DL90" s="570"/>
      <c r="DM90" s="570"/>
      <c r="DN90" s="570"/>
      <c r="DO90" s="570"/>
      <c r="DP90" s="570"/>
      <c r="DQ90" s="570"/>
      <c r="DR90" s="570"/>
      <c r="DS90" s="570"/>
      <c r="DT90" s="570"/>
      <c r="DU90" s="570"/>
      <c r="DV90" s="570"/>
      <c r="DW90" s="570"/>
      <c r="DX90" s="570"/>
      <c r="DY90" s="570"/>
      <c r="DZ90" s="570"/>
      <c r="EA90" s="570"/>
      <c r="EB90" s="570"/>
      <c r="EC90" s="570"/>
      <c r="ED90" s="570"/>
      <c r="EE90" s="570"/>
      <c r="EF90" s="570"/>
      <c r="EG90" s="570"/>
      <c r="EH90" s="570"/>
      <c r="EI90" s="570"/>
      <c r="EJ90" s="570"/>
      <c r="EK90" s="570"/>
      <c r="EL90" s="570"/>
      <c r="EM90" s="570"/>
      <c r="EN90" s="570"/>
      <c r="EO90" s="570"/>
      <c r="EP90" s="570"/>
      <c r="EQ90" s="570"/>
      <c r="ER90" s="570"/>
    </row>
    <row r="91" spans="1:148" ht="15.75" x14ac:dyDescent="0.25">
      <c r="A91" s="454">
        <f t="shared" si="137"/>
        <v>83</v>
      </c>
      <c r="B91" s="965" t="s">
        <v>70</v>
      </c>
      <c r="C91" s="750" t="s">
        <v>756</v>
      </c>
      <c r="D91" s="724" t="s">
        <v>650</v>
      </c>
      <c r="E91" s="755" t="s">
        <v>651</v>
      </c>
      <c r="F91" s="579">
        <v>4479.6783919597992</v>
      </c>
      <c r="G91" s="517">
        <f>IF(F91&lt;2700,F91*0.0075,IF(F91&lt;3200,F91*0.009,IF(F91&lt;3700,F91*0.0101,IF(F91&gt;3699,F91*0.01135,""))))</f>
        <v>50.844349748743724</v>
      </c>
      <c r="H91" s="517"/>
      <c r="I91" s="579">
        <v>4079.7587939698487</v>
      </c>
      <c r="J91" s="517">
        <f>IF(I91&lt;2700,I91*0.0075,IF(I91&lt;3200,I91*0.009,IF(I91&lt;3700,I91*0.0101,IF(I91&gt;3699,I91*0.01135,""))))</f>
        <v>46.305262311557783</v>
      </c>
      <c r="K91" s="517"/>
      <c r="L91" s="579">
        <v>4446.8743718592968</v>
      </c>
      <c r="M91" s="517">
        <f>IF(L91&lt;2700,L91*0.0075,IF(L91&lt;3200,L91*0.009,IF(L91&lt;3700,L91*0.0101,IF(L91&gt;3699,L91*0.01135,""))))</f>
        <v>50.472024120603024</v>
      </c>
      <c r="N91" s="517"/>
      <c r="O91" s="620"/>
      <c r="P91" s="517">
        <f>IF(O91&lt;2700,O91*0.0101,IF(O91&lt;3200,O91*0.01135,IF(O91&lt;3700,O91*0.0126,IF(O91&gt;3699,O91*0.01385,""))))</f>
        <v>0</v>
      </c>
      <c r="Q91" s="517"/>
      <c r="R91" s="579">
        <v>4927.3599999999997</v>
      </c>
      <c r="S91" s="517">
        <f>IF(R91&lt;2700,R91*0.0075,IF(R91&lt;3200,R91*0.009,IF(R91&lt;3700,R91*0.0101,IF(R91&gt;3699,R91*0.01135,""))))</f>
        <v>55.925536000000001</v>
      </c>
      <c r="T91" s="517"/>
      <c r="U91" s="579">
        <v>3405.8291457286432</v>
      </c>
      <c r="V91" s="517">
        <f>IF(U91&lt;2700,U91*0.0075,IF(U91&lt;3200,U91*0.009,IF(U91&lt;3700,U91*0.0101,IF(U91&gt;3699,U91*0.01135,""))))</f>
        <v>34.398874371859293</v>
      </c>
      <c r="W91" s="517"/>
      <c r="X91" s="620">
        <v>0</v>
      </c>
      <c r="Y91" s="585">
        <f>IF(X91&lt;2700,X91*0.0101,IF(X91&lt;3200,X91*0.01135,IF(X91&lt;3700,X91*0.0126,IF(X91&gt;3699,X91*0.01385,""))))</f>
        <v>0</v>
      </c>
      <c r="Z91" s="517"/>
      <c r="AA91" s="620">
        <v>1883.3366834170852</v>
      </c>
      <c r="AB91" s="517">
        <f>IF(AA91&lt;2700,AA91*0.0075,IF(AA91&lt;3200,AA91*0.009,IF(AA91&lt;3700,AA91*0.0101,IF(AA91&gt;3699,AA91*0.01135,""))))</f>
        <v>14.125025125628138</v>
      </c>
      <c r="AC91" s="517"/>
      <c r="AD91" s="579">
        <v>6362.5326633165832</v>
      </c>
      <c r="AE91" s="517">
        <f>IF(AD91&lt;2700,AD91*0.0075,IF(AD91&lt;3200,AD91*0.009,IF(AD91&lt;3700,AD91*0.0101,IF(AD91&gt;3699,AD91*0.01135,""))))</f>
        <v>72.214745728643223</v>
      </c>
      <c r="AF91" s="517"/>
      <c r="AG91" s="757">
        <v>0</v>
      </c>
      <c r="AH91" s="517">
        <f>IF(AG91&lt;2700,AG91*0.0101,IF(AG91&lt;3200,AG91*0.01135,IF(AG91&lt;3700,AG91*0.0126,IF(AG91&gt;3699,AG91*0.01385,""))))</f>
        <v>0</v>
      </c>
      <c r="AI91" s="517"/>
      <c r="AJ91" s="579">
        <v>4040.6834170854272</v>
      </c>
      <c r="AK91" s="517">
        <f>IF(AJ91&lt;2700,AJ91*0.0075,IF(AJ91&lt;3200,AJ91*0.009,IF(AJ91&lt;3700,AJ91*0.0101,IF(AJ91&gt;3699,AJ91*0.01135,""))))</f>
        <v>45.861756783919603</v>
      </c>
      <c r="AL91" s="517"/>
      <c r="AM91" s="579">
        <v>3273.6482412060304</v>
      </c>
      <c r="AN91" s="517">
        <f>IF(AM91&lt;2700,AM91*0.0075,IF(AM91&lt;3200,AM91*0.009,IF(AM91&lt;3700,AM91*0.0101,IF(AM91&gt;3699,AM91*0.01135,""))))</f>
        <v>33.063847236180905</v>
      </c>
      <c r="AO91" s="517"/>
      <c r="AP91" s="620">
        <v>0</v>
      </c>
      <c r="AQ91" s="517">
        <f>IF(AP91&lt;2700,AP91*0.0101,IF(AP91&lt;3200,AP91*0.01135,IF(AP91&lt;3700,AP91*0.0126,IF(AP91&gt;3699,AP91*0.01385,""))))</f>
        <v>0</v>
      </c>
      <c r="AR91" s="517">
        <v>12</v>
      </c>
      <c r="AS91" s="579">
        <v>4067.6984924623112</v>
      </c>
      <c r="AT91" s="517">
        <f>IF(AS91&lt;2700,AS91*0.0075,IF(AS91&lt;3200,AS91*0.009,IF(AS91&lt;3700,AS91*0.0101,IF(AS91&gt;3699,AS91*0.01135,""))))</f>
        <v>46.168377889447235</v>
      </c>
      <c r="AU91" s="517"/>
      <c r="AV91" s="620"/>
      <c r="AW91" s="517">
        <f>IF(AV91&lt;2700,AV91*0.0101,IF(AV91&lt;3200,AV91*0.01135,IF(AV91&lt;3700,AV91*0.0126,IF(AV91&gt;3699,AV91*0.01385,""))))</f>
        <v>0</v>
      </c>
      <c r="AX91" s="517"/>
      <c r="AY91" s="620"/>
      <c r="AZ91" s="517">
        <f>IF(AY91&lt;2700,AY91*0.0101,IF(AY91&lt;3200,AY91*0.01135,IF(AY91&lt;3700,AY91*0.0126,IF(AY91&gt;3699,AY91*0.01385,""))))</f>
        <v>0</v>
      </c>
      <c r="BA91" s="517"/>
      <c r="BB91" s="463">
        <f t="shared" si="101"/>
        <v>40967.400201005017</v>
      </c>
      <c r="BC91" s="464">
        <f t="shared" si="101"/>
        <v>449.37979931658293</v>
      </c>
      <c r="BD91" s="465">
        <f t="shared" si="101"/>
        <v>12</v>
      </c>
      <c r="BE91" s="466"/>
      <c r="BF91" s="467">
        <f t="shared" si="177"/>
        <v>461.37979931658293</v>
      </c>
      <c r="BG91" s="620">
        <v>3433.8090452261308</v>
      </c>
      <c r="BH91" s="517">
        <f>IF(BG91&lt;2700,BG91*0.009,IF(BG91&lt;3200,BG91*0.0101,IF(BG91&lt;3700,BG91*0.01135,IF(BG91&gt;3699,BG91*0.0126,""))))</f>
        <v>38.973732663316589</v>
      </c>
      <c r="BI91" s="517"/>
      <c r="BJ91" s="620">
        <v>0</v>
      </c>
      <c r="BK91" s="517">
        <f>IF(BJ91&lt;2700,BJ91*0.0101,IF(BJ91&lt;3200,BJ91*0.01135,IF(BJ91&lt;3700,BJ91*0.0126,IF(BJ91&gt;3699,BJ91*0.01385,""))))</f>
        <v>0</v>
      </c>
      <c r="BL91" s="517">
        <v>12</v>
      </c>
      <c r="BM91" s="579">
        <v>0</v>
      </c>
      <c r="BN91" s="517">
        <f>IF(BM91&lt;2700,BM91*0.0101,IF(BM91&lt;3200,BM91*0.01135,IF(BM91&lt;3700,BM91*0.0126,IF(BM91&gt;3699,BM91*0.01385,""))))</f>
        <v>0</v>
      </c>
      <c r="BO91" s="517">
        <v>18</v>
      </c>
      <c r="BP91" s="579">
        <v>0</v>
      </c>
      <c r="BQ91" s="517">
        <f>IF(BP91&lt;2700,BP91*0.0101,IF(BP91&lt;3200,BP91*0.01135,IF(BP91&lt;3700,BP91*0.0126,IF(BP91&gt;3699,BP91*0.01385,""))))</f>
        <v>0</v>
      </c>
      <c r="BR91" s="517">
        <v>18</v>
      </c>
      <c r="BS91" s="579">
        <v>0</v>
      </c>
      <c r="BT91" s="517">
        <f>IF(BS91&lt;2700,BS91*0.0101,IF(BS91&lt;3200,BS91*0.01135,IF(BS91&lt;3700,BS91*0.0126,IF(BS91&gt;3699,BS91*0.01385,""))))</f>
        <v>0</v>
      </c>
      <c r="BU91" s="517">
        <v>18</v>
      </c>
      <c r="BV91" s="579">
        <v>0</v>
      </c>
      <c r="BW91" s="585">
        <f>IF(BV91&lt;2700,BV91*0.0101,IF(BV91&lt;3200,BV91*0.01135,IF(BV91&lt;3700,BV91*0.0126,IF(BV91&gt;3699,BV91*0.01385,""))))</f>
        <v>0</v>
      </c>
      <c r="BX91" s="585">
        <v>0</v>
      </c>
      <c r="BY91" s="579">
        <v>0</v>
      </c>
      <c r="BZ91" s="517">
        <f>IF(BY91&lt;2700,BY91*0.0101,IF(BY91&lt;3200,BY91*0.01135,IF(BY91&lt;3700,BY91*0.0126,IF(BY91&gt;3699,BY91*0.01385,""))))</f>
        <v>0</v>
      </c>
      <c r="CA91" s="517">
        <v>20</v>
      </c>
      <c r="CB91" s="620">
        <v>0</v>
      </c>
      <c r="CC91" s="517">
        <f>IF(CB91&lt;2700,CB91*0.0101,IF(CB91&lt;3200,CB91*0.01135,IF(CB91&lt;3700,CB91*0.0126,IF(CB91&gt;3699,CB91*0.01385,""))))</f>
        <v>0</v>
      </c>
      <c r="CD91" s="517">
        <v>10</v>
      </c>
      <c r="CE91" s="579">
        <v>0</v>
      </c>
      <c r="CF91" s="585">
        <f>IF(CE91&lt;2700,CE91*0.0101,IF(CE91&lt;3200,CE91*0.01135,IF(CE91&lt;3700,CE91*0.0126,IF(CE91&gt;3699,CE91*0.01385,""))))</f>
        <v>0</v>
      </c>
      <c r="CG91" s="517"/>
      <c r="CH91" s="579">
        <v>0</v>
      </c>
      <c r="CI91" s="517">
        <f>IF(CH91&lt;2700,CH91*0.0101,IF(CH91&lt;3200,CH91*0.01135,IF(CH91&lt;3700,CH91*0.0126,IF(CH91&gt;3699,CH91*0.01385,""))))</f>
        <v>0</v>
      </c>
      <c r="CJ91" s="577">
        <v>18</v>
      </c>
      <c r="CK91" s="579">
        <v>0</v>
      </c>
      <c r="CL91" s="517">
        <f>IF(CK91&lt;2700,CK91*0.0101,IF(CK91&lt;3200,CK91*0.01135,IF(CK91&lt;3700,CK91*0.0126,IF(CK91&gt;3699,CK91*0.01385,""))))</f>
        <v>0</v>
      </c>
      <c r="CM91" s="517"/>
      <c r="CN91" s="579">
        <v>0</v>
      </c>
      <c r="CO91" s="517">
        <f>IF(CN91&lt;2700,CN91*0.0101,IF(CN91&lt;3200,CN91*0.01135,IF(CN91&lt;3700,CN91*0.0126,IF(CN91&gt;3699,CN91*0.01385,""))))</f>
        <v>0</v>
      </c>
      <c r="CP91" s="517"/>
      <c r="CQ91" s="579">
        <v>0</v>
      </c>
      <c r="CR91" s="517">
        <f>IF(CQ91&lt;2700,CQ91*0.0101,IF(CQ91&lt;3200,CQ91*0.01135,IF(CQ91&lt;3700,CQ91*0.0126,IF(CQ91&gt;3699,CQ91*0.01385,""))))</f>
        <v>0</v>
      </c>
      <c r="CS91" s="517"/>
      <c r="CT91" s="551">
        <f t="shared" si="178"/>
        <v>3433.8090452261308</v>
      </c>
      <c r="CU91" s="552">
        <f t="shared" si="178"/>
        <v>38.973732663316589</v>
      </c>
      <c r="CV91" s="553">
        <f t="shared" si="179"/>
        <v>114</v>
      </c>
      <c r="CW91" s="587"/>
      <c r="CX91" s="554">
        <f t="shared" si="180"/>
        <v>152.97373266331658</v>
      </c>
      <c r="CY91" s="555">
        <f t="shared" si="103"/>
        <v>44401.209246231148</v>
      </c>
      <c r="CZ91" s="556">
        <f t="shared" si="103"/>
        <v>488.35353197989951</v>
      </c>
      <c r="DA91" s="557">
        <f t="shared" si="103"/>
        <v>126</v>
      </c>
      <c r="DB91" s="558">
        <f t="shared" si="181"/>
        <v>614.35353197989957</v>
      </c>
      <c r="DC91" s="1222">
        <v>84.18</v>
      </c>
      <c r="DD91" s="1196">
        <f t="shared" si="136"/>
        <v>698.53353197989964</v>
      </c>
      <c r="DE91" s="920" t="s">
        <v>865</v>
      </c>
    </row>
    <row r="92" spans="1:148" s="571" customFormat="1" ht="15.75" x14ac:dyDescent="0.25">
      <c r="A92" s="454">
        <f t="shared" si="137"/>
        <v>84</v>
      </c>
      <c r="B92" s="989" t="s">
        <v>57</v>
      </c>
      <c r="C92" s="919" t="s">
        <v>756</v>
      </c>
      <c r="D92" s="658" t="s">
        <v>606</v>
      </c>
      <c r="E92" s="659" t="s">
        <v>607</v>
      </c>
      <c r="F92" s="579">
        <v>0</v>
      </c>
      <c r="G92" s="517">
        <f>IF(F92&lt;2700,F92*0.008,IF(F92&lt;3200,F92*0.0097,IF(F92&lt;3700,F92*0.01095,IF(F92&gt;3699,F92*0.0122,""))))</f>
        <v>0</v>
      </c>
      <c r="H92" s="580">
        <v>20</v>
      </c>
      <c r="I92" s="579">
        <v>0</v>
      </c>
      <c r="J92" s="517">
        <f>IF(I92&lt;2700,I92*0.008,IF(I92&lt;3200,I92*0.0097,IF(I92&lt;3700,I92*0.01095,IF(I92&gt;3699,I92*0.0122,""))))</f>
        <v>0</v>
      </c>
      <c r="K92" s="580">
        <v>20</v>
      </c>
      <c r="L92" s="579">
        <v>0</v>
      </c>
      <c r="M92" s="517">
        <f>IF(L92&lt;2700,L92*0.008,IF(L92&lt;3200,L92*0.0097,IF(L92&lt;3700,L92*0.01095,IF(L92&gt;3699,L92*0.0122,""))))</f>
        <v>0</v>
      </c>
      <c r="N92" s="580">
        <v>20</v>
      </c>
      <c r="O92" s="620"/>
      <c r="P92" s="517">
        <f t="shared" ref="P92:P97" si="185">IF(O92&lt;2700,O92*0.0097,IF(O92&lt;3200,O92*0.01095,IF(O92&lt;3700,O92*0.0122,IF(O92&gt;3699,O92*0.01345,""))))</f>
        <v>0</v>
      </c>
      <c r="Q92" s="580"/>
      <c r="R92" s="579">
        <v>3175.2361809045228</v>
      </c>
      <c r="S92" s="517">
        <f>IF(R92&lt;2700,R92*0.007,IF(R92&lt;3200,R92*0.008,IF(R92&lt;3700,R92*0.0097,IF(R92&gt;3699,R92*0.01095,""))))</f>
        <v>25.401889447236183</v>
      </c>
      <c r="T92" s="580"/>
      <c r="U92" s="579">
        <v>3188.7437185929648</v>
      </c>
      <c r="V92" s="517">
        <f>IF(U92&lt;2700,U92*0.007,IF(U92&lt;3200,U92*0.008,IF(U92&lt;3700,U92*0.0097,IF(U92&gt;3699,U92*0.01095,""))))</f>
        <v>25.509949748743718</v>
      </c>
      <c r="W92" s="580"/>
      <c r="X92" s="620">
        <v>2907.497487437186</v>
      </c>
      <c r="Y92" s="517">
        <f>IF(X92&lt;2700,X92*0.007,IF(X92&lt;3200,X92*0.008,IF(X92&lt;3700,X92*0.0097,IF(X92&gt;3699,X92*0.01095,""))))</f>
        <v>23.259979899497488</v>
      </c>
      <c r="Z92" s="580"/>
      <c r="AA92" s="620">
        <v>2156.3819095477388</v>
      </c>
      <c r="AB92" s="517">
        <f>IF(AA92&lt;2700,AA92*0.007,IF(AA92&lt;3200,AA92*0.008,IF(AA92&lt;3700,AA92*0.0097,IF(AA92&gt;3699,AA92*0.01095,""))))</f>
        <v>15.094673366834172</v>
      </c>
      <c r="AC92" s="580"/>
      <c r="AD92" s="579">
        <v>6435.3768844221104</v>
      </c>
      <c r="AE92" s="517">
        <f>IF(AD92&lt;2700,AD92*0.007,IF(AD92&lt;3200,AD92*0.008,IF(AD92&lt;3700,AD92*0.0097,IF(AD92&gt;3699,AD92*0.01095,""))))</f>
        <v>70.467376884422109</v>
      </c>
      <c r="AF92" s="580"/>
      <c r="AG92" s="579">
        <v>0</v>
      </c>
      <c r="AH92" s="517">
        <f t="shared" ref="AH92:AH97" si="186">IF(AG92&lt;2700,AG92*0.0097,IF(AG92&lt;3200,AG92*0.01095,IF(AG92&lt;3700,AG92*0.0122,IF(AG92&gt;3699,AG92*0.01345,""))))</f>
        <v>0</v>
      </c>
      <c r="AI92" s="580"/>
      <c r="AJ92" s="579">
        <v>3461.3065326633168</v>
      </c>
      <c r="AK92" s="517">
        <f>IF(AJ92&lt;2700,AJ92*0.007,IF(AJ92&lt;3200,AJ92*0.008,IF(AJ92&lt;3700,AJ92*0.0097,IF(AJ92&gt;3699,AJ92*0.01095,""))))</f>
        <v>33.574673366834176</v>
      </c>
      <c r="AL92" s="580"/>
      <c r="AM92" s="579">
        <v>2877.1055276381912</v>
      </c>
      <c r="AN92" s="517">
        <f>IF(AM92&lt;2700,AM92*0.007,IF(AM92&lt;3200,AM92*0.008,IF(AM92&lt;3700,AM92*0.0097,IF(AM92&gt;3699,AM92*0.01095,""))))</f>
        <v>23.016844221105529</v>
      </c>
      <c r="AO92" s="580"/>
      <c r="AP92" s="620">
        <v>0</v>
      </c>
      <c r="AQ92" s="517">
        <f t="shared" ref="AQ92:AQ97" si="187">IF(AP92&lt;2700,AP92*0.0097,IF(AP92&lt;3200,AP92*0.01095,IF(AP92&lt;3700,AP92*0.0122,IF(AP92&gt;3699,AP92*0.01345,""))))</f>
        <v>0</v>
      </c>
      <c r="AR92" s="580">
        <v>12</v>
      </c>
      <c r="AS92" s="579">
        <v>3378.3316582914576</v>
      </c>
      <c r="AT92" s="517">
        <f t="shared" ref="AT92:AT97" si="188">IF(AS92&lt;2700,AS92*0.007,IF(AS92&lt;3200,AS92*0.008,IF(AS92&lt;3700,AS92*0.0097,IF(AS92&gt;3699,AS92*0.01095,""))))</f>
        <v>32.769817085427142</v>
      </c>
      <c r="AU92" s="580"/>
      <c r="AV92" s="620"/>
      <c r="AW92" s="517">
        <f t="shared" ref="AW92:AW97" si="189">IF(AV92&lt;2700,AV92*0.0097,IF(AV92&lt;3200,AV92*0.01095,IF(AV92&lt;3700,AV92*0.0122,IF(AV92&gt;3699,AV92*0.01345,""))))</f>
        <v>0</v>
      </c>
      <c r="AX92" s="580"/>
      <c r="AY92" s="620"/>
      <c r="AZ92" s="517">
        <f t="shared" ref="AZ92:AZ97" si="190">IF(AY92&lt;2700,AY92*0.0097,IF(AY92&lt;3200,AY92*0.01095,IF(AY92&lt;3700,AY92*0.0122,IF(AY92&gt;3699,AY92*0.01345,""))))</f>
        <v>0</v>
      </c>
      <c r="BA92" s="580"/>
      <c r="BB92" s="581">
        <f t="shared" si="101"/>
        <v>27579.979899497492</v>
      </c>
      <c r="BC92" s="582">
        <f t="shared" si="101"/>
        <v>249.09520402010057</v>
      </c>
      <c r="BD92" s="465">
        <f t="shared" si="101"/>
        <v>72</v>
      </c>
      <c r="BE92" s="587"/>
      <c r="BF92" s="637">
        <f t="shared" si="177"/>
        <v>321.0952040201006</v>
      </c>
      <c r="BG92" s="620">
        <v>3115.8994974874367</v>
      </c>
      <c r="BH92" s="517">
        <f>IF(BG92&lt;2700,BG92*0.008,IF(BG92&lt;3200,BG92*0.0097,IF(BG92&lt;3700,BG92*0.01095,IF(BG92&gt;3699,BG92*0.0122,""))))</f>
        <v>30.224225125628138</v>
      </c>
      <c r="BI92" s="580"/>
      <c r="BJ92" s="620">
        <v>0</v>
      </c>
      <c r="BK92" s="517">
        <f t="shared" ref="BK92:BK97" si="191">IF(BJ92&lt;2700,BJ92*0.0097,IF(BJ92&lt;3200,BJ92*0.01095,IF(BJ92&lt;3700,BJ92*0.0122,IF(BJ92&gt;3699,BJ92*0.01345,""))))</f>
        <v>0</v>
      </c>
      <c r="BL92" s="580">
        <v>0</v>
      </c>
      <c r="BM92" s="579">
        <v>2514.3316582914572</v>
      </c>
      <c r="BN92" s="517">
        <f>IF(BM92&lt;2700,BM92*0.008,IF(BM92&lt;3200,BM92*0.0097,IF(BM92&lt;3700,BM92*0.01095,IF(BM92&gt;3699,BM92*0.0122,""))))</f>
        <v>20.114653266331658</v>
      </c>
      <c r="BO92" s="580"/>
      <c r="BP92" s="579">
        <v>0</v>
      </c>
      <c r="BQ92" s="517">
        <f>IF(BP92&lt;2700,BP92*0.0097,IF(BP92&lt;3200,BP92*0.01095,IF(BP92&lt;3700,BP92*0.0122,IF(BP92&gt;3699,BP92*0.01345,""))))</f>
        <v>0</v>
      </c>
      <c r="BR92" s="580">
        <v>18</v>
      </c>
      <c r="BS92" s="579">
        <v>0</v>
      </c>
      <c r="BT92" s="517">
        <f>IF(BS92&lt;2700,BS92*0.0097,IF(BS92&lt;3200,BS92*0.01095,IF(BS92&lt;3700,BS92*0.0122,IF(BS92&gt;3699,BS92*0.01345,""))))</f>
        <v>0</v>
      </c>
      <c r="BU92" s="580">
        <v>18</v>
      </c>
      <c r="BV92" s="579">
        <v>2122.1306532663316</v>
      </c>
      <c r="BW92" s="517">
        <f>IF(BV92&lt;2700,BV92*0.008,IF(BV92&lt;3200,BV92*0.0097,IF(BV92&lt;3700,BV92*0.01095,IF(BV92&gt;3699,BV92*0.0122,""))))</f>
        <v>16.977045226130652</v>
      </c>
      <c r="BX92" s="580"/>
      <c r="BY92" s="579">
        <v>1689.4070351758794</v>
      </c>
      <c r="BZ92" s="517">
        <f>IF(BY92&lt;2700,BY92*0.008,IF(BY92&lt;3200,BY92*0.0097,IF(BY92&lt;3700,BY92*0.01095,IF(BY92&gt;3699,BY92*0.0122,""))))</f>
        <v>13.515256281407035</v>
      </c>
      <c r="CA92" s="580"/>
      <c r="CB92" s="620">
        <v>0</v>
      </c>
      <c r="CC92" s="517">
        <f t="shared" ref="CC92:CC97" si="192">IF(CB92&lt;2700,CB92*0.0097,IF(CB92&lt;3200,CB92*0.01095,IF(CB92&lt;3700,CB92*0.0122,IF(CB92&gt;3699,CB92*0.01345,""))))</f>
        <v>0</v>
      </c>
      <c r="CD92" s="580">
        <v>10</v>
      </c>
      <c r="CE92" s="579">
        <v>0</v>
      </c>
      <c r="CF92" s="517">
        <f>IF(CE92&lt;2700,CE92*0.0097,IF(CE92&lt;3200,CE92*0.01095,IF(CE92&lt;3700,CE92*0.0122,IF(CE92&gt;3699,CE92*0.01345,""))))</f>
        <v>0</v>
      </c>
      <c r="CG92" s="580">
        <v>18</v>
      </c>
      <c r="CH92" s="620">
        <v>0</v>
      </c>
      <c r="CI92" s="517">
        <f t="shared" ref="CI92:CI97" si="193">IF(CH92&lt;2700,CH92*0.0097,IF(CH92&lt;3200,CH92*0.01095,IF(CH92&lt;3700,CH92*0.0122,IF(CH92&gt;3699,CH92*0.01345,""))))</f>
        <v>0</v>
      </c>
      <c r="CJ92" s="580">
        <v>0</v>
      </c>
      <c r="CK92" s="620">
        <v>0</v>
      </c>
      <c r="CL92" s="517">
        <f t="shared" ref="CL92:CL97" si="194">IF(CK92&lt;2700,CK92*0.0097,IF(CK92&lt;3200,CK92*0.01095,IF(CK92&lt;3700,CK92*0.0122,IF(CK92&gt;3699,CK92*0.01345,""))))</f>
        <v>0</v>
      </c>
      <c r="CM92" s="580"/>
      <c r="CN92" s="620">
        <v>0</v>
      </c>
      <c r="CO92" s="517">
        <f t="shared" ref="CO92:CO97" si="195">IF(CN92&lt;2700,CN92*0.0097,IF(CN92&lt;3200,CN92*0.01095,IF(CN92&lt;3700,CN92*0.0122,IF(CN92&gt;3699,CN92*0.01345,""))))</f>
        <v>0</v>
      </c>
      <c r="CP92" s="580"/>
      <c r="CQ92" s="620">
        <v>0</v>
      </c>
      <c r="CR92" s="517">
        <f t="shared" ref="CR92:CR97" si="196">IF(CQ92&lt;2700,CQ92*0.0097,IF(CQ92&lt;3200,CQ92*0.01095,IF(CQ92&lt;3700,CQ92*0.0122,IF(CQ92&gt;3699,CQ92*0.01345,""))))</f>
        <v>0</v>
      </c>
      <c r="CS92" s="580"/>
      <c r="CT92" s="551">
        <f>BG92+BJ92+BM92+BP92+BS92+BV92+BY92+CB92+CH92+CK92+CN92+CQ92+CE92</f>
        <v>9441.7688442211056</v>
      </c>
      <c r="CU92" s="552">
        <f>BH92+BK92+BN92+BQ92+BT92+BW92+BZ92+CC92+CI92+CL92+CO92+CR92+CF92</f>
        <v>80.831179899497485</v>
      </c>
      <c r="CV92" s="553">
        <f t="shared" si="179"/>
        <v>64</v>
      </c>
      <c r="CW92" s="587"/>
      <c r="CX92" s="554">
        <f t="shared" si="180"/>
        <v>144.8311798994975</v>
      </c>
      <c r="CY92" s="588">
        <f t="shared" si="103"/>
        <v>37021.748743718599</v>
      </c>
      <c r="CZ92" s="589">
        <f t="shared" si="103"/>
        <v>329.92638391959804</v>
      </c>
      <c r="DA92" s="590">
        <f t="shared" si="103"/>
        <v>136</v>
      </c>
      <c r="DB92" s="591">
        <f t="shared" si="181"/>
        <v>465.92638391959804</v>
      </c>
      <c r="DC92" s="1222">
        <v>81.38</v>
      </c>
      <c r="DD92" s="1196">
        <f t="shared" si="136"/>
        <v>547.30638391959803</v>
      </c>
      <c r="DE92" s="920" t="s">
        <v>865</v>
      </c>
      <c r="DF92" s="570"/>
      <c r="DG92" s="570"/>
      <c r="DH92" s="570"/>
      <c r="DI92" s="570"/>
      <c r="DJ92" s="570"/>
      <c r="DK92" s="570"/>
      <c r="DL92" s="570"/>
      <c r="DM92" s="570"/>
      <c r="DN92" s="570"/>
      <c r="DO92" s="570"/>
      <c r="DP92" s="570"/>
      <c r="DQ92" s="570"/>
      <c r="DR92" s="570"/>
      <c r="DS92" s="570"/>
      <c r="DT92" s="570"/>
      <c r="DU92" s="570"/>
      <c r="DV92" s="570"/>
      <c r="DW92" s="570"/>
      <c r="DX92" s="570"/>
      <c r="DY92" s="570"/>
      <c r="DZ92" s="570"/>
      <c r="EA92" s="570"/>
      <c r="EB92" s="570"/>
      <c r="EC92" s="570"/>
      <c r="ED92" s="570"/>
      <c r="EE92" s="570"/>
      <c r="EF92" s="570"/>
      <c r="EG92" s="570"/>
      <c r="EH92" s="570"/>
      <c r="EI92" s="570"/>
      <c r="EJ92" s="570"/>
      <c r="EK92" s="570"/>
      <c r="EL92" s="570"/>
      <c r="EM92" s="570"/>
      <c r="EN92" s="570"/>
      <c r="EO92" s="570"/>
      <c r="EP92" s="570"/>
      <c r="EQ92" s="570"/>
      <c r="ER92" s="570"/>
    </row>
    <row r="93" spans="1:148" ht="15.75" x14ac:dyDescent="0.25">
      <c r="A93" s="454">
        <f t="shared" si="137"/>
        <v>85</v>
      </c>
      <c r="B93" s="965" t="s">
        <v>121</v>
      </c>
      <c r="C93" s="919" t="s">
        <v>756</v>
      </c>
      <c r="D93" s="635" t="s">
        <v>574</v>
      </c>
      <c r="E93" s="636" t="s">
        <v>575</v>
      </c>
      <c r="F93" s="579">
        <v>3591.0753768844224</v>
      </c>
      <c r="G93" s="517">
        <f>IF(F93&lt;2700,F93*0.007,IF(F93&lt;3200,F93*0.008,IF(F93&lt;3700,F93*0.0097,IF(F93&gt;3699,F93*0.01095,""))))</f>
        <v>34.833431155778896</v>
      </c>
      <c r="H93" s="580"/>
      <c r="I93" s="579">
        <v>2202.6934673366836</v>
      </c>
      <c r="J93" s="517">
        <f>IF(I93&lt;2700,I93*0.007,IF(I93&lt;3200,I93*0.008,IF(I93&lt;3700,I93*0.0097,IF(I93&gt;3699,I93*0.01095,""))))</f>
        <v>15.418854271356786</v>
      </c>
      <c r="K93" s="580">
        <v>5</v>
      </c>
      <c r="L93" s="579">
        <v>3606.0301507537688</v>
      </c>
      <c r="M93" s="517">
        <f>IF(L93&lt;2700,L93*0.007,IF(L93&lt;3200,L93*0.008,IF(L93&lt;3700,L93*0.0097,IF(L93&gt;3699,L93*0.01095,""))))</f>
        <v>34.978492462311557</v>
      </c>
      <c r="N93" s="580"/>
      <c r="O93" s="620"/>
      <c r="P93" s="517">
        <f t="shared" si="185"/>
        <v>0</v>
      </c>
      <c r="Q93" s="580"/>
      <c r="R93" s="618">
        <v>0</v>
      </c>
      <c r="S93" s="517">
        <f>IF(R93&lt;2700,R93*0.008,IF(R93&lt;3200,R93*0.0097,IF(R93&lt;3700,R93*0.01095,IF(R93&gt;3699,R93*0.0122,""))))</f>
        <v>0</v>
      </c>
      <c r="T93" s="619">
        <v>18</v>
      </c>
      <c r="U93" s="618">
        <v>0</v>
      </c>
      <c r="V93" s="517">
        <f>IF(U93&lt;2700,U93*0.008,IF(U93&lt;3200,U93*0.0097,IF(U93&lt;3700,U93*0.01095,IF(U93&gt;3699,U93*0.0122,""))))</f>
        <v>0</v>
      </c>
      <c r="W93" s="619">
        <v>18</v>
      </c>
      <c r="X93" s="618">
        <v>0</v>
      </c>
      <c r="Y93" s="517">
        <f>IF(X93&lt;2700,X93*0.008,IF(X93&lt;3200,X93*0.0097,IF(X93&lt;3700,X93*0.01095,IF(X93&gt;3699,X93*0.0122,""))))</f>
        <v>0</v>
      </c>
      <c r="Z93" s="619">
        <v>18</v>
      </c>
      <c r="AA93" s="618">
        <v>0</v>
      </c>
      <c r="AB93" s="517">
        <f>IF(AA93&lt;2700,AA93*0.008,IF(AA93&lt;3200,AA93*0.0097,IF(AA93&lt;3700,AA93*0.01095,IF(AA93&gt;3699,AA93*0.0122,""))))</f>
        <v>0</v>
      </c>
      <c r="AC93" s="619">
        <v>18</v>
      </c>
      <c r="AD93" s="618">
        <v>0</v>
      </c>
      <c r="AE93" s="517">
        <f>IF(AD93&lt;2700,AD93*0.008,IF(AD93&lt;3200,AD93*0.0097,IF(AD93&lt;3700,AD93*0.01095,IF(AD93&gt;3699,AD93*0.0122,""))))</f>
        <v>0</v>
      </c>
      <c r="AF93" s="619">
        <v>18</v>
      </c>
      <c r="AG93" s="618">
        <v>0</v>
      </c>
      <c r="AH93" s="517">
        <f t="shared" si="186"/>
        <v>0</v>
      </c>
      <c r="AI93" s="619">
        <v>18</v>
      </c>
      <c r="AJ93" s="579">
        <v>0</v>
      </c>
      <c r="AK93" s="517">
        <f>IF(AJ93&lt;2700,AJ93*0.008,IF(AJ93&lt;3200,AJ93*0.0097,IF(AJ93&lt;3700,AJ93*0.01095,IF(AJ93&gt;3699,AJ93*0.0122,""))))</f>
        <v>0</v>
      </c>
      <c r="AL93" s="580">
        <v>18</v>
      </c>
      <c r="AM93" s="579">
        <v>0</v>
      </c>
      <c r="AN93" s="517">
        <f>IF(AM93&lt;2700,AM93*0.008,IF(AM93&lt;3200,AM93*0.0097,IF(AM93&lt;3700,AM93*0.01095,IF(AM93&gt;3699,AM93*0.0122,""))))</f>
        <v>0</v>
      </c>
      <c r="AO93" s="580">
        <v>18</v>
      </c>
      <c r="AP93" s="579">
        <v>0</v>
      </c>
      <c r="AQ93" s="517">
        <f t="shared" si="187"/>
        <v>0</v>
      </c>
      <c r="AR93" s="580">
        <v>18</v>
      </c>
      <c r="AS93" s="579">
        <v>2660.0201005025128</v>
      </c>
      <c r="AT93" s="517">
        <f t="shared" si="188"/>
        <v>18.620140703517592</v>
      </c>
      <c r="AU93" s="580"/>
      <c r="AV93" s="620"/>
      <c r="AW93" s="517">
        <f t="shared" si="189"/>
        <v>0</v>
      </c>
      <c r="AX93" s="580"/>
      <c r="AY93" s="620"/>
      <c r="AZ93" s="517">
        <f t="shared" si="190"/>
        <v>0</v>
      </c>
      <c r="BA93" s="580"/>
      <c r="BB93" s="581">
        <f t="shared" ref="BB93:BD98" si="197">+F93+I93+L93+O93+R93+U93+X93+AA93+AD93+AG93+AJ93+AM93+AP93+AS93+AV93+AY93</f>
        <v>12059.819095477385</v>
      </c>
      <c r="BC93" s="582">
        <f t="shared" si="197"/>
        <v>103.85091859296483</v>
      </c>
      <c r="BD93" s="465">
        <f t="shared" si="197"/>
        <v>167</v>
      </c>
      <c r="BE93" s="587"/>
      <c r="BF93" s="637">
        <f t="shared" si="177"/>
        <v>270.85091859296483</v>
      </c>
      <c r="BG93" s="620">
        <v>0</v>
      </c>
      <c r="BH93" s="517">
        <f>IF(BG93&lt;2700,BG93*0.0097,IF(BG93&lt;3200,BG93*0.01095,IF(BG93&lt;3700,BG93*0.0122,IF(BG93&gt;3699,BG93*0.01345,""))))</f>
        <v>0</v>
      </c>
      <c r="BI93" s="580">
        <v>18</v>
      </c>
      <c r="BJ93" s="620">
        <v>0</v>
      </c>
      <c r="BK93" s="585">
        <f t="shared" si="191"/>
        <v>0</v>
      </c>
      <c r="BL93" s="585">
        <v>0</v>
      </c>
      <c r="BM93" s="579">
        <v>2417.849246231156</v>
      </c>
      <c r="BN93" s="517">
        <f>IF(BM93&lt;2700,BM93*0.008,IF(BM93&lt;3200,BM93*0.0097,IF(BM93&lt;3700,BM93*0.01095,IF(BM93&gt;3699,BM93*0.0122,""))))</f>
        <v>19.34279396984925</v>
      </c>
      <c r="BO93" s="580"/>
      <c r="BP93" s="579">
        <v>2535.075376884422</v>
      </c>
      <c r="BQ93" s="517">
        <f>IF(BP93&lt;2700,BP93*0.008,IF(BP93&lt;3200,BP93*0.0097,IF(BP93&lt;3700,BP93*0.01095,IF(BP93&gt;3699,BP93*0.0122,""))))</f>
        <v>20.280603015075375</v>
      </c>
      <c r="BR93" s="580"/>
      <c r="BS93" s="579">
        <v>2651.8190954773868</v>
      </c>
      <c r="BT93" s="517">
        <f>IF(BS93&lt;2700,BS93*0.008,IF(BS93&lt;3200,BS93*0.0097,IF(BS93&lt;3700,BS93*0.01095,IF(BS93&gt;3699,BS93*0.0122,""))))</f>
        <v>21.214552763819096</v>
      </c>
      <c r="BU93" s="580"/>
      <c r="BV93" s="579">
        <v>2339.21608040201</v>
      </c>
      <c r="BW93" s="517">
        <f>IF(BV93&lt;2700,BV93*0.0097,IF(BV93&lt;3200,BV93*0.01095,IF(BV93&lt;3700,BV93*0.0122,IF(BV93&gt;3699,BV93*0.01345,""))))</f>
        <v>22.690395979899499</v>
      </c>
      <c r="BX93" s="580"/>
      <c r="BY93" s="579">
        <v>1100.3819095477386</v>
      </c>
      <c r="BZ93" s="517">
        <f>IF(BY93&lt;2700,BY93*0.0097,IF(BY93&lt;3200,BY93*0.01095,IF(BY93&lt;3700,BY93*0.0122,IF(BY93&gt;3699,BY93*0.01345,""))))</f>
        <v>10.673704522613065</v>
      </c>
      <c r="CA93" s="580"/>
      <c r="CB93" s="620">
        <v>0</v>
      </c>
      <c r="CC93" s="517">
        <f t="shared" si="192"/>
        <v>0</v>
      </c>
      <c r="CD93" s="580">
        <v>10</v>
      </c>
      <c r="CE93" s="579">
        <v>2947.0552763819092</v>
      </c>
      <c r="CF93" s="517">
        <f>IF(CE93&lt;2700,CE93*0.0097,IF(CE93&lt;3200,CE93*0.01095,IF(CE93&lt;3700,CE93*0.0122,IF(CE93&gt;3699,CE93*0.01345,""))))</f>
        <v>32.270255276381903</v>
      </c>
      <c r="CG93" s="580"/>
      <c r="CH93" s="620">
        <v>0</v>
      </c>
      <c r="CI93" s="517">
        <f t="shared" si="193"/>
        <v>0</v>
      </c>
      <c r="CJ93" s="580">
        <v>18</v>
      </c>
      <c r="CK93" s="620">
        <v>0</v>
      </c>
      <c r="CL93" s="517">
        <f t="shared" si="194"/>
        <v>0</v>
      </c>
      <c r="CM93" s="580"/>
      <c r="CN93" s="620">
        <v>0</v>
      </c>
      <c r="CO93" s="517">
        <f t="shared" si="195"/>
        <v>0</v>
      </c>
      <c r="CP93" s="580"/>
      <c r="CQ93" s="620">
        <v>0</v>
      </c>
      <c r="CR93" s="517">
        <f t="shared" si="196"/>
        <v>0</v>
      </c>
      <c r="CS93" s="580"/>
      <c r="CT93" s="551">
        <f t="shared" ref="CT93:CU98" si="198">BG93+BJ93+BM93+BP93+BS93+BV93+BY93+CB93+CH93+CK93+CN93+CQ93+CE93</f>
        <v>13991.396984924622</v>
      </c>
      <c r="CU93" s="552">
        <f t="shared" si="198"/>
        <v>126.47230552763818</v>
      </c>
      <c r="CV93" s="553">
        <f t="shared" si="179"/>
        <v>46</v>
      </c>
      <c r="CW93" s="587"/>
      <c r="CX93" s="554">
        <f t="shared" si="180"/>
        <v>172.47230552763818</v>
      </c>
      <c r="CY93" s="555">
        <f t="shared" ref="CY93:DA98" si="199">+BB93+CT93</f>
        <v>26051.21608040201</v>
      </c>
      <c r="CZ93" s="556">
        <f t="shared" si="199"/>
        <v>230.32322412060302</v>
      </c>
      <c r="DA93" s="557">
        <f t="shared" si="199"/>
        <v>213</v>
      </c>
      <c r="DB93" s="558">
        <f t="shared" si="181"/>
        <v>443.32322412060302</v>
      </c>
      <c r="DC93" s="1222">
        <v>27.26</v>
      </c>
      <c r="DD93" s="1196">
        <f t="shared" si="136"/>
        <v>470.58322412060301</v>
      </c>
      <c r="DE93" s="920" t="s">
        <v>865</v>
      </c>
    </row>
    <row r="94" spans="1:148" s="398" customFormat="1" ht="15.75" x14ac:dyDescent="0.25">
      <c r="A94" s="454">
        <f t="shared" si="137"/>
        <v>86</v>
      </c>
      <c r="B94" s="962" t="s">
        <v>80</v>
      </c>
      <c r="C94" s="919" t="s">
        <v>756</v>
      </c>
      <c r="D94" s="751" t="s">
        <v>652</v>
      </c>
      <c r="E94" s="756" t="s">
        <v>653</v>
      </c>
      <c r="F94" s="757">
        <v>0</v>
      </c>
      <c r="G94" s="979">
        <f>IF(F94&lt;2700,F94*0.0097,IF(F94&lt;3200,F94*0.01095,IF(F94&lt;3700,F94*0.0122,IF(F94&gt;3699,F94*0.01345,""))))</f>
        <v>0</v>
      </c>
      <c r="H94" s="671"/>
      <c r="I94" s="757">
        <v>2919.075376884422</v>
      </c>
      <c r="J94" s="517">
        <f>IF(I94&lt;2700,I94*0.007,IF(I94&lt;3200,I94*0.008,IF(I94&lt;3700,I94*0.0097,IF(I94&gt;3699,I94*0.01095,""))))</f>
        <v>23.352603015075378</v>
      </c>
      <c r="K94" s="671"/>
      <c r="L94" s="757">
        <v>1063.718592964824</v>
      </c>
      <c r="M94" s="517">
        <f>IF(L94&lt;2700,L94*0.007,IF(L94&lt;3200,L94*0.008,IF(L94&lt;3700,L94*0.0097,IF(L94&gt;3699,L94*0.01095,""))))</f>
        <v>7.4460301507537681</v>
      </c>
      <c r="N94" s="671">
        <v>20</v>
      </c>
      <c r="O94" s="758"/>
      <c r="P94" s="671">
        <f t="shared" si="185"/>
        <v>0</v>
      </c>
      <c r="Q94" s="671"/>
      <c r="R94" s="757">
        <v>4258.2512562814072</v>
      </c>
      <c r="S94" s="517">
        <f>IF(R94&lt;2700,R94*0.007,IF(R94&lt;3200,R94*0.008,IF(R94&lt;3700,R94*0.0097,IF(R94&gt;3699,R94*0.01095,""))))</f>
        <v>46.62785125628141</v>
      </c>
      <c r="T94" s="671"/>
      <c r="U94" s="757">
        <v>2880</v>
      </c>
      <c r="V94" s="517">
        <f>IF(U94&lt;2700,U94*0.007,IF(U94&lt;3200,U94*0.008,IF(U94&lt;3700,U94*0.0097,IF(U94&gt;3699,U94*0.01095,""))))</f>
        <v>23.04</v>
      </c>
      <c r="W94" s="671"/>
      <c r="X94" s="758">
        <v>2844.7839195979896</v>
      </c>
      <c r="Y94" s="517">
        <f>IF(X94&lt;2700,X94*0.007,IF(X94&lt;3200,X94*0.008,IF(X94&lt;3700,X94*0.0097,IF(X94&gt;3699,X94*0.01095,""))))</f>
        <v>22.758271356783919</v>
      </c>
      <c r="Z94" s="671"/>
      <c r="AA94" s="758">
        <v>2501.788944723618</v>
      </c>
      <c r="AB94" s="517">
        <f>IF(AA94&lt;2700,AA94*0.007,IF(AA94&lt;3200,AA94*0.008,IF(AA94&lt;3700,AA94*0.0097,IF(AA94&gt;3699,AA94*0.01095,""))))</f>
        <v>17.512522613065325</v>
      </c>
      <c r="AC94" s="671"/>
      <c r="AD94" s="757">
        <v>6204.3015075376898</v>
      </c>
      <c r="AE94" s="517">
        <f>IF(AD94&lt;2700,AD94*0.007,IF(AD94&lt;3200,AD94*0.008,IF(AD94&lt;3700,AD94*0.0097,IF(AD94&gt;3699,AD94*0.01095,""))))</f>
        <v>67.937101507537704</v>
      </c>
      <c r="AF94" s="671"/>
      <c r="AG94" s="757">
        <v>0</v>
      </c>
      <c r="AH94" s="671">
        <f t="shared" si="186"/>
        <v>0</v>
      </c>
      <c r="AI94" s="671"/>
      <c r="AJ94" s="757">
        <v>0</v>
      </c>
      <c r="AK94" s="979">
        <f>IF(AJ94&lt;2700,AJ94*0.0097,IF(AJ94&lt;3200,AJ94*0.01095,IF(AJ94&lt;3700,AJ94*0.0122,IF(AJ94&gt;3699,AJ94*0.01345,""))))</f>
        <v>0</v>
      </c>
      <c r="AL94" s="671"/>
      <c r="AM94" s="757">
        <v>3554.4120603015072</v>
      </c>
      <c r="AN94" s="517">
        <f>IF(AM94&lt;2700,AM94*0.007,IF(AM94&lt;3200,AM94*0.008,IF(AM94&lt;3700,AM94*0.0097,IF(AM94&gt;3699,AM94*0.01095,""))))</f>
        <v>34.477796984924623</v>
      </c>
      <c r="AO94" s="671"/>
      <c r="AP94" s="758">
        <v>0</v>
      </c>
      <c r="AQ94" s="671">
        <f t="shared" si="187"/>
        <v>0</v>
      </c>
      <c r="AR94" s="964">
        <v>14</v>
      </c>
      <c r="AS94" s="757">
        <v>4090.3718592964824</v>
      </c>
      <c r="AT94" s="517">
        <f t="shared" si="188"/>
        <v>44.78957185929648</v>
      </c>
      <c r="AU94" s="671"/>
      <c r="AV94" s="758"/>
      <c r="AW94" s="671">
        <f t="shared" si="189"/>
        <v>0</v>
      </c>
      <c r="AX94" s="671"/>
      <c r="AY94" s="758"/>
      <c r="AZ94" s="671">
        <f t="shared" si="190"/>
        <v>0</v>
      </c>
      <c r="BA94" s="671"/>
      <c r="BB94" s="735">
        <f t="shared" si="197"/>
        <v>30316.703517587943</v>
      </c>
      <c r="BC94" s="736">
        <f t="shared" si="197"/>
        <v>287.94174874371862</v>
      </c>
      <c r="BD94" s="737">
        <f t="shared" si="197"/>
        <v>34</v>
      </c>
      <c r="BE94" s="759"/>
      <c r="BF94" s="760">
        <f t="shared" si="177"/>
        <v>321.94174874371862</v>
      </c>
      <c r="BG94" s="758">
        <v>4243.29648241206</v>
      </c>
      <c r="BH94" s="671">
        <f>IF(BG94&lt;2700,BG94*0.008,IF(BG94&lt;3200,BG94*0.0097,IF(BG94&lt;3700,BG94*0.01095,IF(BG94&gt;3699,BG94*0.0122,""))))</f>
        <v>51.768217085427132</v>
      </c>
      <c r="BI94" s="671"/>
      <c r="BJ94" s="758">
        <v>0</v>
      </c>
      <c r="BK94" s="671">
        <f t="shared" si="191"/>
        <v>0</v>
      </c>
      <c r="BL94" s="671">
        <v>0</v>
      </c>
      <c r="BM94" s="757">
        <v>3133.7487437185928</v>
      </c>
      <c r="BN94" s="671">
        <f>IF(BM94&lt;2700,BM94*0.008,IF(BM94&lt;3200,BM94*0.0097,IF(BM94&lt;3700,BM94*0.01095,IF(BM94&gt;3699,BM94*0.0122,""))))</f>
        <v>30.397362814070352</v>
      </c>
      <c r="BO94" s="671"/>
      <c r="BP94" s="757">
        <v>3044.9849246231151</v>
      </c>
      <c r="BQ94" s="671">
        <f>IF(BP94&lt;2700,BP94*0.008,IF(BP94&lt;3200,BP94*0.0097,IF(BP94&lt;3700,BP94*0.01095,IF(BP94&gt;3699,BP94*0.0122,""))))</f>
        <v>29.536353768844219</v>
      </c>
      <c r="BR94" s="671"/>
      <c r="BS94" s="757">
        <v>0</v>
      </c>
      <c r="BT94" s="671">
        <f>IF(BS94&lt;2700,BS94*0.0097,IF(BS94&lt;3200,BS94*0.01095,IF(BS94&lt;3700,BS94*0.0122,IF(BS94&gt;3699,BS94*0.01345,""))))</f>
        <v>0</v>
      </c>
      <c r="BU94" s="671">
        <v>18</v>
      </c>
      <c r="BV94" s="757">
        <v>3044.9849246231151</v>
      </c>
      <c r="BW94" s="671">
        <f>IF(BV94&lt;2700,BV94*0.008,IF(BV94&lt;3200,BV94*0.0097,IF(BV94&lt;3700,BV94*0.01095,IF(BV94&gt;3699,BV94*0.0122,""))))</f>
        <v>29.536353768844219</v>
      </c>
      <c r="BX94" s="671"/>
      <c r="BY94" s="757">
        <v>1389.8291457286434</v>
      </c>
      <c r="BZ94" s="671">
        <f>IF(BY94&lt;2700,BY94*0.008,IF(BY94&lt;3200,BY94*0.0097,IF(BY94&lt;3700,BY94*0.01095,IF(BY94&gt;3699,BY94*0.0122,""))))</f>
        <v>11.118633165829147</v>
      </c>
      <c r="CA94" s="671"/>
      <c r="CB94" s="758">
        <v>0</v>
      </c>
      <c r="CC94" s="671">
        <f t="shared" si="192"/>
        <v>0</v>
      </c>
      <c r="CD94" s="671">
        <v>0</v>
      </c>
      <c r="CE94" s="757">
        <v>0</v>
      </c>
      <c r="CF94" s="671">
        <f>IF(CE94&lt;2700,CE94*0.0097,IF(CE94&lt;3200,CE94*0.01095,IF(CE94&lt;3700,CE94*0.0122,IF(CE94&gt;3699,CE94*0.01345,""))))</f>
        <v>0</v>
      </c>
      <c r="CG94" s="671">
        <v>18</v>
      </c>
      <c r="CH94" s="757">
        <v>0</v>
      </c>
      <c r="CI94" s="671">
        <f t="shared" si="193"/>
        <v>0</v>
      </c>
      <c r="CJ94" s="671"/>
      <c r="CK94" s="757">
        <v>0</v>
      </c>
      <c r="CL94" s="671">
        <f t="shared" si="194"/>
        <v>0</v>
      </c>
      <c r="CM94" s="671"/>
      <c r="CN94" s="757">
        <v>0</v>
      </c>
      <c r="CO94" s="671">
        <f t="shared" si="195"/>
        <v>0</v>
      </c>
      <c r="CP94" s="671"/>
      <c r="CQ94" s="757">
        <v>0</v>
      </c>
      <c r="CR94" s="671">
        <f t="shared" si="196"/>
        <v>0</v>
      </c>
      <c r="CS94" s="671"/>
      <c r="CT94" s="698">
        <f t="shared" si="198"/>
        <v>14856.844221105526</v>
      </c>
      <c r="CU94" s="699">
        <f t="shared" si="198"/>
        <v>152.35692060301508</v>
      </c>
      <c r="CV94" s="700">
        <f t="shared" si="179"/>
        <v>36</v>
      </c>
      <c r="CW94" s="583"/>
      <c r="CX94" s="701">
        <f t="shared" si="180"/>
        <v>188.35692060301508</v>
      </c>
      <c r="CY94" s="588">
        <f t="shared" si="199"/>
        <v>45173.547738693465</v>
      </c>
      <c r="CZ94" s="589">
        <f t="shared" si="199"/>
        <v>440.29866934673373</v>
      </c>
      <c r="DA94" s="590">
        <f t="shared" si="199"/>
        <v>70</v>
      </c>
      <c r="DB94" s="591">
        <f t="shared" si="181"/>
        <v>510.29866934673373</v>
      </c>
      <c r="DC94" s="1222">
        <v>85.19</v>
      </c>
      <c r="DD94" s="1196">
        <f t="shared" si="136"/>
        <v>595.48866934673379</v>
      </c>
      <c r="DE94" s="920" t="s">
        <v>865</v>
      </c>
      <c r="DF94" s="766"/>
    </row>
    <row r="95" spans="1:148" ht="15.75" x14ac:dyDescent="0.25">
      <c r="A95" s="454">
        <f t="shared" si="137"/>
        <v>87</v>
      </c>
      <c r="B95" s="965" t="s">
        <v>260</v>
      </c>
      <c r="C95" s="919" t="s">
        <v>756</v>
      </c>
      <c r="D95" s="635" t="s">
        <v>558</v>
      </c>
      <c r="E95" s="636" t="s">
        <v>559</v>
      </c>
      <c r="F95" s="579">
        <v>0</v>
      </c>
      <c r="G95" s="517">
        <f>IF(F95&lt;2700,F95*0.008,IF(F95&lt;3200,F95*0.0097,IF(F95&lt;3700,F95*0.01095,IF(F95&gt;3699,F95*0.0122,""))))</f>
        <v>0</v>
      </c>
      <c r="H95" s="580">
        <v>20</v>
      </c>
      <c r="I95" s="579">
        <v>0</v>
      </c>
      <c r="J95" s="517">
        <f>IF(I95&lt;2700,I95*0.008,IF(I95&lt;3200,I95*0.0097,IF(I95&lt;3700,I95*0.01095,IF(I95&gt;3699,I95*0.0122,""))))</f>
        <v>0</v>
      </c>
      <c r="K95" s="580">
        <v>20</v>
      </c>
      <c r="L95" s="579">
        <v>0</v>
      </c>
      <c r="M95" s="517">
        <f>IF(L95&lt;2700,L95*0.0097,IF(L95&lt;3200,L95*0.01095,IF(L95&lt;3700,L95*0.0122,IF(L95&gt;3699,L95*0.01345,""))))</f>
        <v>0</v>
      </c>
      <c r="N95" s="580">
        <v>40</v>
      </c>
      <c r="O95" s="620"/>
      <c r="P95" s="517">
        <f t="shared" si="185"/>
        <v>0</v>
      </c>
      <c r="Q95" s="580"/>
      <c r="R95" s="579">
        <v>4473.4070351758792</v>
      </c>
      <c r="S95" s="517">
        <f>IF(R95&lt;2700,R95*0.007,IF(R95&lt;3200,R95*0.008,IF(R95&lt;3700,R95*0.0097,IF(R95&gt;3699,R95*0.01095,""))))</f>
        <v>48.983807035175879</v>
      </c>
      <c r="T95" s="580"/>
      <c r="U95" s="579">
        <v>3696.723618090452</v>
      </c>
      <c r="V95" s="517">
        <f>IF(U95&lt;2700,U95*0.007,IF(U95&lt;3200,U95*0.008,IF(U95&lt;3700,U95*0.0097,IF(U95&gt;3699,U95*0.01095,""))))</f>
        <v>35.858219095477388</v>
      </c>
      <c r="W95" s="580"/>
      <c r="X95" s="620">
        <v>3216.7236180904524</v>
      </c>
      <c r="Y95" s="517">
        <f>IF(X95&lt;2700,X95*0.007,IF(X95&lt;3200,X95*0.008,IF(X95&lt;3700,X95*0.0097,IF(X95&gt;3699,X95*0.01095,""))))</f>
        <v>31.202219095477389</v>
      </c>
      <c r="Z95" s="580"/>
      <c r="AA95" s="620">
        <v>1894.4321608040202</v>
      </c>
      <c r="AB95" s="517">
        <f>IF(AA95&lt;2700,AA95*0.007,IF(AA95&lt;3200,AA95*0.008,IF(AA95&lt;3700,AA95*0.0097,IF(AA95&gt;3699,AA95*0.01095,""))))</f>
        <v>13.261025125628143</v>
      </c>
      <c r="AC95" s="580"/>
      <c r="AD95" s="579">
        <v>8091.0150753768849</v>
      </c>
      <c r="AE95" s="517">
        <f>IF(AD95&lt;2700,AD95*0.007,IF(AD95&lt;3200,AD95*0.008,IF(AD95&lt;3700,AD95*0.0097,IF(AD95&gt;3699,AD95*0.01095,""))))</f>
        <v>88.596615075376889</v>
      </c>
      <c r="AF95" s="580"/>
      <c r="AG95" s="579">
        <v>0</v>
      </c>
      <c r="AH95" s="517">
        <f t="shared" si="186"/>
        <v>0</v>
      </c>
      <c r="AI95" s="580"/>
      <c r="AJ95" s="579">
        <v>3043.5376884422112</v>
      </c>
      <c r="AK95" s="517">
        <f>IF(AJ95&lt;2700,AJ95*0.007,IF(AJ95&lt;3200,AJ95*0.008,IF(AJ95&lt;3700,AJ95*0.0097,IF(AJ95&gt;3699,AJ95*0.01095,""))))</f>
        <v>24.348301507537691</v>
      </c>
      <c r="AL95" s="580"/>
      <c r="AM95" s="579">
        <v>3446.8341708542712</v>
      </c>
      <c r="AN95" s="517">
        <f>IF(AM95&lt;2700,AM95*0.007,IF(AM95&lt;3200,AM95*0.008,IF(AM95&lt;3700,AM95*0.0097,IF(AM95&gt;3699,AM95*0.01095,""))))</f>
        <v>33.434291457286434</v>
      </c>
      <c r="AO95" s="580"/>
      <c r="AP95" s="620">
        <v>0</v>
      </c>
      <c r="AQ95" s="517">
        <f t="shared" si="187"/>
        <v>0</v>
      </c>
      <c r="AR95" s="580">
        <v>12</v>
      </c>
      <c r="AS95" s="579">
        <v>3807.6783919597992</v>
      </c>
      <c r="AT95" s="517">
        <f t="shared" si="188"/>
        <v>41.694078391959799</v>
      </c>
      <c r="AU95" s="580"/>
      <c r="AV95" s="620"/>
      <c r="AW95" s="517">
        <f t="shared" si="189"/>
        <v>0</v>
      </c>
      <c r="AX95" s="580"/>
      <c r="AY95" s="620"/>
      <c r="AZ95" s="517">
        <f t="shared" si="190"/>
        <v>0</v>
      </c>
      <c r="BA95" s="580"/>
      <c r="BB95" s="581">
        <f t="shared" si="197"/>
        <v>31670.351758793971</v>
      </c>
      <c r="BC95" s="582">
        <f t="shared" si="197"/>
        <v>317.37855678391963</v>
      </c>
      <c r="BD95" s="465">
        <f t="shared" si="197"/>
        <v>92</v>
      </c>
      <c r="BE95" s="587"/>
      <c r="BF95" s="637">
        <f t="shared" si="177"/>
        <v>409.37855678391963</v>
      </c>
      <c r="BG95" s="620">
        <v>3813.4673366834168</v>
      </c>
      <c r="BH95" s="517">
        <f>IF(BG95&lt;2700,BG95*0.008,IF(BG95&lt;3200,BG95*0.0097,IF(BG95&lt;3700,BG95*0.01095,IF(BG95&gt;3699,BG95*0.0122,""))))</f>
        <v>46.524301507537686</v>
      </c>
      <c r="BI95" s="580"/>
      <c r="BJ95" s="620">
        <v>0</v>
      </c>
      <c r="BK95" s="585">
        <f t="shared" si="191"/>
        <v>0</v>
      </c>
      <c r="BL95" s="585">
        <v>0</v>
      </c>
      <c r="BM95" s="579">
        <v>2916.6633165829144</v>
      </c>
      <c r="BN95" s="517">
        <f>IF(BM95&lt;2700,BM95*0.008,IF(BM95&lt;3200,BM95*0.0097,IF(BM95&lt;3700,BM95*0.01095,IF(BM95&gt;3699,BM95*0.0122,""))))</f>
        <v>28.29163417085427</v>
      </c>
      <c r="BO95" s="580"/>
      <c r="BP95" s="579">
        <v>3408.2412060301508</v>
      </c>
      <c r="BQ95" s="517">
        <f>IF(BP95&lt;2700,BP95*0.008,IF(BP95&lt;3200,BP95*0.0097,IF(BP95&lt;3700,BP95*0.01095,IF(BP95&gt;3699,BP95*0.0122,""))))</f>
        <v>37.320241206030147</v>
      </c>
      <c r="BR95" s="580"/>
      <c r="BS95" s="579">
        <v>3149.6683417085424</v>
      </c>
      <c r="BT95" s="517">
        <f>IF(BS95&lt;2700,BS95*0.008,IF(BS95&lt;3200,BS95*0.0097,IF(BS95&lt;3700,BS95*0.01095,IF(BS95&gt;3699,BS95*0.0122,""))))</f>
        <v>30.551782914572861</v>
      </c>
      <c r="BU95" s="580"/>
      <c r="BV95" s="579">
        <v>3216.2412060301508</v>
      </c>
      <c r="BW95" s="517">
        <f>IF(BV95&lt;2700,BV95*0.008,IF(BV95&lt;3200,BV95*0.0097,IF(BV95&lt;3700,BV95*0.01095,IF(BV95&gt;3699,BV95*0.0122,""))))</f>
        <v>35.217841206030151</v>
      </c>
      <c r="BX95" s="580"/>
      <c r="BY95" s="579">
        <v>1519.5979899497486</v>
      </c>
      <c r="BZ95" s="517">
        <f>IF(BY95&lt;2700,BY95*0.008,IF(BY95&lt;3200,BY95*0.0097,IF(BY95&lt;3700,BY95*0.01095,IF(BY95&gt;3699,BY95*0.0122,""))))</f>
        <v>12.15678391959799</v>
      </c>
      <c r="CA95" s="580"/>
      <c r="CB95" s="620">
        <v>0</v>
      </c>
      <c r="CC95" s="517">
        <f t="shared" si="192"/>
        <v>0</v>
      </c>
      <c r="CD95" s="580">
        <v>10</v>
      </c>
      <c r="CE95" s="579">
        <v>3801.8894472361812</v>
      </c>
      <c r="CF95" s="517">
        <f>IF(CE95&lt;2700,CE95*0.008,IF(CE95&lt;3200,CE95*0.0097,IF(CE95&lt;3700,CE95*0.01095,IF(CE95&gt;3699,CE95*0.0122,""))))</f>
        <v>46.383051256281412</v>
      </c>
      <c r="CG95" s="580"/>
      <c r="CH95" s="620">
        <v>0</v>
      </c>
      <c r="CI95" s="517">
        <f t="shared" si="193"/>
        <v>0</v>
      </c>
      <c r="CJ95" s="580">
        <v>18</v>
      </c>
      <c r="CK95" s="620">
        <v>0</v>
      </c>
      <c r="CL95" s="517">
        <f t="shared" si="194"/>
        <v>0</v>
      </c>
      <c r="CM95" s="580">
        <v>0</v>
      </c>
      <c r="CN95" s="620">
        <v>0</v>
      </c>
      <c r="CO95" s="517">
        <f t="shared" si="195"/>
        <v>0</v>
      </c>
      <c r="CP95" s="580"/>
      <c r="CQ95" s="620">
        <v>0</v>
      </c>
      <c r="CR95" s="517">
        <f t="shared" si="196"/>
        <v>0</v>
      </c>
      <c r="CS95" s="580"/>
      <c r="CT95" s="551">
        <f t="shared" si="198"/>
        <v>21825.768844221104</v>
      </c>
      <c r="CU95" s="552">
        <f t="shared" si="198"/>
        <v>236.44563618090453</v>
      </c>
      <c r="CV95" s="553">
        <f t="shared" si="179"/>
        <v>28</v>
      </c>
      <c r="CW95" s="587"/>
      <c r="CX95" s="554">
        <f t="shared" si="180"/>
        <v>264.44563618090456</v>
      </c>
      <c r="CY95" s="555">
        <f t="shared" si="199"/>
        <v>53496.120603015079</v>
      </c>
      <c r="CZ95" s="556">
        <f t="shared" si="199"/>
        <v>553.82419296482419</v>
      </c>
      <c r="DA95" s="557">
        <f t="shared" si="199"/>
        <v>120</v>
      </c>
      <c r="DB95" s="558">
        <f t="shared" si="181"/>
        <v>673.82419296482419</v>
      </c>
      <c r="DC95" s="1222">
        <v>71.790000000000006</v>
      </c>
      <c r="DD95" s="1196">
        <f t="shared" si="136"/>
        <v>745.61419296482416</v>
      </c>
      <c r="DE95" s="920" t="s">
        <v>865</v>
      </c>
    </row>
    <row r="96" spans="1:148" ht="16.5" thickBot="1" x14ac:dyDescent="0.3">
      <c r="A96" s="454">
        <f t="shared" si="137"/>
        <v>88</v>
      </c>
      <c r="B96" s="962" t="s">
        <v>78</v>
      </c>
      <c r="C96" s="919" t="s">
        <v>756</v>
      </c>
      <c r="D96" s="1223" t="s">
        <v>654</v>
      </c>
      <c r="E96" s="1224" t="s">
        <v>655</v>
      </c>
      <c r="F96" s="757">
        <v>4479.6783919597992</v>
      </c>
      <c r="G96" s="517">
        <f>IF(F96&lt;2700,F96*0.007,IF(F96&lt;3200,F96*0.008,IF(F96&lt;3700,F96*0.0097,IF(F96&gt;3699,F96*0.01095,""))))</f>
        <v>49.052478391959802</v>
      </c>
      <c r="H96" s="671"/>
      <c r="I96" s="757">
        <v>4079.7587939698487</v>
      </c>
      <c r="J96" s="517">
        <f>IF(I96&lt;2700,I96*0.007,IF(I96&lt;3200,I96*0.008,IF(I96&lt;3700,I96*0.0097,IF(I96&gt;3699,I96*0.01095,""))))</f>
        <v>44.67335879396984</v>
      </c>
      <c r="K96" s="671"/>
      <c r="L96" s="757">
        <v>4446.8743718592968</v>
      </c>
      <c r="M96" s="517">
        <f>IF(L96&lt;2700,L96*0.007,IF(L96&lt;3200,L96*0.008,IF(L96&lt;3700,L96*0.0097,IF(L96&gt;3699,L96*0.01095,""))))</f>
        <v>48.693274371859296</v>
      </c>
      <c r="N96" s="671"/>
      <c r="O96" s="758"/>
      <c r="P96" s="671">
        <f t="shared" si="185"/>
        <v>0</v>
      </c>
      <c r="Q96" s="671"/>
      <c r="R96" s="757">
        <v>4927.3599999999997</v>
      </c>
      <c r="S96" s="517">
        <f>IF(R96&lt;2700,R96*0.007,IF(R96&lt;3200,R96*0.008,IF(R96&lt;3700,R96*0.0097,IF(R96&gt;3699,R96*0.01095,""))))</f>
        <v>53.954591999999998</v>
      </c>
      <c r="T96" s="671"/>
      <c r="U96" s="757">
        <v>3405.8291457286432</v>
      </c>
      <c r="V96" s="517">
        <f>IF(U96&lt;2700,U96*0.007,IF(U96&lt;3200,U96*0.008,IF(U96&lt;3700,U96*0.0097,IF(U96&gt;3699,U96*0.01095,""))))</f>
        <v>33.03654271356784</v>
      </c>
      <c r="W96" s="671"/>
      <c r="X96" s="758">
        <v>3236.9849246231156</v>
      </c>
      <c r="Y96" s="517">
        <f>IF(X96&lt;2700,X96*0.007,IF(X96&lt;3200,X96*0.008,IF(X96&lt;3700,X96*0.0097,IF(X96&gt;3699,X96*0.01095,""))))</f>
        <v>31.398753768844223</v>
      </c>
      <c r="Z96" s="671"/>
      <c r="AA96" s="758">
        <v>1883.3366834170852</v>
      </c>
      <c r="AB96" s="517">
        <f>IF(AA96&lt;2700,AA96*0.007,IF(AA96&lt;3200,AA96*0.008,IF(AA96&lt;3700,AA96*0.0097,IF(AA96&gt;3699,AA96*0.01095,""))))</f>
        <v>13.183356783919596</v>
      </c>
      <c r="AC96" s="671"/>
      <c r="AD96" s="757">
        <v>6362.5326633165832</v>
      </c>
      <c r="AE96" s="517">
        <f>IF(AD96&lt;2700,AD96*0.007,IF(AD96&lt;3200,AD96*0.008,IF(AD96&lt;3700,AD96*0.0097,IF(AD96&gt;3699,AD96*0.01095,""))))</f>
        <v>69.66973266331658</v>
      </c>
      <c r="AF96" s="671"/>
      <c r="AG96" s="757">
        <v>0</v>
      </c>
      <c r="AH96" s="671">
        <f t="shared" si="186"/>
        <v>0</v>
      </c>
      <c r="AI96" s="671"/>
      <c r="AJ96" s="757">
        <v>4040.6834170854272</v>
      </c>
      <c r="AK96" s="517">
        <f>IF(AJ96&lt;2700,AJ96*0.007,IF(AJ96&lt;3200,AJ96*0.008,IF(AJ96&lt;3700,AJ96*0.0097,IF(AJ96&gt;3699,AJ96*0.01095,""))))</f>
        <v>44.245483417085424</v>
      </c>
      <c r="AL96" s="671"/>
      <c r="AM96" s="757">
        <v>3273.6482412060304</v>
      </c>
      <c r="AN96" s="517">
        <f>IF(AM96&lt;2700,AM96*0.007,IF(AM96&lt;3200,AM96*0.008,IF(AM96&lt;3700,AM96*0.0097,IF(AM96&gt;3699,AM96*0.01095,""))))</f>
        <v>31.754387939698496</v>
      </c>
      <c r="AO96" s="671"/>
      <c r="AP96" s="758">
        <v>0</v>
      </c>
      <c r="AQ96" s="671">
        <f t="shared" si="187"/>
        <v>0</v>
      </c>
      <c r="AR96" s="964">
        <v>12</v>
      </c>
      <c r="AS96" s="757">
        <v>4067.6984924623112</v>
      </c>
      <c r="AT96" s="517">
        <f t="shared" si="188"/>
        <v>44.541298492462303</v>
      </c>
      <c r="AU96" s="671"/>
      <c r="AV96" s="758"/>
      <c r="AW96" s="671">
        <f t="shared" si="189"/>
        <v>0</v>
      </c>
      <c r="AX96" s="671"/>
      <c r="AY96" s="758"/>
      <c r="AZ96" s="671">
        <f t="shared" si="190"/>
        <v>0</v>
      </c>
      <c r="BA96" s="671"/>
      <c r="BB96" s="735">
        <f t="shared" si="197"/>
        <v>44204.385125628141</v>
      </c>
      <c r="BC96" s="736">
        <f t="shared" si="197"/>
        <v>464.2032593366834</v>
      </c>
      <c r="BD96" s="737">
        <f t="shared" si="197"/>
        <v>12</v>
      </c>
      <c r="BE96" s="759"/>
      <c r="BF96" s="760">
        <f t="shared" si="177"/>
        <v>476.2032593366834</v>
      </c>
      <c r="BG96" s="758">
        <v>3433.8090452261308</v>
      </c>
      <c r="BH96" s="671">
        <f>IF(BG96&lt;2700,BG96*0.008,IF(BG96&lt;3200,BG96*0.0097,IF(BG96&lt;3700,BG96*0.01095,IF(BG96&gt;3699,BG96*0.0122,""))))</f>
        <v>37.60020904522613</v>
      </c>
      <c r="BI96" s="671"/>
      <c r="BJ96" s="758">
        <v>0</v>
      </c>
      <c r="BK96" s="979">
        <f t="shared" si="191"/>
        <v>0</v>
      </c>
      <c r="BL96" s="979">
        <v>0</v>
      </c>
      <c r="BM96" s="757">
        <v>0</v>
      </c>
      <c r="BN96" s="671">
        <f>IF(BM96&lt;2700,BM96*0.0097,IF(BM96&lt;3200,BM96*0.01095,IF(BM96&lt;3700,BM96*0.0122,IF(BM96&gt;3699,BM96*0.01345,""))))</f>
        <v>0</v>
      </c>
      <c r="BO96" s="671">
        <v>18</v>
      </c>
      <c r="BP96" s="757">
        <v>3343.5979899497488</v>
      </c>
      <c r="BQ96" s="671">
        <f>IF(BP96&lt;2700,BP96*0.008,IF(BP96&lt;3200,BP96*0.0097,IF(BP96&lt;3700,BP96*0.01095,IF(BP96&gt;3699,BP96*0.0122,""))))</f>
        <v>36.612397989949748</v>
      </c>
      <c r="BR96" s="671"/>
      <c r="BS96" s="757">
        <v>0</v>
      </c>
      <c r="BT96" s="671">
        <f>IF(BS96&lt;2700,BS96*0.0097,IF(BS96&lt;3200,BS96*0.01095,IF(BS96&lt;3700,BS96*0.0122,IF(BS96&gt;3699,BS96*0.01345,""))))</f>
        <v>0</v>
      </c>
      <c r="BU96" s="671">
        <v>18</v>
      </c>
      <c r="BV96" s="757">
        <v>2028.0603015075376</v>
      </c>
      <c r="BW96" s="671">
        <f>IF(BV96&lt;2700,BV96*0.008,IF(BV96&lt;3200,BV96*0.0097,IF(BV96&lt;3700,BV96*0.01095,IF(BV96&gt;3699,BV96*0.0122,""))))</f>
        <v>16.224482412060301</v>
      </c>
      <c r="BX96" s="671"/>
      <c r="BY96" s="757">
        <v>1378.251256281407</v>
      </c>
      <c r="BZ96" s="671">
        <f>IF(BY96&lt;2700,BY96*0.008,IF(BY96&lt;3200,BY96*0.0097,IF(BY96&lt;3700,BY96*0.01095,IF(BY96&gt;3699,BY96*0.0122,""))))</f>
        <v>11.026010050251257</v>
      </c>
      <c r="CA96" s="671"/>
      <c r="CB96" s="758">
        <v>0</v>
      </c>
      <c r="CC96" s="671">
        <f t="shared" si="192"/>
        <v>0</v>
      </c>
      <c r="CD96" s="671">
        <v>10</v>
      </c>
      <c r="CE96" s="757">
        <v>0</v>
      </c>
      <c r="CF96" s="671">
        <f>IF(CE96&lt;2700,CE96*0.0097,IF(CE96&lt;3200,CE96*0.01095,IF(CE96&lt;3700,CE96*0.0122,IF(CE96&gt;3699,CE96*0.01345,""))))</f>
        <v>0</v>
      </c>
      <c r="CG96" s="671">
        <v>18</v>
      </c>
      <c r="CH96" s="757">
        <v>0</v>
      </c>
      <c r="CI96" s="671">
        <f t="shared" si="193"/>
        <v>0</v>
      </c>
      <c r="CJ96" s="836">
        <v>18</v>
      </c>
      <c r="CK96" s="757">
        <v>0</v>
      </c>
      <c r="CL96" s="671">
        <f t="shared" si="194"/>
        <v>0</v>
      </c>
      <c r="CM96" s="671"/>
      <c r="CN96" s="757">
        <v>0</v>
      </c>
      <c r="CO96" s="671">
        <f t="shared" si="195"/>
        <v>0</v>
      </c>
      <c r="CP96" s="671"/>
      <c r="CQ96" s="757">
        <v>0</v>
      </c>
      <c r="CR96" s="671">
        <f t="shared" si="196"/>
        <v>0</v>
      </c>
      <c r="CS96" s="671"/>
      <c r="CT96" s="698">
        <f t="shared" si="198"/>
        <v>10183.718592964824</v>
      </c>
      <c r="CU96" s="699">
        <f t="shared" si="198"/>
        <v>101.46309949748743</v>
      </c>
      <c r="CV96" s="700">
        <f t="shared" si="179"/>
        <v>82</v>
      </c>
      <c r="CW96" s="583"/>
      <c r="CX96" s="701">
        <f t="shared" si="180"/>
        <v>183.46309949748743</v>
      </c>
      <c r="CY96" s="588">
        <f t="shared" si="199"/>
        <v>54388.103718592967</v>
      </c>
      <c r="CZ96" s="589">
        <f t="shared" si="199"/>
        <v>565.66635883417086</v>
      </c>
      <c r="DA96" s="590">
        <f t="shared" si="199"/>
        <v>94</v>
      </c>
      <c r="DB96" s="591">
        <f t="shared" si="181"/>
        <v>659.66635883417086</v>
      </c>
      <c r="DC96" s="1222">
        <v>64.31</v>
      </c>
      <c r="DD96" s="1196">
        <f t="shared" si="136"/>
        <v>723.97635883417092</v>
      </c>
      <c r="DE96" s="920" t="s">
        <v>865</v>
      </c>
    </row>
    <row r="97" spans="1:148" s="571" customFormat="1" ht="16.5" thickBot="1" x14ac:dyDescent="0.3">
      <c r="A97" s="454">
        <f t="shared" si="137"/>
        <v>89</v>
      </c>
      <c r="B97" s="972" t="s">
        <v>105</v>
      </c>
      <c r="C97" s="919" t="s">
        <v>756</v>
      </c>
      <c r="D97" s="635" t="s">
        <v>611</v>
      </c>
      <c r="E97" s="636" t="s">
        <v>612</v>
      </c>
      <c r="F97" s="576">
        <v>3114.934673366834</v>
      </c>
      <c r="G97" s="517">
        <f>IF(F97&lt;2700,F97*0.007,IF(F97&lt;3200,F97*0.008,IF(F97&lt;3700,F97*0.0097,IF(F97&gt;3699,F97*0.01095,""))))</f>
        <v>24.919477386934673</v>
      </c>
      <c r="H97" s="532"/>
      <c r="I97" s="576">
        <v>3233.6080402010048</v>
      </c>
      <c r="J97" s="517">
        <f>IF(I97&lt;2700,I97*0.007,IF(I97&lt;3200,I97*0.008,IF(I97&lt;3700,I97*0.0097,IF(I97&gt;3699,I97*0.01095,""))))</f>
        <v>31.365997989949747</v>
      </c>
      <c r="K97" s="532"/>
      <c r="L97" s="576">
        <v>3523.5376884422108</v>
      </c>
      <c r="M97" s="517">
        <f>IF(L97&lt;2700,L97*0.007,IF(L97&lt;3200,L97*0.008,IF(L97&lt;3700,L97*0.0097,IF(L97&gt;3699,L97*0.01095,""))))</f>
        <v>34.178315577889443</v>
      </c>
      <c r="N97" s="532"/>
      <c r="O97" s="578"/>
      <c r="P97" s="517">
        <f t="shared" si="185"/>
        <v>0</v>
      </c>
      <c r="Q97" s="532"/>
      <c r="R97" s="576">
        <v>0</v>
      </c>
      <c r="S97" s="517">
        <f>IF(R97&lt;2700,R97*0.0097,IF(R97&lt;3200,R97*0.01095,IF(R97&lt;3700,R97*0.0122,IF(R97&gt;3699,R97*0.01345,""))))</f>
        <v>0</v>
      </c>
      <c r="T97" s="532">
        <v>20</v>
      </c>
      <c r="U97" s="576">
        <v>0</v>
      </c>
      <c r="V97" s="517">
        <f>IF(U97&lt;2700,U97*0.0097,IF(U97&lt;3200,U97*0.01095,IF(U97&lt;3700,U97*0.0122,IF(U97&gt;3699,U97*0.01345,""))))</f>
        <v>0</v>
      </c>
      <c r="W97" s="532">
        <v>18</v>
      </c>
      <c r="X97" s="576">
        <v>0</v>
      </c>
      <c r="Y97" s="517">
        <f>IF(X97&lt;2700,X97*0.0097,IF(X97&lt;3200,X97*0.01095,IF(X97&lt;3700,X97*0.0122,IF(X97&gt;3699,X97*0.01345,""))))</f>
        <v>0</v>
      </c>
      <c r="Z97" s="532">
        <v>18</v>
      </c>
      <c r="AA97" s="576">
        <v>0</v>
      </c>
      <c r="AB97" s="517">
        <f>IF(AA97&lt;2700,AA97*0.0097,IF(AA97&lt;3200,AA97*0.01095,IF(AA97&lt;3700,AA97*0.0122,IF(AA97&gt;3699,AA97*0.01345,""))))</f>
        <v>0</v>
      </c>
      <c r="AC97" s="532">
        <v>18</v>
      </c>
      <c r="AD97" s="576">
        <v>0</v>
      </c>
      <c r="AE97" s="517">
        <f>IF(AD97&lt;2700,AD97*0.008,IF(AD97&lt;3200,AD97*0.0097,IF(AD97&lt;3700,AD97*0.01095,IF(AD97&gt;3699,AD97*0.0122,""))))</f>
        <v>0</v>
      </c>
      <c r="AF97" s="532">
        <v>18</v>
      </c>
      <c r="AG97" s="576">
        <v>0</v>
      </c>
      <c r="AH97" s="517">
        <f t="shared" si="186"/>
        <v>0</v>
      </c>
      <c r="AI97" s="532">
        <v>18</v>
      </c>
      <c r="AJ97" s="576">
        <v>3043.5376884422112</v>
      </c>
      <c r="AK97" s="517">
        <f>IF(AJ97&lt;2700,AJ97*0.007,IF(AJ97&lt;3200,AJ97*0.008,IF(AJ97&lt;3700,AJ97*0.0097,IF(AJ97&gt;3699,AJ97*0.01095,""))))</f>
        <v>24.348301507537691</v>
      </c>
      <c r="AL97" s="532"/>
      <c r="AM97" s="576">
        <v>0</v>
      </c>
      <c r="AN97" s="517">
        <f>IF(AM97&lt;2700,AM97*0.008,IF(AM97&lt;3200,AM97*0.0097,IF(AM97&lt;3700,AM97*0.01095,IF(AM97&gt;3699,AM97*0.0122,""))))</f>
        <v>0</v>
      </c>
      <c r="AO97" s="532">
        <v>18</v>
      </c>
      <c r="AP97" s="578">
        <v>0</v>
      </c>
      <c r="AQ97" s="517">
        <f t="shared" si="187"/>
        <v>0</v>
      </c>
      <c r="AR97" s="532">
        <v>12</v>
      </c>
      <c r="AS97" s="576">
        <v>3283.7788944723611</v>
      </c>
      <c r="AT97" s="517">
        <f t="shared" si="188"/>
        <v>31.852655276381903</v>
      </c>
      <c r="AU97" s="532"/>
      <c r="AV97" s="578"/>
      <c r="AW97" s="517">
        <f t="shared" si="189"/>
        <v>0</v>
      </c>
      <c r="AX97" s="532"/>
      <c r="AY97" s="578"/>
      <c r="AZ97" s="517">
        <f t="shared" si="190"/>
        <v>0</v>
      </c>
      <c r="BA97" s="532"/>
      <c r="BB97" s="581">
        <f t="shared" si="197"/>
        <v>16199.396984924622</v>
      </c>
      <c r="BC97" s="582">
        <f t="shared" si="197"/>
        <v>146.66474773869345</v>
      </c>
      <c r="BD97" s="465">
        <f t="shared" si="197"/>
        <v>140</v>
      </c>
      <c r="BE97" s="587"/>
      <c r="BF97" s="637">
        <f t="shared" si="177"/>
        <v>286.66474773869345</v>
      </c>
      <c r="BG97" s="578">
        <v>3462.7537688442208</v>
      </c>
      <c r="BH97" s="517">
        <f>IF(BG97&lt;2700,BG97*0.008,IF(BG97&lt;3200,BG97*0.0097,IF(BG97&lt;3700,BG97*0.01095,IF(BG97&gt;3699,BG97*0.0122,""))))</f>
        <v>37.917153768844216</v>
      </c>
      <c r="BI97" s="532"/>
      <c r="BJ97" s="578">
        <v>0</v>
      </c>
      <c r="BK97" s="517">
        <f t="shared" si="191"/>
        <v>0</v>
      </c>
      <c r="BL97" s="532">
        <v>0</v>
      </c>
      <c r="BM97" s="576">
        <v>2597.3065326633164</v>
      </c>
      <c r="BN97" s="517">
        <f>IF(BM97&lt;2700,BM97*0.008,IF(BM97&lt;3200,BM97*0.0097,IF(BM97&lt;3700,BM97*0.01095,IF(BM97&gt;3699,BM97*0.0122,""))))</f>
        <v>20.77845226130653</v>
      </c>
      <c r="BO97" s="532"/>
      <c r="BP97" s="576">
        <v>0</v>
      </c>
      <c r="BQ97" s="517">
        <f>IF(BP97&lt;2700,BP97*0.0097,IF(BP97&lt;3200,BP97*0.01095,IF(BP97&lt;3700,BP97*0.0122,IF(BP97&gt;3699,BP97*0.01345,""))))</f>
        <v>0</v>
      </c>
      <c r="BR97" s="532">
        <v>18</v>
      </c>
      <c r="BS97" s="576">
        <v>0</v>
      </c>
      <c r="BT97" s="517">
        <f>IF(BS97&lt;2700,BS97*0.0097,IF(BS97&lt;3200,BS97*0.01095,IF(BS97&lt;3700,BS97*0.0122,IF(BS97&gt;3699,BS97*0.01345,""))))</f>
        <v>0</v>
      </c>
      <c r="BU97" s="532">
        <v>18</v>
      </c>
      <c r="BV97" s="576">
        <v>2028.0603015075376</v>
      </c>
      <c r="BW97" s="517">
        <f>IF(BV97&lt;2700,BV97*0.008,IF(BV97&lt;3200,BV97*0.0097,IF(BV97&lt;3700,BV97*0.01095,IF(BV97&gt;3699,BV97*0.0122,""))))</f>
        <v>16.224482412060301</v>
      </c>
      <c r="BX97" s="532"/>
      <c r="BY97" s="576">
        <v>1267.778894472362</v>
      </c>
      <c r="BZ97" s="517">
        <f>IF(BY97&lt;2700,BY97*0.008,IF(BY97&lt;3200,BY97*0.0097,IF(BY97&lt;3700,BY97*0.01095,IF(BY97&gt;3699,BY97*0.0122,""))))</f>
        <v>10.142231155778896</v>
      </c>
      <c r="CA97" s="532"/>
      <c r="CB97" s="578">
        <v>0</v>
      </c>
      <c r="CC97" s="517">
        <f t="shared" si="192"/>
        <v>0</v>
      </c>
      <c r="CD97" s="532">
        <v>10</v>
      </c>
      <c r="CE97" s="576">
        <v>0</v>
      </c>
      <c r="CF97" s="517">
        <f>IF(CE97&lt;2700,CE97*0.0097,IF(CE97&lt;3200,CE97*0.01095,IF(CE97&lt;3700,CE97*0.0122,IF(CE97&gt;3699,CE97*0.01345,""))))</f>
        <v>0</v>
      </c>
      <c r="CG97" s="532">
        <v>0</v>
      </c>
      <c r="CH97" s="578">
        <v>0</v>
      </c>
      <c r="CI97" s="517">
        <f t="shared" si="193"/>
        <v>0</v>
      </c>
      <c r="CJ97" s="532">
        <v>0</v>
      </c>
      <c r="CK97" s="578">
        <v>0</v>
      </c>
      <c r="CL97" s="517">
        <f t="shared" si="194"/>
        <v>0</v>
      </c>
      <c r="CM97" s="532"/>
      <c r="CN97" s="578">
        <v>0</v>
      </c>
      <c r="CO97" s="517">
        <f t="shared" si="195"/>
        <v>0</v>
      </c>
      <c r="CP97" s="532"/>
      <c r="CQ97" s="578">
        <v>0</v>
      </c>
      <c r="CR97" s="517">
        <f t="shared" si="196"/>
        <v>0</v>
      </c>
      <c r="CS97" s="532"/>
      <c r="CT97" s="551">
        <f t="shared" si="198"/>
        <v>9355.8994974874367</v>
      </c>
      <c r="CU97" s="552">
        <f t="shared" si="198"/>
        <v>85.062319597989941</v>
      </c>
      <c r="CV97" s="553">
        <f t="shared" si="179"/>
        <v>46</v>
      </c>
      <c r="CW97" s="587"/>
      <c r="CX97" s="554">
        <f t="shared" si="180"/>
        <v>131.06231959798993</v>
      </c>
      <c r="CY97" s="588">
        <f t="shared" si="199"/>
        <v>25555.296482412057</v>
      </c>
      <c r="CZ97" s="589">
        <f t="shared" si="199"/>
        <v>231.72706733668338</v>
      </c>
      <c r="DA97" s="590">
        <f t="shared" si="199"/>
        <v>186</v>
      </c>
      <c r="DB97" s="591">
        <f t="shared" si="181"/>
        <v>417.72706733668338</v>
      </c>
      <c r="DC97" s="1222">
        <v>58.51</v>
      </c>
      <c r="DD97" s="1196">
        <f t="shared" si="136"/>
        <v>476.23706733668337</v>
      </c>
      <c r="DE97" s="920" t="s">
        <v>868</v>
      </c>
      <c r="DF97" s="570"/>
      <c r="DG97" s="570"/>
      <c r="DH97" s="570"/>
      <c r="DI97" s="570"/>
      <c r="DJ97" s="570"/>
      <c r="DK97" s="570"/>
      <c r="DL97" s="570"/>
      <c r="DM97" s="570"/>
      <c r="DN97" s="570"/>
      <c r="DO97" s="570"/>
      <c r="DP97" s="570"/>
      <c r="DQ97" s="570"/>
      <c r="DR97" s="570"/>
      <c r="DS97" s="570"/>
      <c r="DT97" s="570"/>
      <c r="DU97" s="570"/>
      <c r="DV97" s="570"/>
      <c r="DW97" s="570"/>
      <c r="DX97" s="570"/>
      <c r="DY97" s="570"/>
      <c r="DZ97" s="570"/>
      <c r="EA97" s="570"/>
      <c r="EB97" s="570"/>
      <c r="EC97" s="570"/>
      <c r="ED97" s="570"/>
      <c r="EE97" s="570"/>
      <c r="EF97" s="570"/>
      <c r="EG97" s="570"/>
      <c r="EH97" s="570"/>
      <c r="EI97" s="570"/>
      <c r="EJ97" s="570"/>
      <c r="EK97" s="570"/>
      <c r="EL97" s="570"/>
      <c r="EM97" s="570"/>
      <c r="EN97" s="570"/>
      <c r="EO97" s="570"/>
      <c r="EP97" s="570"/>
      <c r="EQ97" s="570"/>
      <c r="ER97" s="570"/>
    </row>
    <row r="98" spans="1:148" s="571" customFormat="1" ht="16.5" thickBot="1" x14ac:dyDescent="0.3">
      <c r="A98" s="1102">
        <f t="shared" si="137"/>
        <v>90</v>
      </c>
      <c r="B98" s="1225" t="s">
        <v>63</v>
      </c>
      <c r="C98" s="1226" t="s">
        <v>756</v>
      </c>
      <c r="D98" s="1227" t="s">
        <v>569</v>
      </c>
      <c r="E98" s="1228"/>
      <c r="F98" s="1229">
        <v>0</v>
      </c>
      <c r="G98" s="1025">
        <f>IF(F98&lt;2700,F98*0.0105,IF(F98&lt;3200,F98*0.01175,IF(F98&lt;3700,F98*0.013,IF(F98&gt;3699,F98*0.01425,""))))</f>
        <v>0</v>
      </c>
      <c r="H98" s="1010"/>
      <c r="I98" s="1229">
        <v>0</v>
      </c>
      <c r="J98" s="1025">
        <f>IF(I98&lt;2700,I98*0.0105,IF(I98&lt;3200,I98*0.01175,IF(I98&lt;3700,I98*0.013,IF(I98&gt;3699,I98*0.01425,""))))</f>
        <v>0</v>
      </c>
      <c r="K98" s="1010"/>
      <c r="L98" s="1229">
        <v>0</v>
      </c>
      <c r="M98" s="1025">
        <f>IF(L98&lt;2700,L98*0.0105,IF(L98&lt;3200,L98*0.01175,IF(L98&lt;3700,L98*0.013,IF(L98&gt;3699,L98*0.01425,""))))</f>
        <v>0</v>
      </c>
      <c r="N98" s="1010">
        <v>20</v>
      </c>
      <c r="O98" s="1024"/>
      <c r="P98" s="1025">
        <f>IF(O98&lt;2700,O98*0.0105,IF(O98&lt;3200,O98*0.01175,IF(O98&lt;3700,O98*0.013,IF(O98&gt;3699,O98*0.01425,""))))</f>
        <v>0</v>
      </c>
      <c r="Q98" s="1010"/>
      <c r="R98" s="1229">
        <v>0</v>
      </c>
      <c r="S98" s="1025">
        <f>IF(R98&lt;2700,R98*0.01,IF(R98&lt;3200,R98*0.0105,IF(R98&lt;3700,R98*0.01175,IF(R98&gt;3699,R98*0.013,""))))</f>
        <v>0</v>
      </c>
      <c r="T98" s="1010">
        <v>18</v>
      </c>
      <c r="U98" s="1229">
        <v>0</v>
      </c>
      <c r="V98" s="1025">
        <f>IF(U98&lt;2700,U98*0.01,IF(U98&lt;3200,U98*0.0105,IF(U98&lt;3700,U98*0.01175,IF(U98&gt;3699,U98*0.013,""))))</f>
        <v>0</v>
      </c>
      <c r="W98" s="1010">
        <v>18</v>
      </c>
      <c r="X98" s="1229">
        <v>0</v>
      </c>
      <c r="Y98" s="1025">
        <f>IF(X98&lt;2700,X98*0.01,IF(X98&lt;3200,X98*0.0105,IF(X98&lt;3700,X98*0.01175,IF(X98&gt;3699,X98*0.013,""))))</f>
        <v>0</v>
      </c>
      <c r="Z98" s="1010">
        <v>18</v>
      </c>
      <c r="AA98" s="1229">
        <v>0</v>
      </c>
      <c r="AB98" s="1025">
        <f>IF(AA98&lt;2700,AA98*0.01,IF(AA98&lt;3200,AA98*0.0105,IF(AA98&lt;3700,AA98*0.01175,IF(AA98&gt;3699,AA98*0.013,""))))</f>
        <v>0</v>
      </c>
      <c r="AC98" s="1010">
        <v>18</v>
      </c>
      <c r="AD98" s="1229">
        <v>0</v>
      </c>
      <c r="AE98" s="1025">
        <f>IF(AD98&lt;2700,AD98*0.01,IF(AD98&lt;3200,AD98*0.0105,IF(AD98&lt;3700,AD98*0.01175,IF(AD98&gt;3699,AD98*0.013,""))))</f>
        <v>0</v>
      </c>
      <c r="AF98" s="1010">
        <v>18</v>
      </c>
      <c r="AG98" s="1229">
        <v>0</v>
      </c>
      <c r="AH98" s="1025">
        <f>IF(AG98&lt;2700,AG98*0.0105,IF(AG98&lt;3200,AG98*0.01175,IF(AG98&lt;3700,AG98*0.013,IF(AG98&gt;3699,AG98*0.01425,""))))</f>
        <v>0</v>
      </c>
      <c r="AI98" s="1010">
        <v>18</v>
      </c>
      <c r="AJ98" s="1229">
        <v>0</v>
      </c>
      <c r="AK98" s="1025">
        <f>IF(AJ98&lt;2700,AJ98*0.01,IF(AJ98&lt;3200,AJ98*0.0105,IF(AJ98&lt;3700,AJ98*0.01175,IF(AJ98&gt;3699,AJ98*0.013,""))))</f>
        <v>0</v>
      </c>
      <c r="AL98" s="1010">
        <v>18</v>
      </c>
      <c r="AM98" s="1229">
        <v>0</v>
      </c>
      <c r="AN98" s="1025">
        <f>IF(AM98&lt;2700,AM98*0.01,IF(AM98&lt;3200,AM98*0.0105,IF(AM98&lt;3700,AM98*0.01175,IF(AM98&gt;3699,AM98*0.013,""))))</f>
        <v>0</v>
      </c>
      <c r="AO98" s="1010">
        <v>18</v>
      </c>
      <c r="AP98" s="1229">
        <v>0</v>
      </c>
      <c r="AQ98" s="1025">
        <f>IF(AP98&lt;2700,AP98*0.0105,IF(AP98&lt;3200,AP98*0.01175,IF(AP98&lt;3700,AP98*0.013,IF(AP98&gt;3699,AP98*0.01425,""))))</f>
        <v>0</v>
      </c>
      <c r="AR98" s="1010">
        <v>18</v>
      </c>
      <c r="AS98" s="1229">
        <v>0</v>
      </c>
      <c r="AT98" s="1025">
        <f>IF(AS98&lt;2700,AS98*0.01,IF(AS98&lt;3200,AS98*0.0105,IF(AS98&lt;3700,AS98*0.01175,IF(AS98&gt;3699,AS98*0.013,""))))</f>
        <v>0</v>
      </c>
      <c r="AU98" s="1010">
        <v>18</v>
      </c>
      <c r="AV98" s="1024"/>
      <c r="AW98" s="1025">
        <f>IF(AV98&lt;2700,AV98*0.0105,IF(AV98&lt;3200,AV98*0.01175,IF(AV98&lt;3700,AV98*0.013,IF(AV98&gt;3699,AV98*0.01425,""))))</f>
        <v>0</v>
      </c>
      <c r="AX98" s="1010"/>
      <c r="AY98" s="1024"/>
      <c r="AZ98" s="1025">
        <f>IF(AY98&lt;2700,AY98*0.0105,IF(AY98&lt;3200,AY98*0.01175,IF(AY98&lt;3700,AY98*0.013,IF(AY98&gt;3699,AY98*0.01425,""))))</f>
        <v>0</v>
      </c>
      <c r="BA98" s="1010"/>
      <c r="BB98" s="644">
        <f t="shared" si="197"/>
        <v>0</v>
      </c>
      <c r="BC98" s="645">
        <f t="shared" si="197"/>
        <v>0</v>
      </c>
      <c r="BD98" s="1012">
        <f t="shared" si="197"/>
        <v>200</v>
      </c>
      <c r="BE98" s="646"/>
      <c r="BF98" s="1230">
        <f t="shared" si="177"/>
        <v>200</v>
      </c>
      <c r="BG98" s="1024">
        <v>0</v>
      </c>
      <c r="BH98" s="1025">
        <f>IF(BG98&lt;2700,BG98*0.0105,IF(BG98&lt;3200,BG98*0.01175,IF(BG98&lt;3700,BG98*0.013,IF(BG98&gt;3699,BG98*0.01425,""))))</f>
        <v>0</v>
      </c>
      <c r="BI98" s="1010">
        <v>18</v>
      </c>
      <c r="BJ98" s="1024">
        <v>0</v>
      </c>
      <c r="BK98" s="1025">
        <f>IF(BJ98&lt;2700,BJ98*0.0105,IF(BJ98&lt;3200,BJ98*0.01175,IF(BJ98&lt;3700,BJ98*0.013,IF(BJ98&gt;3699,BJ98*0.01425,""))))</f>
        <v>0</v>
      </c>
      <c r="BL98" s="1010">
        <v>18</v>
      </c>
      <c r="BM98" s="1229">
        <v>2417.849246231156</v>
      </c>
      <c r="BN98" s="1025">
        <f>IF(BM98&lt;2700,BM98*0.01,IF(BM98&lt;3200,BM98*0.0105,IF(BM98&lt;3700,BM98*0.01175,IF(BM98&gt;3699,BM98*0.013,""))))</f>
        <v>24.17849246231156</v>
      </c>
      <c r="BO98" s="1010"/>
      <c r="BP98" s="1229">
        <v>0</v>
      </c>
      <c r="BQ98" s="1025">
        <f>IF(BP98&lt;2700,BP98*0.0105,IF(BP98&lt;3200,BP98*0.01175,IF(BP98&lt;3700,BP98*0.013,IF(BP98&gt;3699,BP98*0.01425,""))))</f>
        <v>0</v>
      </c>
      <c r="BR98" s="1010"/>
      <c r="BS98" s="1229">
        <v>2651.8190954773868</v>
      </c>
      <c r="BT98" s="1025">
        <f>IF(BS98&lt;2700,BS98*0.01,IF(BS98&lt;3200,BS98*0.0105,IF(BS98&lt;3700,BS98*0.01175,IF(BS98&gt;3699,BS98*0.013,""))))</f>
        <v>26.518190954773868</v>
      </c>
      <c r="BU98" s="1010"/>
      <c r="BV98" s="1229">
        <v>2339.21608040201</v>
      </c>
      <c r="BW98" s="1025">
        <f>IF(BV98&lt;2700,BV98*0.01,IF(BV98&lt;3200,BV98*0.0105,IF(BV98&lt;3700,BV98*0.01175,IF(BV98&gt;3699,BV98*0.013,""))))</f>
        <v>23.392160804020101</v>
      </c>
      <c r="BX98" s="1010"/>
      <c r="BY98" s="1229">
        <v>1100.3819095477386</v>
      </c>
      <c r="BZ98" s="1025">
        <f>IF(BY98&lt;2700,BY98*0.01,IF(BY98&lt;3200,BY98*0.0105,IF(BY98&lt;3700,BY98*0.01175,IF(BY98&gt;3699,BY98*0.013,""))))</f>
        <v>11.003819095477386</v>
      </c>
      <c r="CA98" s="1010"/>
      <c r="CB98" s="1024">
        <v>0</v>
      </c>
      <c r="CC98" s="1025">
        <f>IF(CB98&lt;2700,CB98*0.0105,IF(CB98&lt;3200,CB98*0.01175,IF(CB98&lt;3700,CB98*0.013,IF(CB98&gt;3699,CB98*0.01425,""))))</f>
        <v>0</v>
      </c>
      <c r="CD98" s="1010">
        <v>0</v>
      </c>
      <c r="CE98" s="1229">
        <v>2947.0552763819092</v>
      </c>
      <c r="CF98" s="1025">
        <f>IF(CE98&lt;2700,CE98*0.01,IF(CE98&lt;3200,CE98*0.0105,IF(CE98&lt;3700,CE98*0.01175,IF(CE98&gt;3699,CE98*0.013,""))))</f>
        <v>30.944080402010048</v>
      </c>
      <c r="CG98" s="1010"/>
      <c r="CH98" s="1024">
        <v>0</v>
      </c>
      <c r="CI98" s="1025">
        <f>IF(CH98&lt;2700,CH98*0.0105,IF(CH98&lt;3200,CH98*0.01175,IF(CH98&lt;3700,CH98*0.013,IF(CH98&gt;3699,CH98*0.01425,""))))</f>
        <v>0</v>
      </c>
      <c r="CJ98" s="1010"/>
      <c r="CK98" s="1024">
        <v>0</v>
      </c>
      <c r="CL98" s="1025">
        <f>IF(CK98&lt;2700,CK98*0.0105,IF(CK98&lt;3200,CK98*0.01175,IF(CK98&lt;3700,CK98*0.013,IF(CK98&gt;3699,CK98*0.01425,""))))</f>
        <v>0</v>
      </c>
      <c r="CM98" s="1010">
        <v>18</v>
      </c>
      <c r="CN98" s="1009">
        <v>0</v>
      </c>
      <c r="CO98" s="1025">
        <f>IF(CN98&lt;2700,CN98*0.0105,IF(CN98&lt;3200,CN98*0.01175,IF(CN98&lt;3700,CN98*0.013,IF(CN98&gt;3699,CN98*0.01425,""))))</f>
        <v>0</v>
      </c>
      <c r="CP98" s="1010"/>
      <c r="CQ98" s="1009">
        <v>0</v>
      </c>
      <c r="CR98" s="1025">
        <f>IF(CQ98&lt;2700,CQ98*0.0105,IF(CQ98&lt;3200,CQ98*0.01175,IF(CQ98&lt;3700,CQ98*0.013,IF(CQ98&gt;3699,CQ98*0.01425,""))))</f>
        <v>0</v>
      </c>
      <c r="CS98" s="1010"/>
      <c r="CT98" s="1231">
        <f t="shared" si="198"/>
        <v>11456.3216080402</v>
      </c>
      <c r="CU98" s="1232">
        <f t="shared" si="198"/>
        <v>116.03674371859294</v>
      </c>
      <c r="CV98" s="1233">
        <f t="shared" si="179"/>
        <v>54</v>
      </c>
      <c r="CW98" s="646"/>
      <c r="CX98" s="1234">
        <f t="shared" si="180"/>
        <v>170.03674371859296</v>
      </c>
      <c r="CY98" s="1235">
        <f t="shared" si="199"/>
        <v>11456.3216080402</v>
      </c>
      <c r="CZ98" s="1236">
        <f t="shared" si="199"/>
        <v>116.03674371859294</v>
      </c>
      <c r="DA98" s="1237">
        <f t="shared" si="199"/>
        <v>254</v>
      </c>
      <c r="DB98" s="1238">
        <f t="shared" si="181"/>
        <v>370.03674371859296</v>
      </c>
      <c r="DC98" s="1200">
        <v>71.790000000000006</v>
      </c>
      <c r="DD98" s="1201">
        <f t="shared" si="136"/>
        <v>441.82674371859298</v>
      </c>
      <c r="DE98" s="988" t="s">
        <v>869</v>
      </c>
      <c r="DF98" s="570"/>
      <c r="DG98" s="570"/>
      <c r="DH98" s="570"/>
      <c r="DI98" s="570"/>
      <c r="DJ98" s="570"/>
      <c r="DK98" s="570"/>
      <c r="DL98" s="570"/>
      <c r="DM98" s="570"/>
      <c r="DN98" s="570"/>
      <c r="DO98" s="570"/>
      <c r="DP98" s="570"/>
      <c r="DQ98" s="570"/>
      <c r="DR98" s="570"/>
      <c r="DS98" s="570"/>
      <c r="DT98" s="570"/>
      <c r="DU98" s="570"/>
      <c r="DV98" s="570"/>
      <c r="DW98" s="570"/>
      <c r="DX98" s="570"/>
      <c r="DY98" s="570"/>
      <c r="DZ98" s="570"/>
      <c r="EA98" s="570"/>
      <c r="EB98" s="570"/>
      <c r="EC98" s="570"/>
      <c r="ED98" s="570"/>
      <c r="EE98" s="570"/>
      <c r="EF98" s="570"/>
      <c r="EG98" s="570"/>
      <c r="EH98" s="570"/>
      <c r="EI98" s="570"/>
      <c r="EJ98" s="570"/>
      <c r="EK98" s="570"/>
      <c r="EL98" s="570"/>
      <c r="EM98" s="570"/>
      <c r="EN98" s="570"/>
      <c r="EO98" s="570"/>
      <c r="EP98" s="570"/>
      <c r="EQ98" s="570"/>
      <c r="ER98" s="570"/>
    </row>
    <row r="99" spans="1:148" s="398" customFormat="1" ht="16.5" thickBot="1" x14ac:dyDescent="0.3">
      <c r="A99" s="1239">
        <f t="shared" si="137"/>
        <v>91</v>
      </c>
      <c r="B99" s="1240" t="s">
        <v>56</v>
      </c>
      <c r="C99" s="1241" t="s">
        <v>829</v>
      </c>
      <c r="D99" s="1242" t="s">
        <v>679</v>
      </c>
      <c r="E99" s="1243" t="s">
        <v>680</v>
      </c>
      <c r="F99" s="1244">
        <v>0</v>
      </c>
      <c r="G99" s="1245">
        <v>0</v>
      </c>
      <c r="H99" s="1246">
        <v>20</v>
      </c>
      <c r="I99" s="1244">
        <v>0</v>
      </c>
      <c r="J99" s="1245">
        <v>0</v>
      </c>
      <c r="K99" s="1246">
        <v>25</v>
      </c>
      <c r="L99" s="1244">
        <v>0</v>
      </c>
      <c r="M99" s="1245">
        <v>0</v>
      </c>
      <c r="N99" s="1246">
        <v>40</v>
      </c>
      <c r="O99" s="1247"/>
      <c r="P99" s="1245">
        <v>0</v>
      </c>
      <c r="Q99" s="1246"/>
      <c r="R99" s="1247">
        <v>0</v>
      </c>
      <c r="S99" s="1248">
        <f>+R99*0.031425/4</f>
        <v>0</v>
      </c>
      <c r="T99" s="1246">
        <v>0</v>
      </c>
      <c r="U99" s="1247">
        <v>6435.3768844221113</v>
      </c>
      <c r="V99" s="1248">
        <f>+U99*0.0321938/4</f>
        <v>51.794809085427147</v>
      </c>
      <c r="W99" s="1246"/>
      <c r="X99" s="1247">
        <v>3839.5175879396988</v>
      </c>
      <c r="Y99" s="1248">
        <f>+X99*0.031425/4</f>
        <v>30.16421005025126</v>
      </c>
      <c r="Z99" s="1246"/>
      <c r="AA99" s="1247">
        <v>2616.1206030150756</v>
      </c>
      <c r="AB99" s="1248">
        <f>+AA99*0.03053/4</f>
        <v>19.967540502512566</v>
      </c>
      <c r="AC99" s="1246"/>
      <c r="AD99" s="1247">
        <v>6173.9095477386936</v>
      </c>
      <c r="AE99" s="1248">
        <f>+AD99*0.03193/4</f>
        <v>49.283232964824123</v>
      </c>
      <c r="AF99" s="1246"/>
      <c r="AG99" s="1247">
        <v>0</v>
      </c>
      <c r="AH99" s="1245">
        <v>0</v>
      </c>
      <c r="AI99" s="1246">
        <v>0</v>
      </c>
      <c r="AJ99" s="1247">
        <v>4252.4623115577888</v>
      </c>
      <c r="AK99" s="1248">
        <v>33.604551859296478</v>
      </c>
      <c r="AL99" s="1246"/>
      <c r="AM99" s="1247">
        <v>3052.2211055276389</v>
      </c>
      <c r="AN99" s="1248">
        <f>+AM99*0.03093/4</f>
        <v>23.601299698492468</v>
      </c>
      <c r="AO99" s="1246"/>
      <c r="AP99" s="1247">
        <v>0</v>
      </c>
      <c r="AQ99" s="1245">
        <v>0</v>
      </c>
      <c r="AR99" s="1246">
        <v>20</v>
      </c>
      <c r="AS99" s="1247">
        <v>0</v>
      </c>
      <c r="AT99" s="1248">
        <f>+AS99*0.03193/4</f>
        <v>0</v>
      </c>
      <c r="AU99" s="1246">
        <v>25</v>
      </c>
      <c r="AV99" s="1247"/>
      <c r="AW99" s="1245">
        <v>0</v>
      </c>
      <c r="AX99" s="1246"/>
      <c r="AY99" s="1247"/>
      <c r="AZ99" s="1245">
        <v>0</v>
      </c>
      <c r="BA99" s="1246"/>
      <c r="BB99" s="1249">
        <f>+F99+I99+L99+O99+R99+U99+X99+AA99+AD99+AG99+AJ99+AM99+AP99+AS99+AV99+AY99</f>
        <v>26369.608040201005</v>
      </c>
      <c r="BC99" s="1250">
        <f>+G99+J99+M99+P99+S99+V99+Y99+AB99+AE99+AH99+AK99+AN99+AQ99+AT99+AW99+AZ99</f>
        <v>208.41564416080405</v>
      </c>
      <c r="BD99" s="1251">
        <f>+H99+K99+N99+Q99+T99+W99+Z99+AC99+AF99+AI99+AL99+AO99+AR99+AU99+AX99+BA99</f>
        <v>130</v>
      </c>
      <c r="BE99" s="1252"/>
      <c r="BF99" s="1253">
        <f t="shared" si="177"/>
        <v>338.41564416080405</v>
      </c>
      <c r="BG99" s="1247">
        <v>4341.708542713568</v>
      </c>
      <c r="BH99" s="1248">
        <f>+BG99*0.031645/4</f>
        <v>34.348341708542712</v>
      </c>
      <c r="BI99" s="1246"/>
      <c r="BJ99" s="1247">
        <v>0</v>
      </c>
      <c r="BK99" s="1245">
        <v>0</v>
      </c>
      <c r="BL99" s="1246">
        <v>12</v>
      </c>
      <c r="BM99" s="1244">
        <v>4524.5427135678383</v>
      </c>
      <c r="BN99" s="1248">
        <f>+BM99*0.028541/3</f>
        <v>43.04499119597989</v>
      </c>
      <c r="BO99" s="1246"/>
      <c r="BP99" s="1244">
        <v>4097.1256281407032</v>
      </c>
      <c r="BQ99" s="1248">
        <f>+BP99*0.027728/3</f>
        <v>37.868366472361807</v>
      </c>
      <c r="BR99" s="1246"/>
      <c r="BS99" s="1244">
        <v>4120.7638190954767</v>
      </c>
      <c r="BT99" s="1248">
        <f>+BS99*0.028266/3</f>
        <v>38.825836703517581</v>
      </c>
      <c r="BU99" s="1246"/>
      <c r="BV99" s="1244">
        <v>3070.0703517587935</v>
      </c>
      <c r="BW99" s="1248">
        <f>+BV99*0.026441/3</f>
        <v>27.058576723618085</v>
      </c>
      <c r="BX99" s="1246"/>
      <c r="BY99" s="1244">
        <v>0</v>
      </c>
      <c r="BZ99" s="1254">
        <v>0</v>
      </c>
      <c r="CA99" s="1246"/>
      <c r="CB99" s="1247"/>
      <c r="CC99" s="1245">
        <v>0</v>
      </c>
      <c r="CD99" s="1246"/>
      <c r="CE99" s="1247">
        <v>4416.4824120603016</v>
      </c>
      <c r="CF99" s="1248">
        <f>+CE99*0.0285057/3</f>
        <v>41.964974231155779</v>
      </c>
      <c r="CG99" s="1246"/>
      <c r="CH99" s="1247">
        <v>0</v>
      </c>
      <c r="CI99" s="1245">
        <v>0</v>
      </c>
      <c r="CJ99" s="1246">
        <v>20</v>
      </c>
      <c r="CK99" s="1247">
        <v>0</v>
      </c>
      <c r="CL99" s="1245">
        <v>0</v>
      </c>
      <c r="CM99" s="1246">
        <v>10</v>
      </c>
      <c r="CN99" s="1247">
        <v>0</v>
      </c>
      <c r="CO99" s="1245">
        <v>0</v>
      </c>
      <c r="CP99" s="1246">
        <v>20</v>
      </c>
      <c r="CQ99" s="1247">
        <v>0</v>
      </c>
      <c r="CR99" s="1245">
        <v>0</v>
      </c>
      <c r="CS99" s="1246">
        <v>20</v>
      </c>
      <c r="CT99" s="1255">
        <f>BG99+BJ99+BM99+BP99+BS99+BV99+BY99+CB99+CH99+CK99+CN99+CQ99+CE99</f>
        <v>24570.693467336681</v>
      </c>
      <c r="CU99" s="1256">
        <f>BH99+BK99+BN99+BQ99+BT99+BW99+BZ99+CC99+CI99+CL99+CO99+CR99+CF99</f>
        <v>223.11108703517584</v>
      </c>
      <c r="CV99" s="1257">
        <f t="shared" si="179"/>
        <v>82</v>
      </c>
      <c r="CW99" s="1252"/>
      <c r="CX99" s="1258">
        <f t="shared" si="180"/>
        <v>305.11108703517584</v>
      </c>
      <c r="CY99" s="1259">
        <f>+BB99+CT99</f>
        <v>50940.30150753769</v>
      </c>
      <c r="CZ99" s="1260">
        <f>+BC99+CU99</f>
        <v>431.52673119597989</v>
      </c>
      <c r="DA99" s="1261">
        <f>+BD99+CV99</f>
        <v>212</v>
      </c>
      <c r="DB99" s="1262">
        <f t="shared" si="181"/>
        <v>643.52673119597989</v>
      </c>
      <c r="DC99" s="1263">
        <v>61.69</v>
      </c>
      <c r="DD99" s="1264">
        <f t="shared" si="136"/>
        <v>705.21673119597995</v>
      </c>
      <c r="DE99" s="920" t="s">
        <v>865</v>
      </c>
      <c r="DF99" s="766"/>
    </row>
    <row r="100" spans="1:148" ht="15.75" x14ac:dyDescent="0.25">
      <c r="A100" s="1105">
        <f t="shared" si="137"/>
        <v>92</v>
      </c>
      <c r="B100" s="1265" t="s">
        <v>216</v>
      </c>
      <c r="C100" s="1029" t="s">
        <v>728</v>
      </c>
      <c r="D100" s="1266" t="s">
        <v>729</v>
      </c>
      <c r="E100" s="1267" t="s">
        <v>730</v>
      </c>
      <c r="F100" s="1268">
        <v>1834.5</v>
      </c>
      <c r="G100" s="1269">
        <v>14.3925</v>
      </c>
      <c r="H100" s="1270"/>
      <c r="I100" s="1268">
        <v>0</v>
      </c>
      <c r="J100" s="1269">
        <v>0</v>
      </c>
      <c r="K100" s="1270"/>
      <c r="L100" s="1268">
        <v>3497.6</v>
      </c>
      <c r="M100" s="1269">
        <v>29.360399999999998</v>
      </c>
      <c r="N100" s="1270"/>
      <c r="O100" s="1268"/>
      <c r="P100" s="1269">
        <v>0</v>
      </c>
      <c r="Q100" s="1270"/>
      <c r="R100" s="1268">
        <v>2799.4285714285716</v>
      </c>
      <c r="S100" s="1269">
        <v>22.794857142857143</v>
      </c>
      <c r="T100" s="1270"/>
      <c r="U100" s="1268">
        <v>3297.2307692307691</v>
      </c>
      <c r="V100" s="1269">
        <v>27.27507692307692</v>
      </c>
      <c r="W100" s="1270"/>
      <c r="X100" s="1268">
        <v>2028.8</v>
      </c>
      <c r="Y100" s="1269">
        <v>15.8592</v>
      </c>
      <c r="Z100" s="1270"/>
      <c r="AA100" s="1268">
        <v>1963.2</v>
      </c>
      <c r="AB100" s="1269">
        <v>15.268799999999997</v>
      </c>
      <c r="AC100" s="1270"/>
      <c r="AD100" s="1268">
        <v>4409.6000000000004</v>
      </c>
      <c r="AE100" s="1269">
        <v>37.2864</v>
      </c>
      <c r="AF100" s="1270"/>
      <c r="AG100" s="1268">
        <v>0</v>
      </c>
      <c r="AH100" s="1269">
        <v>0</v>
      </c>
      <c r="AI100" s="1270"/>
      <c r="AJ100" s="1268">
        <v>3195.2</v>
      </c>
      <c r="AK100" s="1269">
        <v>26.356799999999996</v>
      </c>
      <c r="AL100" s="1270"/>
      <c r="AM100" s="1268">
        <v>1984</v>
      </c>
      <c r="AN100" s="1269">
        <v>15.455999999999998</v>
      </c>
      <c r="AO100" s="1270"/>
      <c r="AP100" s="1268">
        <v>0</v>
      </c>
      <c r="AQ100" s="1269">
        <v>0</v>
      </c>
      <c r="AR100" s="1271">
        <v>20</v>
      </c>
      <c r="AS100" s="1268">
        <v>2582.4</v>
      </c>
      <c r="AT100" s="1269">
        <v>20.8416</v>
      </c>
      <c r="AU100" s="1270"/>
      <c r="AV100" s="1268"/>
      <c r="AW100" s="1269">
        <v>0</v>
      </c>
      <c r="AX100" s="1270"/>
      <c r="AY100" s="1268"/>
      <c r="AZ100" s="1269">
        <v>0</v>
      </c>
      <c r="BA100" s="1270"/>
      <c r="BB100" s="878">
        <f t="shared" ref="BB100:BD100" si="200">+F100+I100+L100+O100+R100+U100+X100+AA100+AD100+AG100+AJ100+AM100+AP100+AS100+AV100+AY100</f>
        <v>27591.959340659345</v>
      </c>
      <c r="BC100" s="1272">
        <f t="shared" si="200"/>
        <v>224.89163406593403</v>
      </c>
      <c r="BD100" s="879">
        <f t="shared" si="200"/>
        <v>20</v>
      </c>
      <c r="BE100" s="1273"/>
      <c r="BF100" s="1274">
        <f t="shared" si="177"/>
        <v>244.89163406593403</v>
      </c>
      <c r="BG100" s="1268">
        <v>3089.1428571428573</v>
      </c>
      <c r="BH100" s="1269">
        <v>25.402285714285714</v>
      </c>
      <c r="BI100" s="1270"/>
      <c r="BJ100" s="1268">
        <v>0</v>
      </c>
      <c r="BK100" s="1269">
        <v>0</v>
      </c>
      <c r="BL100" s="1271">
        <v>0</v>
      </c>
      <c r="BM100" s="1268">
        <v>633.23076923076928</v>
      </c>
      <c r="BN100" s="1269">
        <v>3.2990769230769232</v>
      </c>
      <c r="BO100" s="1270"/>
      <c r="BP100" s="1268">
        <v>1545.6</v>
      </c>
      <c r="BQ100" s="1269">
        <v>11.510399999999997</v>
      </c>
      <c r="BR100" s="1270"/>
      <c r="BS100" s="1268">
        <v>1296</v>
      </c>
      <c r="BT100" s="1269">
        <v>9.2639999999999993</v>
      </c>
      <c r="BU100" s="1270"/>
      <c r="BV100" s="1268">
        <v>1948</v>
      </c>
      <c r="BW100" s="1269">
        <v>15.132</v>
      </c>
      <c r="BX100" s="1270"/>
      <c r="BY100" s="1268">
        <v>1074.4615384615386</v>
      </c>
      <c r="BZ100" s="1269">
        <v>7.2701538461538462</v>
      </c>
      <c r="CA100" s="1270"/>
      <c r="CB100" s="1268">
        <v>0</v>
      </c>
      <c r="CC100" s="1269">
        <v>0</v>
      </c>
      <c r="CD100" s="1271">
        <v>10</v>
      </c>
      <c r="CE100" s="1268">
        <v>0</v>
      </c>
      <c r="CF100" s="1269">
        <v>0</v>
      </c>
      <c r="CG100" s="1270"/>
      <c r="CH100" s="1268">
        <v>0</v>
      </c>
      <c r="CI100" s="1269">
        <v>0</v>
      </c>
      <c r="CJ100" s="1270"/>
      <c r="CK100" s="1268"/>
      <c r="CL100" s="1269">
        <v>0</v>
      </c>
      <c r="CM100" s="1270"/>
      <c r="CN100" s="1268"/>
      <c r="CO100" s="1269">
        <v>0</v>
      </c>
      <c r="CP100" s="1270"/>
      <c r="CQ100" s="1268"/>
      <c r="CR100" s="1269">
        <v>0</v>
      </c>
      <c r="CS100" s="1270"/>
      <c r="CT100" s="1275">
        <f t="shared" ref="CT100:CU100" si="201">BG100+BJ100+BM100+BP100+BS100+BV100+BY100+CB100+CH100+CK100+CN100+CQ100+CE100</f>
        <v>9586.4351648351658</v>
      </c>
      <c r="CU100" s="1276">
        <f t="shared" si="201"/>
        <v>71.877916483516486</v>
      </c>
      <c r="CV100" s="1277">
        <f t="shared" si="179"/>
        <v>10</v>
      </c>
      <c r="CW100" s="1273"/>
      <c r="CX100" s="879">
        <f t="shared" si="180"/>
        <v>81.877916483516486</v>
      </c>
      <c r="CY100" s="878">
        <f t="shared" ref="CY100:DA100" si="202">+BB100+CT100</f>
        <v>37178.394505494507</v>
      </c>
      <c r="CZ100" s="879">
        <f t="shared" si="202"/>
        <v>296.76955054945051</v>
      </c>
      <c r="DA100" s="879">
        <f t="shared" si="202"/>
        <v>30</v>
      </c>
      <c r="DB100" s="880">
        <f t="shared" si="181"/>
        <v>326.76955054945051</v>
      </c>
      <c r="DC100" s="1278">
        <v>0</v>
      </c>
      <c r="DD100" s="1279">
        <f t="shared" si="136"/>
        <v>326.76955054945051</v>
      </c>
      <c r="DE100" s="535" t="s">
        <v>731</v>
      </c>
      <c r="DF100" s="192"/>
      <c r="DG100" s="192"/>
      <c r="DH100" s="192"/>
      <c r="DI100" s="192"/>
      <c r="DJ100" s="192"/>
      <c r="DK100" s="192"/>
      <c r="DL100" s="192"/>
      <c r="DM100" s="192"/>
      <c r="DN100" s="192"/>
      <c r="DO100" s="192"/>
      <c r="DP100" s="192"/>
      <c r="DQ100" s="192"/>
      <c r="DR100" s="192"/>
      <c r="DS100" s="192"/>
      <c r="DT100" s="192"/>
      <c r="DU100" s="192"/>
      <c r="DV100" s="192"/>
      <c r="DW100" s="192"/>
      <c r="DX100" s="192"/>
      <c r="DY100" s="192"/>
      <c r="DZ100" s="192"/>
      <c r="EA100" s="192"/>
      <c r="EB100" s="192"/>
      <c r="EC100" s="192"/>
      <c r="ED100" s="192"/>
      <c r="EE100" s="192"/>
      <c r="EF100" s="192"/>
      <c r="EG100" s="192"/>
      <c r="EH100" s="192"/>
      <c r="EI100" s="192"/>
      <c r="EJ100" s="192"/>
      <c r="EK100" s="192"/>
      <c r="EL100" s="192"/>
      <c r="EM100" s="192"/>
      <c r="EN100" s="192"/>
      <c r="EO100" s="192"/>
      <c r="EP100" s="192"/>
      <c r="EQ100" s="192"/>
      <c r="ER100" s="192"/>
    </row>
    <row r="101" spans="1:148" s="571" customFormat="1" ht="15.75" x14ac:dyDescent="0.25">
      <c r="A101" s="454">
        <f t="shared" si="137"/>
        <v>93</v>
      </c>
      <c r="B101" s="1029" t="s">
        <v>215</v>
      </c>
      <c r="C101" s="548" t="s">
        <v>713</v>
      </c>
      <c r="D101" s="769"/>
      <c r="E101" s="831"/>
      <c r="F101" s="578">
        <v>1834.5</v>
      </c>
      <c r="G101" s="902">
        <v>16.392500000000002</v>
      </c>
      <c r="H101" s="903"/>
      <c r="I101" s="578">
        <v>2712</v>
      </c>
      <c r="J101" s="902">
        <v>24.29</v>
      </c>
      <c r="K101" s="903"/>
      <c r="L101" s="578">
        <v>3497.6</v>
      </c>
      <c r="M101" s="902">
        <v>31.360399999999998</v>
      </c>
      <c r="N101" s="903"/>
      <c r="O101" s="578">
        <v>0</v>
      </c>
      <c r="P101" s="902">
        <v>0</v>
      </c>
      <c r="Q101" s="903">
        <v>20</v>
      </c>
      <c r="R101" s="578">
        <v>2799.4285714285716</v>
      </c>
      <c r="S101" s="902">
        <v>24.794857142857143</v>
      </c>
      <c r="T101" s="903"/>
      <c r="U101" s="578">
        <v>3297.2307692307691</v>
      </c>
      <c r="V101" s="902">
        <v>29.27507692307692</v>
      </c>
      <c r="W101" s="903"/>
      <c r="X101" s="578">
        <v>2028.8</v>
      </c>
      <c r="Y101" s="902">
        <v>17.859200000000001</v>
      </c>
      <c r="Z101" s="903"/>
      <c r="AA101" s="578">
        <v>1963.2</v>
      </c>
      <c r="AB101" s="902">
        <v>17.268799999999999</v>
      </c>
      <c r="AC101" s="903"/>
      <c r="AD101" s="578">
        <v>4409.6000000000004</v>
      </c>
      <c r="AE101" s="902">
        <v>39.2864</v>
      </c>
      <c r="AF101" s="903"/>
      <c r="AG101" s="578">
        <v>0</v>
      </c>
      <c r="AH101" s="902">
        <v>0</v>
      </c>
      <c r="AI101" s="903"/>
      <c r="AJ101" s="578">
        <v>3195.2</v>
      </c>
      <c r="AK101" s="902">
        <v>28.356799999999996</v>
      </c>
      <c r="AL101" s="903"/>
      <c r="AM101" s="578">
        <v>1984</v>
      </c>
      <c r="AN101" s="902">
        <v>17.456</v>
      </c>
      <c r="AO101" s="903"/>
      <c r="AP101" s="578">
        <v>0</v>
      </c>
      <c r="AQ101" s="902">
        <v>0</v>
      </c>
      <c r="AR101" s="905">
        <v>20</v>
      </c>
      <c r="AS101" s="578">
        <v>2582.4</v>
      </c>
      <c r="AT101" s="902">
        <v>22.8416</v>
      </c>
      <c r="AU101" s="903"/>
      <c r="AV101" s="578"/>
      <c r="AW101" s="902">
        <v>0</v>
      </c>
      <c r="AX101" s="903"/>
      <c r="AY101" s="578"/>
      <c r="AZ101" s="902">
        <v>0</v>
      </c>
      <c r="BA101" s="903"/>
      <c r="BB101" s="463">
        <f>+F101+I101+L101+O101+R101+U101+X101+AA101+AD101+AG101+AJ101+AM101+AP101+AS101+AV101+AY101</f>
        <v>30303.959340659345</v>
      </c>
      <c r="BC101" s="464">
        <f>+G101+J101+M101+P101+S101+V101+Y101+AB101+AE101+AH101+AK101+AN101+AQ101+AT101+AW101+AZ101</f>
        <v>269.18163406593408</v>
      </c>
      <c r="BD101" s="901">
        <f>+H101+K101+N101+Q101+T101+W101+Z101+AC101+AF101+AI101+AL101+AO101+AR101+AU101+AX101+BA101</f>
        <v>40</v>
      </c>
      <c r="BE101" s="587"/>
      <c r="BF101" s="637">
        <f t="shared" si="177"/>
        <v>309.18163406593408</v>
      </c>
      <c r="BG101" s="578">
        <v>0</v>
      </c>
      <c r="BH101" s="902">
        <v>0</v>
      </c>
      <c r="BI101" s="903"/>
      <c r="BJ101" s="578">
        <v>0</v>
      </c>
      <c r="BK101" s="902">
        <v>0</v>
      </c>
      <c r="BL101" s="905">
        <v>0</v>
      </c>
      <c r="BM101" s="578">
        <v>633.23076923076928</v>
      </c>
      <c r="BN101" s="902">
        <v>5.2990769230769228</v>
      </c>
      <c r="BO101" s="903"/>
      <c r="BP101" s="578">
        <v>1545.6</v>
      </c>
      <c r="BQ101" s="902">
        <v>13.510399999999997</v>
      </c>
      <c r="BR101" s="903"/>
      <c r="BS101" s="578">
        <v>1296</v>
      </c>
      <c r="BT101" s="902">
        <v>11.263999999999999</v>
      </c>
      <c r="BU101" s="903"/>
      <c r="BV101" s="578">
        <v>1948</v>
      </c>
      <c r="BW101" s="902">
        <v>17.132000000000001</v>
      </c>
      <c r="BX101" s="903"/>
      <c r="BY101" s="578">
        <v>1074.4615384615386</v>
      </c>
      <c r="BZ101" s="902">
        <v>9.2701538461538462</v>
      </c>
      <c r="CA101" s="903"/>
      <c r="CB101" s="578">
        <v>0</v>
      </c>
      <c r="CC101" s="902">
        <v>0</v>
      </c>
      <c r="CD101" s="905">
        <v>0</v>
      </c>
      <c r="CE101" s="578">
        <v>2912</v>
      </c>
      <c r="CF101" s="902">
        <v>25.808</v>
      </c>
      <c r="CG101" s="903"/>
      <c r="CH101" s="578">
        <v>2288</v>
      </c>
      <c r="CI101" s="902">
        <v>20.192</v>
      </c>
      <c r="CJ101" s="903"/>
      <c r="CK101" s="578">
        <v>0</v>
      </c>
      <c r="CL101" s="902">
        <v>0</v>
      </c>
      <c r="CM101" s="903"/>
      <c r="CN101" s="578">
        <v>0</v>
      </c>
      <c r="CO101" s="902">
        <v>0</v>
      </c>
      <c r="CP101" s="903"/>
      <c r="CQ101" s="578">
        <v>0</v>
      </c>
      <c r="CR101" s="902">
        <v>0</v>
      </c>
      <c r="CS101" s="903"/>
      <c r="CT101" s="551">
        <f>BG101+BJ101+BM101+BP101+BS101+BV101+BY101+CB101+CH101+CK101+CN101+CQ101+CE101</f>
        <v>11697.292307692307</v>
      </c>
      <c r="CU101" s="552">
        <f>BH101+BK101+BN101+BQ101+BT101+BW101+BZ101+CC101+CI101+CL101+CO101+CR101+CF101</f>
        <v>102.47563076923078</v>
      </c>
      <c r="CV101" s="553">
        <f>+BI101+BL101+BO101+BR101+BU101+BX101+CA101+CD101+CG101+CJ101+CM101+CP101+CS101</f>
        <v>0</v>
      </c>
      <c r="CW101" s="587"/>
      <c r="CX101" s="554">
        <f>+CU101+CV101-CW101</f>
        <v>102.47563076923078</v>
      </c>
      <c r="CY101" s="588">
        <f>+BB101+CT101</f>
        <v>42001.251648351652</v>
      </c>
      <c r="CZ101" s="589">
        <f>+BC101+CU101</f>
        <v>371.65726483516482</v>
      </c>
      <c r="DA101" s="590">
        <f>+BD101+CV101</f>
        <v>40</v>
      </c>
      <c r="DB101" s="591">
        <f>+CZ101+DA101</f>
        <v>411.65726483516482</v>
      </c>
      <c r="DC101" s="1222">
        <v>52.87</v>
      </c>
      <c r="DD101" s="1196">
        <f t="shared" si="136"/>
        <v>464.52726483516483</v>
      </c>
      <c r="DE101" s="920" t="s">
        <v>865</v>
      </c>
    </row>
    <row r="102" spans="1:148" s="195" customFormat="1" ht="15.75" x14ac:dyDescent="0.25">
      <c r="A102" s="454">
        <f t="shared" si="137"/>
        <v>94</v>
      </c>
      <c r="B102" s="548" t="s">
        <v>214</v>
      </c>
      <c r="C102" s="548" t="s">
        <v>728</v>
      </c>
      <c r="D102" s="769"/>
      <c r="E102" s="831"/>
      <c r="F102" s="578">
        <v>1834.5</v>
      </c>
      <c r="G102" s="902">
        <v>14.3925</v>
      </c>
      <c r="H102" s="903"/>
      <c r="I102" s="578">
        <v>2712</v>
      </c>
      <c r="J102" s="902">
        <v>22.29</v>
      </c>
      <c r="K102" s="903"/>
      <c r="L102" s="578">
        <v>3497.6</v>
      </c>
      <c r="M102" s="902">
        <v>29.360399999999998</v>
      </c>
      <c r="N102" s="903"/>
      <c r="O102" s="578"/>
      <c r="P102" s="902">
        <v>0</v>
      </c>
      <c r="Q102" s="903"/>
      <c r="R102" s="578">
        <v>2799.4285714285716</v>
      </c>
      <c r="S102" s="902">
        <v>22.794857142857143</v>
      </c>
      <c r="T102" s="903"/>
      <c r="U102" s="578">
        <v>3297.2307692307691</v>
      </c>
      <c r="V102" s="902">
        <v>27.27507692307692</v>
      </c>
      <c r="W102" s="903"/>
      <c r="X102" s="578">
        <v>2028.8</v>
      </c>
      <c r="Y102" s="902">
        <v>15.8592</v>
      </c>
      <c r="Z102" s="903"/>
      <c r="AA102" s="578">
        <v>1963.2</v>
      </c>
      <c r="AB102" s="902">
        <v>15.268799999999997</v>
      </c>
      <c r="AC102" s="903"/>
      <c r="AD102" s="578">
        <v>4409.6000000000004</v>
      </c>
      <c r="AE102" s="902">
        <v>37.2864</v>
      </c>
      <c r="AF102" s="903"/>
      <c r="AG102" s="578">
        <v>0</v>
      </c>
      <c r="AH102" s="902">
        <v>0</v>
      </c>
      <c r="AI102" s="903"/>
      <c r="AJ102" s="578">
        <v>3195.2</v>
      </c>
      <c r="AK102" s="902">
        <v>26.356799999999996</v>
      </c>
      <c r="AL102" s="903"/>
      <c r="AM102" s="578">
        <v>1984</v>
      </c>
      <c r="AN102" s="902">
        <v>15.455999999999998</v>
      </c>
      <c r="AO102" s="903"/>
      <c r="AP102" s="578">
        <v>0</v>
      </c>
      <c r="AQ102" s="902">
        <v>0</v>
      </c>
      <c r="AR102" s="905">
        <v>20</v>
      </c>
      <c r="AS102" s="578">
        <v>2582.4</v>
      </c>
      <c r="AT102" s="902">
        <v>20.8416</v>
      </c>
      <c r="AU102" s="903"/>
      <c r="AV102" s="578"/>
      <c r="AW102" s="902">
        <v>0</v>
      </c>
      <c r="AX102" s="903"/>
      <c r="AY102" s="578"/>
      <c r="AZ102" s="902">
        <v>0</v>
      </c>
      <c r="BA102" s="903"/>
      <c r="BB102" s="463">
        <f t="shared" ref="BB102:BD102" si="203">+F102+I102+L102+O102+R102+U102+X102+AA102+AD102+AG102+AJ102+AM102+AP102+AS102+AV102+AY102</f>
        <v>30303.959340659345</v>
      </c>
      <c r="BC102" s="464">
        <f t="shared" si="203"/>
        <v>247.18163406593405</v>
      </c>
      <c r="BD102" s="901">
        <f t="shared" si="203"/>
        <v>20</v>
      </c>
      <c r="BE102" s="587"/>
      <c r="BF102" s="637">
        <f t="shared" si="177"/>
        <v>267.18163406593408</v>
      </c>
      <c r="BG102" s="578">
        <v>3089.1428571428573</v>
      </c>
      <c r="BH102" s="902">
        <v>25.402285714285714</v>
      </c>
      <c r="BI102" s="903"/>
      <c r="BJ102" s="578">
        <v>0</v>
      </c>
      <c r="BK102" s="902">
        <v>0</v>
      </c>
      <c r="BL102" s="905">
        <v>0</v>
      </c>
      <c r="BM102" s="578">
        <v>633.23076923076928</v>
      </c>
      <c r="BN102" s="902">
        <v>3.2990769230769232</v>
      </c>
      <c r="BO102" s="903"/>
      <c r="BP102" s="578">
        <v>1545.6</v>
      </c>
      <c r="BQ102" s="902">
        <v>11.510399999999997</v>
      </c>
      <c r="BR102" s="903"/>
      <c r="BS102" s="578">
        <v>1296</v>
      </c>
      <c r="BT102" s="902">
        <v>9.2639999999999993</v>
      </c>
      <c r="BU102" s="903"/>
      <c r="BV102" s="578">
        <v>1948</v>
      </c>
      <c r="BW102" s="902">
        <v>15.132</v>
      </c>
      <c r="BX102" s="903"/>
      <c r="BY102" s="578">
        <v>1074.4615384615386</v>
      </c>
      <c r="BZ102" s="902">
        <v>7.2701538461538462</v>
      </c>
      <c r="CA102" s="903"/>
      <c r="CB102" s="578">
        <v>0</v>
      </c>
      <c r="CC102" s="902">
        <v>0</v>
      </c>
      <c r="CD102" s="905">
        <v>10</v>
      </c>
      <c r="CE102" s="578">
        <v>2912</v>
      </c>
      <c r="CF102" s="902">
        <v>23.808</v>
      </c>
      <c r="CG102" s="903"/>
      <c r="CH102" s="578">
        <v>2288</v>
      </c>
      <c r="CI102" s="902">
        <v>18.192</v>
      </c>
      <c r="CJ102" s="903"/>
      <c r="CK102" s="578">
        <v>0</v>
      </c>
      <c r="CL102" s="902">
        <v>0</v>
      </c>
      <c r="CM102" s="903"/>
      <c r="CN102" s="578">
        <v>0</v>
      </c>
      <c r="CO102" s="902">
        <v>0</v>
      </c>
      <c r="CP102" s="903"/>
      <c r="CQ102" s="578">
        <v>0</v>
      </c>
      <c r="CR102" s="902">
        <v>0</v>
      </c>
      <c r="CS102" s="903"/>
      <c r="CT102" s="551">
        <f t="shared" ref="CT102:CU102" si="204">BG102+BJ102+BM102+BP102+BS102+BV102+BY102+CB102+CH102+CK102+CN102+CQ102+CE102</f>
        <v>14786.435164835166</v>
      </c>
      <c r="CU102" s="552">
        <f t="shared" si="204"/>
        <v>113.87791648351649</v>
      </c>
      <c r="CV102" s="553">
        <f t="shared" ref="CV102" si="205">+BI102+BL102+BO102+BR102+BU102+BX102+CA102+CD102+CG102+CJ102+CM102+CP102+CS102</f>
        <v>10</v>
      </c>
      <c r="CW102" s="587"/>
      <c r="CX102" s="554">
        <f t="shared" ref="CX102" si="206">+CU102+CV102-CW102</f>
        <v>123.87791648351649</v>
      </c>
      <c r="CY102" s="588">
        <f t="shared" ref="CY102:DA102" si="207">+BB102+CT102</f>
        <v>45090.394505494507</v>
      </c>
      <c r="CZ102" s="589">
        <f t="shared" si="207"/>
        <v>361.05955054945053</v>
      </c>
      <c r="DA102" s="590">
        <f t="shared" si="207"/>
        <v>30</v>
      </c>
      <c r="DB102" s="591">
        <f t="shared" ref="DB102" si="208">+CZ102+DA102</f>
        <v>391.05955054945053</v>
      </c>
      <c r="DC102" s="1222">
        <v>48.87</v>
      </c>
      <c r="DD102" s="1196">
        <f t="shared" si="136"/>
        <v>439.92955054945054</v>
      </c>
      <c r="DE102" s="920" t="s">
        <v>865</v>
      </c>
    </row>
    <row r="103" spans="1:148" s="571" customFormat="1" ht="15.75" x14ac:dyDescent="0.25">
      <c r="A103" s="454">
        <f t="shared" si="137"/>
        <v>95</v>
      </c>
      <c r="B103" s="548" t="s">
        <v>210</v>
      </c>
      <c r="C103" s="548" t="s">
        <v>713</v>
      </c>
      <c r="D103" s="866" t="s">
        <v>732</v>
      </c>
      <c r="E103" s="867" t="s">
        <v>733</v>
      </c>
      <c r="F103" s="911">
        <v>1834.5</v>
      </c>
      <c r="G103" s="912">
        <v>16.392500000000002</v>
      </c>
      <c r="H103" s="913"/>
      <c r="I103" s="911">
        <v>2712</v>
      </c>
      <c r="J103" s="912">
        <v>24.29</v>
      </c>
      <c r="K103" s="913"/>
      <c r="L103" s="911">
        <v>3497.6</v>
      </c>
      <c r="M103" s="912">
        <v>31.360399999999998</v>
      </c>
      <c r="N103" s="913"/>
      <c r="O103" s="911"/>
      <c r="P103" s="912">
        <v>0</v>
      </c>
      <c r="Q103" s="913"/>
      <c r="R103" s="911">
        <v>2799.4285714285716</v>
      </c>
      <c r="S103" s="912">
        <v>24.794857142857143</v>
      </c>
      <c r="T103" s="913"/>
      <c r="U103" s="911">
        <v>3297.2307692307691</v>
      </c>
      <c r="V103" s="912">
        <v>29.27507692307692</v>
      </c>
      <c r="W103" s="913"/>
      <c r="X103" s="911">
        <v>2028.8</v>
      </c>
      <c r="Y103" s="912">
        <v>17.859200000000001</v>
      </c>
      <c r="Z103" s="913"/>
      <c r="AA103" s="911">
        <v>1963.2</v>
      </c>
      <c r="AB103" s="912">
        <v>17.268799999999999</v>
      </c>
      <c r="AC103" s="913"/>
      <c r="AD103" s="911">
        <v>4409.6000000000004</v>
      </c>
      <c r="AE103" s="912">
        <v>39.2864</v>
      </c>
      <c r="AF103" s="913"/>
      <c r="AG103" s="911">
        <v>0</v>
      </c>
      <c r="AH103" s="912">
        <v>0</v>
      </c>
      <c r="AI103" s="913"/>
      <c r="AJ103" s="911">
        <v>3195.2</v>
      </c>
      <c r="AK103" s="912">
        <v>28.356799999999996</v>
      </c>
      <c r="AL103" s="913"/>
      <c r="AM103" s="911">
        <v>1984</v>
      </c>
      <c r="AN103" s="912">
        <v>17.456</v>
      </c>
      <c r="AO103" s="913"/>
      <c r="AP103" s="911">
        <v>0</v>
      </c>
      <c r="AQ103" s="912">
        <v>0</v>
      </c>
      <c r="AR103" s="914">
        <v>20</v>
      </c>
      <c r="AS103" s="911">
        <v>2582.4</v>
      </c>
      <c r="AT103" s="912">
        <v>22.8416</v>
      </c>
      <c r="AU103" s="913"/>
      <c r="AV103" s="911"/>
      <c r="AW103" s="912">
        <v>0</v>
      </c>
      <c r="AX103" s="913"/>
      <c r="AY103" s="911"/>
      <c r="AZ103" s="912">
        <v>0</v>
      </c>
      <c r="BA103" s="913"/>
      <c r="BB103" s="870">
        <f>+F103+I103+L103+O103+R103+U103+X103+AA103+AD103+AG103+AJ103+AM103+AP103+AS103+AV103+AY103</f>
        <v>30303.959340659345</v>
      </c>
      <c r="BC103" s="871">
        <f>+G103+J103+M103+P103+S103+V103+Y103+AB103+AE103+AH103+AK103+AN103+AQ103+AT103+AW103+AZ103</f>
        <v>269.18163406593408</v>
      </c>
      <c r="BD103" s="877">
        <f>+H103+K103+N103+Q103+T103+W103+Z103+AC103+AF103+AI103+AL103+AO103+AR103+AU103+AX103+BA103</f>
        <v>20</v>
      </c>
      <c r="BE103" s="873"/>
      <c r="BF103" s="874">
        <f>+BC103+BD103-BE103</f>
        <v>289.18163406593408</v>
      </c>
      <c r="BG103" s="911">
        <v>3089.1428571428573</v>
      </c>
      <c r="BH103" s="912">
        <v>27.402285714285714</v>
      </c>
      <c r="BI103" s="913"/>
      <c r="BJ103" s="911">
        <v>0</v>
      </c>
      <c r="BK103" s="912">
        <v>0</v>
      </c>
      <c r="BL103" s="914">
        <v>0</v>
      </c>
      <c r="BM103" s="911">
        <v>0</v>
      </c>
      <c r="BN103" s="912">
        <v>0</v>
      </c>
      <c r="BO103" s="913"/>
      <c r="BP103" s="911">
        <v>1545.6</v>
      </c>
      <c r="BQ103" s="912">
        <v>13.510399999999997</v>
      </c>
      <c r="BR103" s="913"/>
      <c r="BS103" s="911">
        <v>1296</v>
      </c>
      <c r="BT103" s="912">
        <v>11.263999999999999</v>
      </c>
      <c r="BU103" s="913"/>
      <c r="BV103" s="911">
        <v>0</v>
      </c>
      <c r="BW103" s="912">
        <v>0</v>
      </c>
      <c r="BX103" s="913"/>
      <c r="BY103" s="911">
        <v>1074.4615384615386</v>
      </c>
      <c r="BZ103" s="912">
        <v>9.2701538461538462</v>
      </c>
      <c r="CA103" s="913"/>
      <c r="CB103" s="911">
        <v>0</v>
      </c>
      <c r="CC103" s="912">
        <v>0</v>
      </c>
      <c r="CD103" s="914">
        <v>10</v>
      </c>
      <c r="CE103" s="911">
        <v>0</v>
      </c>
      <c r="CF103" s="912">
        <v>0</v>
      </c>
      <c r="CG103" s="913"/>
      <c r="CH103" s="911">
        <v>0</v>
      </c>
      <c r="CI103" s="912">
        <v>0</v>
      </c>
      <c r="CJ103" s="913"/>
      <c r="CK103" s="911"/>
      <c r="CL103" s="912">
        <v>0</v>
      </c>
      <c r="CM103" s="913"/>
      <c r="CN103" s="911"/>
      <c r="CO103" s="912">
        <v>0</v>
      </c>
      <c r="CP103" s="913"/>
      <c r="CQ103" s="911"/>
      <c r="CR103" s="912">
        <v>0</v>
      </c>
      <c r="CS103" s="913"/>
      <c r="CT103" s="875">
        <f>BG103+BJ103+BM103+BP103+BS103+BV103+BY103+CB103+CH103+CK103+CN103+CQ103+CE103</f>
        <v>7005.2043956043963</v>
      </c>
      <c r="CU103" s="876">
        <f>BH103+BK103+BN103+BQ103+BT103+BW103+BZ103+CC103+CI103+CL103+CO103+CR103+CF103</f>
        <v>61.446839560439557</v>
      </c>
      <c r="CV103" s="872">
        <f>+BI103+BL103+BO103+BR103+BU103+BX103+CA103+CD103+CG103+CJ103+CM103+CP103+CS103</f>
        <v>10</v>
      </c>
      <c r="CW103" s="873"/>
      <c r="CX103" s="877">
        <f>+CU103+CV103-CW103</f>
        <v>71.446839560439557</v>
      </c>
      <c r="CY103" s="878">
        <f>+BB103+CT103</f>
        <v>37309.163736263741</v>
      </c>
      <c r="CZ103" s="879">
        <f>+BC103+CU103</f>
        <v>330.62847362637365</v>
      </c>
      <c r="DA103" s="879">
        <f>+BD103+CV103</f>
        <v>30</v>
      </c>
      <c r="DB103" s="880">
        <f>+CZ103+DA103</f>
        <v>360.62847362637365</v>
      </c>
      <c r="DC103" s="1280">
        <v>0</v>
      </c>
      <c r="DD103" s="1281">
        <f t="shared" si="136"/>
        <v>360.62847362637365</v>
      </c>
      <c r="DE103" s="535" t="s">
        <v>731</v>
      </c>
    </row>
    <row r="104" spans="1:148" s="195" customFormat="1" ht="15.75" x14ac:dyDescent="0.25">
      <c r="A104" s="454">
        <f t="shared" si="137"/>
        <v>96</v>
      </c>
      <c r="B104" s="1029" t="s">
        <v>212</v>
      </c>
      <c r="C104" s="548" t="s">
        <v>713</v>
      </c>
      <c r="D104" s="769" t="s">
        <v>724</v>
      </c>
      <c r="E104" s="770" t="s">
        <v>725</v>
      </c>
      <c r="F104" s="578">
        <v>1834.5</v>
      </c>
      <c r="G104" s="902">
        <v>16.392500000000002</v>
      </c>
      <c r="H104" s="903"/>
      <c r="I104" s="578">
        <v>2712</v>
      </c>
      <c r="J104" s="902">
        <v>24.29</v>
      </c>
      <c r="K104" s="903"/>
      <c r="L104" s="578">
        <v>3497.6</v>
      </c>
      <c r="M104" s="902">
        <v>31.360399999999998</v>
      </c>
      <c r="N104" s="903"/>
      <c r="O104" s="578"/>
      <c r="P104" s="902">
        <v>0</v>
      </c>
      <c r="Q104" s="903"/>
      <c r="R104" s="578">
        <v>2799.4285714285716</v>
      </c>
      <c r="S104" s="902">
        <v>24.794857142857143</v>
      </c>
      <c r="T104" s="903"/>
      <c r="U104" s="578">
        <v>3297.2307692307691</v>
      </c>
      <c r="V104" s="902">
        <v>29.27507692307692</v>
      </c>
      <c r="W104" s="903"/>
      <c r="X104" s="578">
        <v>2028.8</v>
      </c>
      <c r="Y104" s="902">
        <v>17.859200000000001</v>
      </c>
      <c r="Z104" s="903"/>
      <c r="AA104" s="578">
        <v>1963.2</v>
      </c>
      <c r="AB104" s="902">
        <v>17.268799999999999</v>
      </c>
      <c r="AC104" s="903"/>
      <c r="AD104" s="578">
        <v>4409.6000000000004</v>
      </c>
      <c r="AE104" s="902">
        <v>39.2864</v>
      </c>
      <c r="AF104" s="903"/>
      <c r="AG104" s="578">
        <v>0</v>
      </c>
      <c r="AH104" s="902">
        <v>0</v>
      </c>
      <c r="AI104" s="903"/>
      <c r="AJ104" s="578">
        <v>3195.2</v>
      </c>
      <c r="AK104" s="902">
        <v>28.356799999999996</v>
      </c>
      <c r="AL104" s="903"/>
      <c r="AM104" s="578">
        <v>1984</v>
      </c>
      <c r="AN104" s="902">
        <v>17.456</v>
      </c>
      <c r="AO104" s="903"/>
      <c r="AP104" s="578">
        <v>0</v>
      </c>
      <c r="AQ104" s="902">
        <v>0</v>
      </c>
      <c r="AR104" s="905">
        <v>20</v>
      </c>
      <c r="AS104" s="578">
        <v>2582.4</v>
      </c>
      <c r="AT104" s="902">
        <v>22.8416</v>
      </c>
      <c r="AU104" s="903"/>
      <c r="AV104" s="578"/>
      <c r="AW104" s="902">
        <v>0</v>
      </c>
      <c r="AX104" s="903"/>
      <c r="AY104" s="578"/>
      <c r="AZ104" s="902">
        <v>0</v>
      </c>
      <c r="BA104" s="903"/>
      <c r="BB104" s="463">
        <f t="shared" ref="BB104:BD105" si="209">+F104+I104+L104+O104+R104+U104+X104+AA104+AD104+AG104+AJ104+AM104+AP104+AS104+AV104+AY104</f>
        <v>30303.959340659345</v>
      </c>
      <c r="BC104" s="464">
        <f t="shared" si="209"/>
        <v>269.18163406593408</v>
      </c>
      <c r="BD104" s="901">
        <f t="shared" si="209"/>
        <v>20</v>
      </c>
      <c r="BE104" s="587"/>
      <c r="BF104" s="637">
        <f>+BC104+BD104-BE104</f>
        <v>289.18163406593408</v>
      </c>
      <c r="BG104" s="578">
        <v>3089.1428571428573</v>
      </c>
      <c r="BH104" s="902">
        <v>27.402285714285714</v>
      </c>
      <c r="BI104" s="903"/>
      <c r="BJ104" s="578">
        <v>0</v>
      </c>
      <c r="BK104" s="902">
        <v>0</v>
      </c>
      <c r="BL104" s="905">
        <v>0</v>
      </c>
      <c r="BM104" s="578">
        <v>633.23076923076928</v>
      </c>
      <c r="BN104" s="902">
        <v>5.2990769230769228</v>
      </c>
      <c r="BO104" s="903"/>
      <c r="BP104" s="578">
        <v>1545.6</v>
      </c>
      <c r="BQ104" s="902">
        <v>13.510399999999997</v>
      </c>
      <c r="BR104" s="903"/>
      <c r="BS104" s="578">
        <v>1296</v>
      </c>
      <c r="BT104" s="902">
        <v>11.263999999999999</v>
      </c>
      <c r="BU104" s="903"/>
      <c r="BV104" s="578">
        <v>1948</v>
      </c>
      <c r="BW104" s="902">
        <v>17.132000000000001</v>
      </c>
      <c r="BX104" s="903"/>
      <c r="BY104" s="578">
        <v>0</v>
      </c>
      <c r="BZ104" s="902">
        <v>0</v>
      </c>
      <c r="CA104" s="903"/>
      <c r="CB104" s="578">
        <v>0</v>
      </c>
      <c r="CC104" s="902">
        <v>0</v>
      </c>
      <c r="CD104" s="905">
        <v>0</v>
      </c>
      <c r="CE104" s="578">
        <v>2912</v>
      </c>
      <c r="CF104" s="902">
        <v>25.808</v>
      </c>
      <c r="CG104" s="903"/>
      <c r="CH104" s="578">
        <v>2288</v>
      </c>
      <c r="CI104" s="902">
        <v>20.192</v>
      </c>
      <c r="CJ104" s="903"/>
      <c r="CK104" s="578">
        <v>0</v>
      </c>
      <c r="CL104" s="902">
        <v>0</v>
      </c>
      <c r="CM104" s="903"/>
      <c r="CN104" s="578">
        <v>0</v>
      </c>
      <c r="CO104" s="902">
        <v>0</v>
      </c>
      <c r="CP104" s="903"/>
      <c r="CQ104" s="578">
        <v>0</v>
      </c>
      <c r="CR104" s="902">
        <v>0</v>
      </c>
      <c r="CS104" s="903"/>
      <c r="CT104" s="551">
        <f t="shared" ref="CT104:CU105" si="210">BG104+BJ104+BM104+BP104+BS104+BV104+BY104+CB104+CH104+CK104+CN104+CQ104+CE104</f>
        <v>13711.973626373627</v>
      </c>
      <c r="CU104" s="552">
        <f t="shared" si="210"/>
        <v>120.60776263736264</v>
      </c>
      <c r="CV104" s="553">
        <f t="shared" ref="CV104:CV105" si="211">+BI104+BL104+BO104+BR104+BU104+BX104+CA104+CD104+CG104+CJ104+CM104+CP104+CS104</f>
        <v>0</v>
      </c>
      <c r="CW104" s="587"/>
      <c r="CX104" s="554">
        <f t="shared" ref="CX104:CX105" si="212">+CU104+CV104-CW104</f>
        <v>120.60776263736264</v>
      </c>
      <c r="CY104" s="588">
        <f t="shared" ref="CY104:DA105" si="213">+BB104+CT104</f>
        <v>44015.932967032975</v>
      </c>
      <c r="CZ104" s="589">
        <f t="shared" si="213"/>
        <v>389.78939670329669</v>
      </c>
      <c r="DA104" s="590">
        <f t="shared" si="213"/>
        <v>20</v>
      </c>
      <c r="DB104" s="591">
        <f t="shared" ref="DB104:DB105" si="214">+CZ104+DA104</f>
        <v>409.78939670329669</v>
      </c>
      <c r="DC104" s="1222">
        <v>52.87</v>
      </c>
      <c r="DD104" s="1196">
        <f t="shared" si="136"/>
        <v>462.65939670329669</v>
      </c>
      <c r="DE104" s="920" t="s">
        <v>870</v>
      </c>
    </row>
    <row r="105" spans="1:148" s="571" customFormat="1" ht="16.5" thickBot="1" x14ac:dyDescent="0.3">
      <c r="A105" s="1102">
        <f t="shared" si="137"/>
        <v>97</v>
      </c>
      <c r="B105" s="1006" t="s">
        <v>127</v>
      </c>
      <c r="C105" s="1006" t="s">
        <v>713</v>
      </c>
      <c r="D105" s="908" t="s">
        <v>726</v>
      </c>
      <c r="E105" s="909" t="s">
        <v>727</v>
      </c>
      <c r="F105" s="578">
        <v>1834.5</v>
      </c>
      <c r="G105" s="902">
        <v>16.392500000000002</v>
      </c>
      <c r="H105" s="903"/>
      <c r="I105" s="578">
        <v>2712</v>
      </c>
      <c r="J105" s="902">
        <v>24.29</v>
      </c>
      <c r="K105" s="903"/>
      <c r="L105" s="578">
        <v>3497.6</v>
      </c>
      <c r="M105" s="902">
        <v>31.360399999999998</v>
      </c>
      <c r="N105" s="903"/>
      <c r="O105" s="578"/>
      <c r="P105" s="902">
        <v>0</v>
      </c>
      <c r="Q105" s="903"/>
      <c r="R105" s="578">
        <v>2799.4285714285716</v>
      </c>
      <c r="S105" s="902">
        <v>24.794857142857143</v>
      </c>
      <c r="T105" s="903"/>
      <c r="U105" s="578">
        <v>3297.2307692307691</v>
      </c>
      <c r="V105" s="902">
        <v>29.27507692307692</v>
      </c>
      <c r="W105" s="903"/>
      <c r="X105" s="578">
        <v>2028.8</v>
      </c>
      <c r="Y105" s="902">
        <v>17.859200000000001</v>
      </c>
      <c r="Z105" s="903"/>
      <c r="AA105" s="578">
        <v>1963.2</v>
      </c>
      <c r="AB105" s="902">
        <v>17.268799999999999</v>
      </c>
      <c r="AC105" s="903"/>
      <c r="AD105" s="578">
        <v>4409.6000000000004</v>
      </c>
      <c r="AE105" s="902">
        <v>39.2864</v>
      </c>
      <c r="AF105" s="903"/>
      <c r="AG105" s="578">
        <v>0</v>
      </c>
      <c r="AH105" s="902">
        <v>0</v>
      </c>
      <c r="AI105" s="903"/>
      <c r="AJ105" s="578">
        <v>3195.2</v>
      </c>
      <c r="AK105" s="902">
        <v>28.356799999999996</v>
      </c>
      <c r="AL105" s="903"/>
      <c r="AM105" s="578">
        <v>1984</v>
      </c>
      <c r="AN105" s="902">
        <v>17.456</v>
      </c>
      <c r="AO105" s="903"/>
      <c r="AP105" s="578">
        <v>0</v>
      </c>
      <c r="AQ105" s="902">
        <v>0</v>
      </c>
      <c r="AR105" s="905">
        <v>20</v>
      </c>
      <c r="AS105" s="578">
        <v>2582.4</v>
      </c>
      <c r="AT105" s="902">
        <v>22.8416</v>
      </c>
      <c r="AU105" s="903"/>
      <c r="AV105" s="578"/>
      <c r="AW105" s="902">
        <v>0</v>
      </c>
      <c r="AX105" s="903"/>
      <c r="AY105" s="578"/>
      <c r="AZ105" s="902">
        <v>0</v>
      </c>
      <c r="BA105" s="903"/>
      <c r="BB105" s="486">
        <f t="shared" si="209"/>
        <v>30303.959340659345</v>
      </c>
      <c r="BC105" s="487">
        <f t="shared" si="209"/>
        <v>269.18163406593408</v>
      </c>
      <c r="BD105" s="910">
        <f t="shared" si="209"/>
        <v>20</v>
      </c>
      <c r="BE105" s="646"/>
      <c r="BF105" s="647">
        <f>+BC105+BD105-BE105</f>
        <v>289.18163406593408</v>
      </c>
      <c r="BG105" s="578">
        <v>3089.1428571428573</v>
      </c>
      <c r="BH105" s="902">
        <v>27.402285714285714</v>
      </c>
      <c r="BI105" s="903"/>
      <c r="BJ105" s="578">
        <v>0</v>
      </c>
      <c r="BK105" s="902">
        <v>0</v>
      </c>
      <c r="BL105" s="905">
        <v>0</v>
      </c>
      <c r="BM105" s="578">
        <v>633.23076923076928</v>
      </c>
      <c r="BN105" s="902">
        <v>5.2990769230769228</v>
      </c>
      <c r="BO105" s="903"/>
      <c r="BP105" s="578">
        <v>1545.6</v>
      </c>
      <c r="BQ105" s="902">
        <v>13.510399999999997</v>
      </c>
      <c r="BR105" s="903"/>
      <c r="BS105" s="578">
        <v>1296</v>
      </c>
      <c r="BT105" s="902">
        <v>11.263999999999999</v>
      </c>
      <c r="BU105" s="903"/>
      <c r="BV105" s="578">
        <v>1948</v>
      </c>
      <c r="BW105" s="902">
        <v>17.132000000000001</v>
      </c>
      <c r="BX105" s="903"/>
      <c r="BY105" s="578">
        <v>1074.4615384615386</v>
      </c>
      <c r="BZ105" s="902">
        <v>9.2701538461538462</v>
      </c>
      <c r="CA105" s="903"/>
      <c r="CB105" s="578">
        <v>0</v>
      </c>
      <c r="CC105" s="902">
        <v>0</v>
      </c>
      <c r="CD105" s="905">
        <v>10</v>
      </c>
      <c r="CE105" s="578">
        <v>2912</v>
      </c>
      <c r="CF105" s="902">
        <v>25.808</v>
      </c>
      <c r="CG105" s="903"/>
      <c r="CH105" s="578">
        <v>2288</v>
      </c>
      <c r="CI105" s="902">
        <v>20.192</v>
      </c>
      <c r="CJ105" s="903"/>
      <c r="CK105" s="578">
        <v>0</v>
      </c>
      <c r="CL105" s="902">
        <v>0</v>
      </c>
      <c r="CM105" s="903"/>
      <c r="CN105" s="578">
        <v>0</v>
      </c>
      <c r="CO105" s="902">
        <v>0</v>
      </c>
      <c r="CP105" s="903"/>
      <c r="CQ105" s="578">
        <v>0</v>
      </c>
      <c r="CR105" s="902">
        <v>0</v>
      </c>
      <c r="CS105" s="903"/>
      <c r="CT105" s="495">
        <f t="shared" si="210"/>
        <v>14786.435164835166</v>
      </c>
      <c r="CU105" s="496">
        <f t="shared" si="210"/>
        <v>129.87791648351649</v>
      </c>
      <c r="CV105" s="497">
        <f t="shared" si="211"/>
        <v>10</v>
      </c>
      <c r="CW105" s="646"/>
      <c r="CX105" s="498">
        <f t="shared" si="212"/>
        <v>139.87791648351649</v>
      </c>
      <c r="CY105" s="499">
        <f t="shared" si="213"/>
        <v>45090.394505494507</v>
      </c>
      <c r="CZ105" s="500">
        <f t="shared" si="213"/>
        <v>399.05955054945059</v>
      </c>
      <c r="DA105" s="501">
        <f t="shared" si="213"/>
        <v>30</v>
      </c>
      <c r="DB105" s="502">
        <f t="shared" si="214"/>
        <v>429.05955054945059</v>
      </c>
      <c r="DC105" s="1200">
        <v>52.87</v>
      </c>
      <c r="DD105" s="1201">
        <f t="shared" si="136"/>
        <v>481.9295505494506</v>
      </c>
      <c r="DE105" s="920" t="s">
        <v>865</v>
      </c>
    </row>
    <row r="106" spans="1:148" s="571" customFormat="1" ht="24" thickBot="1" x14ac:dyDescent="0.3">
      <c r="A106" s="1328" t="s">
        <v>247</v>
      </c>
      <c r="B106" s="1329"/>
      <c r="C106" s="1329"/>
      <c r="D106" s="1329"/>
      <c r="E106" s="1330"/>
      <c r="F106" s="1331"/>
      <c r="G106" s="1332"/>
      <c r="H106" s="1332"/>
      <c r="I106" s="1332"/>
      <c r="J106" s="1332"/>
      <c r="K106" s="1332"/>
      <c r="L106" s="1332"/>
      <c r="M106" s="1332"/>
      <c r="N106" s="1332"/>
      <c r="O106" s="1332"/>
      <c r="P106" s="1332"/>
      <c r="Q106" s="1332"/>
      <c r="R106" s="1332"/>
      <c r="S106" s="1332"/>
      <c r="T106" s="1332"/>
      <c r="U106" s="1332"/>
      <c r="V106" s="1332"/>
      <c r="W106" s="1332"/>
      <c r="X106" s="1332"/>
      <c r="Y106" s="1332"/>
      <c r="Z106" s="1332"/>
      <c r="AA106" s="1332"/>
      <c r="AB106" s="1332"/>
      <c r="AC106" s="1332"/>
      <c r="AD106" s="1332"/>
      <c r="AE106" s="1332"/>
      <c r="AF106" s="1332"/>
      <c r="AG106" s="1332"/>
      <c r="AH106" s="1332"/>
      <c r="AI106" s="1332"/>
      <c r="AJ106" s="1332"/>
      <c r="AK106" s="1332"/>
      <c r="AL106" s="1332"/>
      <c r="AM106" s="1332"/>
      <c r="AN106" s="1332"/>
      <c r="AO106" s="1332"/>
      <c r="AP106" s="1332"/>
      <c r="AQ106" s="1332"/>
      <c r="AR106" s="1332"/>
      <c r="AS106" s="1332"/>
      <c r="AT106" s="1332"/>
      <c r="AU106" s="1332"/>
      <c r="AV106" s="1332"/>
      <c r="AW106" s="1332"/>
      <c r="AX106" s="1332"/>
      <c r="AY106" s="1332"/>
      <c r="AZ106" s="1332"/>
      <c r="BA106" s="1333"/>
      <c r="BB106" s="559">
        <f>SUM(BB7:BB105)</f>
        <v>11281882.464423766</v>
      </c>
      <c r="BC106" s="560">
        <f>SUM(BC7:BC105)</f>
        <v>19841.520325656456</v>
      </c>
      <c r="BD106" s="560">
        <f>SUM(BD7:BD105)</f>
        <v>9239.9049110929645</v>
      </c>
      <c r="BE106" s="561">
        <f>SUM(BE7:BE105)</f>
        <v>0</v>
      </c>
      <c r="BF106" s="562">
        <f>SUM(BF7:BF105)</f>
        <v>29081.425236749419</v>
      </c>
      <c r="BG106" s="1334"/>
      <c r="BH106" s="1335"/>
      <c r="BI106" s="1335"/>
      <c r="BJ106" s="1335"/>
      <c r="BK106" s="1335"/>
      <c r="BL106" s="1335"/>
      <c r="BM106" s="1335"/>
      <c r="BN106" s="1335"/>
      <c r="BO106" s="1335"/>
      <c r="BP106" s="1335"/>
      <c r="BQ106" s="1335"/>
      <c r="BR106" s="1335"/>
      <c r="BS106" s="1335"/>
      <c r="BT106" s="1335"/>
      <c r="BU106" s="1335"/>
      <c r="BV106" s="1335"/>
      <c r="BW106" s="1335"/>
      <c r="BX106" s="1335"/>
      <c r="BY106" s="1335"/>
      <c r="BZ106" s="1335"/>
      <c r="CA106" s="1335"/>
      <c r="CB106" s="1335"/>
      <c r="CC106" s="1335"/>
      <c r="CD106" s="1335"/>
      <c r="CE106" s="1335"/>
      <c r="CF106" s="1335"/>
      <c r="CG106" s="1335"/>
      <c r="CH106" s="1335"/>
      <c r="CI106" s="1335"/>
      <c r="CJ106" s="1335"/>
      <c r="CK106" s="1335"/>
      <c r="CL106" s="1335"/>
      <c r="CM106" s="1335"/>
      <c r="CN106" s="1335"/>
      <c r="CO106" s="1335"/>
      <c r="CP106" s="1335"/>
      <c r="CQ106" s="1335"/>
      <c r="CR106" s="1335"/>
      <c r="CS106" s="1336"/>
      <c r="CT106" s="563">
        <f t="shared" ref="CT106:DB106" si="215">SUM(CT7:CT105)</f>
        <v>4856372.2882533576</v>
      </c>
      <c r="CU106" s="564">
        <f t="shared" si="215"/>
        <v>9593.9485858859935</v>
      </c>
      <c r="CV106" s="564">
        <f t="shared" si="215"/>
        <v>5195.3759581893446</v>
      </c>
      <c r="CW106" s="561">
        <f t="shared" si="215"/>
        <v>0</v>
      </c>
      <c r="CX106" s="565">
        <f>SUM(CX7:CX105)</f>
        <v>14789.32454407534</v>
      </c>
      <c r="CY106" s="566">
        <f t="shared" si="215"/>
        <v>16138254.75267712</v>
      </c>
      <c r="CZ106" s="567">
        <f t="shared" si="215"/>
        <v>29435.468911542452</v>
      </c>
      <c r="DA106" s="568">
        <f t="shared" si="215"/>
        <v>14435.280869282309</v>
      </c>
      <c r="DB106" s="741">
        <f t="shared" si="215"/>
        <v>43870.749780824728</v>
      </c>
      <c r="DC106" s="1282">
        <f>SUM(DC77:DC105)</f>
        <v>1840.3706247058817</v>
      </c>
      <c r="DD106" s="741">
        <f>SUM(DD77:DD105)</f>
        <v>16009.630682139194</v>
      </c>
      <c r="DE106" s="453"/>
      <c r="DF106" s="915"/>
      <c r="DG106" s="570"/>
      <c r="DH106" s="570"/>
      <c r="DI106" s="570"/>
      <c r="DJ106" s="570"/>
      <c r="DK106" s="570"/>
      <c r="DL106" s="570"/>
      <c r="DM106" s="570"/>
      <c r="DN106" s="570"/>
      <c r="DO106" s="570"/>
      <c r="DP106" s="570"/>
      <c r="DQ106" s="570"/>
      <c r="DR106" s="570"/>
      <c r="DS106" s="570"/>
      <c r="DT106" s="570"/>
      <c r="DU106" s="570"/>
      <c r="DV106" s="570"/>
      <c r="DW106" s="570"/>
      <c r="DX106" s="570"/>
      <c r="DY106" s="570"/>
      <c r="DZ106" s="570"/>
      <c r="EA106" s="570"/>
      <c r="EB106" s="570"/>
      <c r="EC106" s="570"/>
      <c r="ED106" s="570"/>
      <c r="EE106" s="570"/>
      <c r="EF106" s="570"/>
      <c r="EG106" s="570"/>
      <c r="EH106" s="570"/>
      <c r="EI106" s="570"/>
      <c r="EJ106" s="570"/>
      <c r="EK106" s="570"/>
      <c r="EL106" s="570"/>
      <c r="EM106" s="570"/>
      <c r="EN106" s="570"/>
      <c r="EO106" s="570"/>
      <c r="EP106" s="570"/>
      <c r="EQ106" s="570"/>
      <c r="ER106" s="570"/>
    </row>
    <row r="108" spans="1:148" x14ac:dyDescent="0.25">
      <c r="DB108" s="1283">
        <f>DB106+DC106</f>
        <v>45711.120405530608</v>
      </c>
    </row>
    <row r="115" spans="106:106" x14ac:dyDescent="0.25">
      <c r="DB115" s="195">
        <f>91+97</f>
        <v>188</v>
      </c>
    </row>
  </sheetData>
  <protectedRanges>
    <protectedRange algorithmName="SHA-512" hashValue="RCrGPMCyFEkdhJRom24X1PBQWhQGvWNSMwa4ZJxufwfKFdhshIHyMGamjWZVYCqC0Vs/+IV9hTSH0rzqE7eoww==" saltValue="7PM8PbaJbRCgZUUDDBNLsQ==" spinCount="100000" sqref="AJ4:AL4 AV6:AW6 AJ107:DB1048576 AJ1:BR2 AY6:AZ6 BB6:BH6 BJ6:BK6 BM6:BN6 BP6:BQ6 BS6:BT6 BV6:BW6 BY6:BZ6 CB6:CC6 CE6:CF6 CH6:CI6 CK6:CL6 CN6:CO6 CQ6:CR6 AT4:DB4 BS1:CX3 CY2:DB3 CY1:DA1 CT5:DB6 AY5:BF5 AK3:AN3 AP3:BR3 CB5:CG5 O5:Q5 AG5:AI5 BJ5:BO5 AY76:AZ76 BB76:BH76 BJ76:BK76 BM76:BN76 BP76:BQ76 BS76:BT76 BV76:BW76 BY76:BZ76 CB76:CC76 CE76:CF76 CH76:CI76 CK76:CL76 CN76:CO76 CQ76:CR76 CT75:DB76 BJ75:BO75 AY75:BF75 CB75:CG75 O75:Q75 AG75:AI75 AV76:AW76" name="Rango1_2"/>
    <protectedRange algorithmName="SHA-512" hashValue="RCrGPMCyFEkdhJRom24X1PBQWhQGvWNSMwa4ZJxufwfKFdhshIHyMGamjWZVYCqC0Vs/+IV9hTSH0rzqE7eoww==" saltValue="7PM8PbaJbRCgZUUDDBNLsQ==" spinCount="100000" sqref="BF7:BF8 BF10" name="Rango1_5_2_2_2_3_1_3_2"/>
    <protectedRange algorithmName="SHA-512" hashValue="RCrGPMCyFEkdhJRom24X1PBQWhQGvWNSMwa4ZJxufwfKFdhshIHyMGamjWZVYCqC0Vs/+IV9hTSH0rzqE7eoww==" saltValue="7PM8PbaJbRCgZUUDDBNLsQ==" spinCount="100000" sqref="BB7:BE8 BB10:BE10" name="Rango1_6_2_2_2_3_1_5_1_3_2"/>
    <protectedRange algorithmName="SHA-512" hashValue="RCrGPMCyFEkdhJRom24X1PBQWhQGvWNSMwa4ZJxufwfKFdhshIHyMGamjWZVYCqC0Vs/+IV9hTSH0rzqE7eoww==" saltValue="7PM8PbaJbRCgZUUDDBNLsQ==" spinCount="100000" sqref="I7:Q7 AW7 BH7 BT7 AB10 AN7 S10 BW10 AD7:AE7 U7:V7 AS7:AU7 CL7 CI7 CF7 BZ10 CC7 AK10 M10 P10 BQ10 CR10 U10:V10 BN7 AN10 AS10:AT10 I10:J10 BK7 AE10 CO7 AB7 Y7 BT10 BW7 CW7:CW8 BZ7 G7 BH10 S7 CL10 CI10 CR7 AK7 CF10 CC10 BN10 BK10 F8:BA8 BG8:CS8 AZ7 CO10 AZ10 Y10 G10 AH10 AQ10 AW10 AH7 AQ7 CW10" name="Rango1_6_2_2_2_3_1_1_1_1_3_2"/>
    <protectedRange algorithmName="SHA-512" hashValue="RCrGPMCyFEkdhJRom24X1PBQWhQGvWNSMwa4ZJxufwfKFdhshIHyMGamjWZVYCqC0Vs/+IV9hTSH0rzqE7eoww==" saltValue="7PM8PbaJbRCgZUUDDBNLsQ==" spinCount="100000" sqref="CM7:CN7 CS7 AO10:AP10 BA7 BA10 F7 AL10:AM10 W7:X7 CP7:CQ7 H7 AX7:AY7 CS10 K10:L10 CA7:CB7 Z10:AA10 BG7 N10:O10 CD10:CE10 CG7:CH7 H10 Q10:R10 BL7:BM7 R7 BR10:BS10 CP10:CQ10 T7 BO7 BU7:BV7 BI7:BJ7 BO10:BP10 Z7:AA7 BL10:BM10 T10 AC10:AD10 CM10:CN10 AC7 CJ7:CK7 BR7:BS7 CJ10:CK10 AF7:AG7 BG10 AX10:AY10 CG10:CH10 AI7:AJ7 F10 AI10:AJ10 BI10:BJ10 AL7:AM7 CD7:CE7 CA10:CB10 AO7:AP7 AR10 AF10:AG10 BX10:BY10 AR7 BX7:BY7 BU10:BV10 AU10:AV10 W10:X10 AV7" name="Rango1_6_3_2_2_2_1_1_1_1_3_2"/>
    <protectedRange algorithmName="SHA-512" hashValue="RCrGPMCyFEkdhJRom24X1PBQWhQGvWNSMwa4ZJxufwfKFdhshIHyMGamjWZVYCqC0Vs/+IV9hTSH0rzqE7eoww==" saltValue="7PM8PbaJbRCgZUUDDBNLsQ==" spinCount="100000" sqref="CX7:DA7 CX8:DB8 CT7:CV8 CX10:DA10 CT10:CV10" name="Rango1_6_2_2_3_2_1_1_1_1_3_2"/>
    <protectedRange algorithmName="SHA-512" hashValue="RCrGPMCyFEkdhJRom24X1PBQWhQGvWNSMwa4ZJxufwfKFdhshIHyMGamjWZVYCqC0Vs/+IV9hTSH0rzqE7eoww==" saltValue="7PM8PbaJbRCgZUUDDBNLsQ==" spinCount="100000" sqref="DB7 DB10" name="Rango1_6_3_2_3_2_1_1_1_1_3_2"/>
    <protectedRange algorithmName="SHA-512" hashValue="RCrGPMCyFEkdhJRom24X1PBQWhQGvWNSMwa4ZJxufwfKFdhshIHyMGamjWZVYCqC0Vs/+IV9hTSH0rzqE7eoww==" saltValue="7PM8PbaJbRCgZUUDDBNLsQ==" spinCount="100000" sqref="BP7:BQ7" name="Rango1_7_2_3_3_3_1_3_2_3_1_3_2"/>
    <protectedRange algorithmName="SHA-512" hashValue="RCrGPMCyFEkdhJRom24X1PBQWhQGvWNSMwa4ZJxufwfKFdhshIHyMGamjWZVYCqC0Vs/+IV9hTSH0rzqE7eoww==" saltValue="7PM8PbaJbRCgZUUDDBNLsQ==" spinCount="100000" sqref="BF9" name="Rango1_5_2_2_2_3_1_3_3"/>
    <protectedRange algorithmName="SHA-512" hashValue="RCrGPMCyFEkdhJRom24X1PBQWhQGvWNSMwa4ZJxufwfKFdhshIHyMGamjWZVYCqC0Vs/+IV9hTSH0rzqE7eoww==" saltValue="7PM8PbaJbRCgZUUDDBNLsQ==" spinCount="100000" sqref="BB9:BE9" name="Rango1_6_2_2_2_3_1_5_1_3_3"/>
    <protectedRange algorithmName="SHA-512" hashValue="RCrGPMCyFEkdhJRom24X1PBQWhQGvWNSMwa4ZJxufwfKFdhshIHyMGamjWZVYCqC0Vs/+IV9hTSH0rzqE7eoww==" saltValue="7PM8PbaJbRCgZUUDDBNLsQ==" spinCount="100000" sqref="BG9:BO9 BR9:CS9 CW9 F9:BA9" name="Rango1_6_2_2_2_3_1_1_1_1_3_3"/>
    <protectedRange algorithmName="SHA-512" hashValue="RCrGPMCyFEkdhJRom24X1PBQWhQGvWNSMwa4ZJxufwfKFdhshIHyMGamjWZVYCqC0Vs/+IV9hTSH0rzqE7eoww==" saltValue="7PM8PbaJbRCgZUUDDBNLsQ==" spinCount="100000" sqref="CX9:DB9 CT9:CV9" name="Rango1_6_2_2_3_2_1_1_1_1_3_3"/>
    <protectedRange algorithmName="SHA-512" hashValue="RCrGPMCyFEkdhJRom24X1PBQWhQGvWNSMwa4ZJxufwfKFdhshIHyMGamjWZVYCqC0Vs/+IV9hTSH0rzqE7eoww==" saltValue="7PM8PbaJbRCgZUUDDBNLsQ==" spinCount="100000" sqref="BP9:BQ9" name="Rango1_7_2_3_3_3_1_3_2_3_1_3_3"/>
    <protectedRange algorithmName="SHA-512" hashValue="RCrGPMCyFEkdhJRom24X1PBQWhQGvWNSMwa4ZJxufwfKFdhshIHyMGamjWZVYCqC0Vs/+IV9hTSH0rzqE7eoww==" saltValue="7PM8PbaJbRCgZUUDDBNLsQ==" spinCount="100000" sqref="BF58:BF63 BF29 BF31:BF56" name="Rango1_5_2_2_2_1_2"/>
    <protectedRange algorithmName="SHA-512" hashValue="RCrGPMCyFEkdhJRom24X1PBQWhQGvWNSMwa4ZJxufwfKFdhshIHyMGamjWZVYCqC0Vs/+IV9hTSH0rzqE7eoww==" saltValue="7PM8PbaJbRCgZUUDDBNLsQ==" spinCount="100000" sqref="CW58:CW62 CW31:CW52 BB58:BE63 CW29 BB29:BE29 BB31:BE56" name="Rango1_6_2_2_2_3_1_1_1"/>
    <protectedRange algorithmName="SHA-512" hashValue="RCrGPMCyFEkdhJRom24X1PBQWhQGvWNSMwa4ZJxufwfKFdhshIHyMGamjWZVYCqC0Vs/+IV9hTSH0rzqE7eoww==" saltValue="7PM8PbaJbRCgZUUDDBNLsQ==" spinCount="100000" sqref="CX31:DA34 CX40:DB40 CX35:DB35 CT31:CV52 CX36:DA39 CX46:DB46 CX58:DA62 CT58:CV62 CX47:DA52 CX41:DA45 CT29:CV29 CX29:DB29" name="Rango1_6_2_2_3_2_1_1"/>
    <protectedRange algorithmName="SHA-512" hashValue="RCrGPMCyFEkdhJRom24X1PBQWhQGvWNSMwa4ZJxufwfKFdhshIHyMGamjWZVYCqC0Vs/+IV9hTSH0rzqE7eoww==" saltValue="7PM8PbaJbRCgZUUDDBNLsQ==" spinCount="100000" sqref="DB31:DB34 DB36:DB39 DB58:DB62 DB41:DB45 DB47:DB52" name="Rango1_6_3_2_3_2_1_1"/>
    <protectedRange algorithmName="SHA-512" hashValue="RCrGPMCyFEkdhJRom24X1PBQWhQGvWNSMwa4ZJxufwfKFdhshIHyMGamjWZVYCqC0Vs/+IV9hTSH0rzqE7eoww==" saltValue="7PM8PbaJbRCgZUUDDBNLsQ==" spinCount="100000" sqref="BF57" name="Rango1_5_2_2_2_2"/>
    <protectedRange algorithmName="SHA-512" hashValue="RCrGPMCyFEkdhJRom24X1PBQWhQGvWNSMwa4ZJxufwfKFdhshIHyMGamjWZVYCqC0Vs/+IV9hTSH0rzqE7eoww==" saltValue="7PM8PbaJbRCgZUUDDBNLsQ==" spinCount="100000" sqref="CW57 BB57:BE57" name="Rango1_6_2_2_2_3_1_2"/>
    <protectedRange algorithmName="SHA-512" hashValue="RCrGPMCyFEkdhJRom24X1PBQWhQGvWNSMwa4ZJxufwfKFdhshIHyMGamjWZVYCqC0Vs/+IV9hTSH0rzqE7eoww==" saltValue="7PM8PbaJbRCgZUUDDBNLsQ==" spinCount="100000" sqref="CX57:DA57 CT57:CV57" name="Rango1_6_2_2_3_2_1_1_1"/>
    <protectedRange algorithmName="SHA-512" hashValue="RCrGPMCyFEkdhJRom24X1PBQWhQGvWNSMwa4ZJxufwfKFdhshIHyMGamjWZVYCqC0Vs/+IV9hTSH0rzqE7eoww==" saltValue="7PM8PbaJbRCgZUUDDBNLsQ==" spinCount="100000" sqref="DB57" name="Rango1_6_3_2_3_2_1_1_1"/>
    <protectedRange algorithmName="SHA-512" hashValue="RCrGPMCyFEkdhJRom24X1PBQWhQGvWNSMwa4ZJxufwfKFdhshIHyMGamjWZVYCqC0Vs/+IV9hTSH0rzqE7eoww==" saltValue="7PM8PbaJbRCgZUUDDBNLsQ==" spinCount="100000" sqref="CW53:CW56 CW63" name="Rango1_6_2_2_2_3_1_1_1_2"/>
    <protectedRange algorithmName="SHA-512" hashValue="RCrGPMCyFEkdhJRom24X1PBQWhQGvWNSMwa4ZJxufwfKFdhshIHyMGamjWZVYCqC0Vs/+IV9hTSH0rzqE7eoww==" saltValue="7PM8PbaJbRCgZUUDDBNLsQ==" spinCount="100000" sqref="CX63:DA63 CT53:CV56 CX53:DA56 CT63:CV63" name="Rango1_6_2_2_3_2_1_1_1_1_1"/>
    <protectedRange algorithmName="SHA-512" hashValue="RCrGPMCyFEkdhJRom24X1PBQWhQGvWNSMwa4ZJxufwfKFdhshIHyMGamjWZVYCqC0Vs/+IV9hTSH0rzqE7eoww==" saltValue="7PM8PbaJbRCgZUUDDBNLsQ==" spinCount="100000" sqref="BF30" name="Rango1_5_2_2_2_3"/>
    <protectedRange algorithmName="SHA-512" hashValue="RCrGPMCyFEkdhJRom24X1PBQWhQGvWNSMwa4ZJxufwfKFdhshIHyMGamjWZVYCqC0Vs/+IV9hTSH0rzqE7eoww==" saltValue="7PM8PbaJbRCgZUUDDBNLsQ==" spinCount="100000" sqref="BB30:BE30 CW30" name="Rango1_6_2_2_2_3_1_4_1"/>
    <protectedRange algorithmName="SHA-512" hashValue="RCrGPMCyFEkdhJRom24X1PBQWhQGvWNSMwa4ZJxufwfKFdhshIHyMGamjWZVYCqC0Vs/+IV9hTSH0rzqE7eoww==" saltValue="7PM8PbaJbRCgZUUDDBNLsQ==" spinCount="100000" sqref="CT30:CV30 CX30:DA30" name="Rango1_6_2_2_3_2_1_2_2"/>
    <protectedRange algorithmName="SHA-512" hashValue="RCrGPMCyFEkdhJRom24X1PBQWhQGvWNSMwa4ZJxufwfKFdhshIHyMGamjWZVYCqC0Vs/+IV9hTSH0rzqE7eoww==" saltValue="7PM8PbaJbRCgZUUDDBNLsQ==" spinCount="100000" sqref="DB30" name="Rango1_6_3_2_3_2_1_2_2"/>
    <protectedRange algorithmName="SHA-512" hashValue="RCrGPMCyFEkdhJRom24X1PBQWhQGvWNSMwa4ZJxufwfKFdhshIHyMGamjWZVYCqC0Vs/+IV9hTSH0rzqE7eoww==" saltValue="7PM8PbaJbRCgZUUDDBNLsQ==" spinCount="100000" sqref="AM22:AN22 Y11" name="Rango1_6_2_2_2_3_1_1_1_2_1"/>
    <protectedRange algorithmName="SHA-512" hashValue="RCrGPMCyFEkdhJRom24X1PBQWhQGvWNSMwa4ZJxufwfKFdhshIHyMGamjWZVYCqC0Vs/+IV9hTSH0rzqE7eoww==" saltValue="7PM8PbaJbRCgZUUDDBNLsQ==" spinCount="100000" sqref="X11" name="Rango1_6_3_2_2_2_1_1_1_2_1"/>
    <protectedRange algorithmName="SHA-512" hashValue="RCrGPMCyFEkdhJRom24X1PBQWhQGvWNSMwa4ZJxufwfKFdhshIHyMGamjWZVYCqC0Vs/+IV9hTSH0rzqE7eoww==" saltValue="7PM8PbaJbRCgZUUDDBNLsQ==" spinCount="100000" sqref="BF24" name="Rango1_5_2_2_2_3_2_1_1"/>
    <protectedRange algorithmName="SHA-512" hashValue="RCrGPMCyFEkdhJRom24X1PBQWhQGvWNSMwa4ZJxufwfKFdhshIHyMGamjWZVYCqC0Vs/+IV9hTSH0rzqE7eoww==" saltValue="7PM8PbaJbRCgZUUDDBNLsQ==" spinCount="100000" sqref="BC24:BE24" name="Rango1_6_2_2_2_3_1_5_2_1_1"/>
    <protectedRange algorithmName="SHA-512" hashValue="RCrGPMCyFEkdhJRom24X1PBQWhQGvWNSMwa4ZJxufwfKFdhshIHyMGamjWZVYCqC0Vs/+IV9hTSH0rzqE7eoww==" saltValue="7PM8PbaJbRCgZUUDDBNLsQ==" spinCount="100000" sqref="AL24:AO24 CW24 BI24 AQ24:AR24 AU24:BA24 BK24:BL24 BX24 BO24 BR24 CB24:CD24 CG24:CM24 CO24:CP24 CR24:CS24 R24:T24 W24 Z24:AC24 AF24:AI24" name="Rango1_6_2_2_2_3_1_1_1_3_1_1"/>
    <protectedRange algorithmName="SHA-512" hashValue="RCrGPMCyFEkdhJRom24X1PBQWhQGvWNSMwa4ZJxufwfKFdhshIHyMGamjWZVYCqC0Vs/+IV9hTSH0rzqE7eoww==" saltValue="7PM8PbaJbRCgZUUDDBNLsQ==" spinCount="100000" sqref="CT24:CV24 CX24:DA24" name="Rango1_6_2_2_3_2_1_1_1_2_1_1"/>
    <protectedRange algorithmName="SHA-512" hashValue="RCrGPMCyFEkdhJRom24X1PBQWhQGvWNSMwa4ZJxufwfKFdhshIHyMGamjWZVYCqC0Vs/+IV9hTSH0rzqE7eoww==" saltValue="7PM8PbaJbRCgZUUDDBNLsQ==" spinCount="100000" sqref="DB24" name="Rango1_6_3_2_3_2_1_1_1_2_1_1"/>
    <protectedRange algorithmName="SHA-512" hashValue="RCrGPMCyFEkdhJRom24X1PBQWhQGvWNSMwa4ZJxufwfKFdhshIHyMGamjWZVYCqC0Vs/+IV9hTSH0rzqE7eoww==" saltValue="7PM8PbaJbRCgZUUDDBNLsQ==" spinCount="100000" sqref="BF11:BF15 BF25:BF28 BF17:BF23" name="Rango1_5_2_2_2_4_1_1"/>
    <protectedRange algorithmName="SHA-512" hashValue="RCrGPMCyFEkdhJRom24X1PBQWhQGvWNSMwa4ZJxufwfKFdhshIHyMGamjWZVYCqC0Vs/+IV9hTSH0rzqE7eoww==" saltValue="7PM8PbaJbRCgZUUDDBNLsQ==" spinCount="100000" sqref="BB11:BE15 BB25:BE28 BB17:BE21 BC22:BE23 BB22:BB24" name="Rango1_6_2_2_2_3_1_6_1_1"/>
    <protectedRange algorithmName="SHA-512" hashValue="RCrGPMCyFEkdhJRom24X1PBQWhQGvWNSMwa4ZJxufwfKFdhshIHyMGamjWZVYCqC0Vs/+IV9hTSH0rzqE7eoww==" saltValue="7PM8PbaJbRCgZUUDDBNLsQ==" spinCount="100000" sqref="CW12 CW14 CW19:CW20 CW25:CW26" name="Rango1_6_2_2_2_3_1_3_1_1_1"/>
    <protectedRange algorithmName="SHA-512" hashValue="RCrGPMCyFEkdhJRom24X1PBQWhQGvWNSMwa4ZJxufwfKFdhshIHyMGamjWZVYCqC0Vs/+IV9hTSH0rzqE7eoww==" saltValue="7PM8PbaJbRCgZUUDDBNLsQ==" spinCount="100000" sqref="CX25:DA26 CT14:CV14 CX12:DA12 CT12:CV12 CX14:DA14 CX19:DA20 CT19:CV20 CT25:CV26" name="Rango1_6_2_2_3_2_1_3_1_1_1"/>
    <protectedRange algorithmName="SHA-512" hashValue="RCrGPMCyFEkdhJRom24X1PBQWhQGvWNSMwa4ZJxufwfKFdhshIHyMGamjWZVYCqC0Vs/+IV9hTSH0rzqE7eoww==" saltValue="7PM8PbaJbRCgZUUDDBNLsQ==" spinCount="100000" sqref="DB12 DB19:DB20 DB14 DB25:DB26" name="Rango1_6_3_2_3_2_1_3_1_1_1"/>
    <protectedRange algorithmName="SHA-512" hashValue="RCrGPMCyFEkdhJRom24X1PBQWhQGvWNSMwa4ZJxufwfKFdhshIHyMGamjWZVYCqC0Vs/+IV9hTSH0rzqE7eoww==" saltValue="7PM8PbaJbRCgZUUDDBNLsQ==" spinCount="100000" sqref="CH11 CH13 H14 L13:M15 R13:S15 BS13:BW15 CH22 BI14 X13:Y15 F26:N26 CQ11 CR20:CS20 K14 AA13:AB15 AM13:AN15 R17:S18 N14 X17:Y18 CR14:CS14 P14:Q14 AM17:AN18 CR12:CS12 P26:BA26 BG19:CS19 CQ15 AS13:AT15 BG25:CS26 AS21:AT24 AS11:AT11 T14 T20 AS17:AT18 CE11:CF11 R23:S23 BM11:BN11 BY11:CA11 W20 W14 CE17:CF18 R11:S11 Z20 BP11:BQ11 Z14 BG11:BH11 BM17:BN18 CE20:CF24 AD11:AE11 AC14 BP17:BQ18 AA11:AB11 AA23:AB23 BM20:BN24 AF14:AI14 BG17:BH18 AJ11:AK11 AL20 F12:N12 AP11 AL14 AD17:AE18 U11:V11 F25:BA25 AO20 BY20:CA24 AO14 AJ17:AK18 BS11:BW11 AM23:AN23 BP20:BQ24 AQ14:AR14 AP17:AP18 AQ20:BA20 BG20:BH24 AU14:BA14 U17:V18 AD20:AE24 L21:M21 AF20:AI20 AC20 AJ20:AK24 BI20 AP20:AP24 BK14:BL14 AA17:AB18 BK20:BL20 BX20 U20:V24 BX14 I21:J21 F21:G21 BS20:BW24 AA20:AB21 BO14 I17:J18 BO20 R20:S21 X20:Y24 BR14 F17:G18 BR20 F19:K19 M19:BA19 AM20:AN21 CE13:CF15 BM13:BN15 BY17:CA18 BP13:BQ15 BG13:BH15 CB20:CD20 BK12:CM12 CB14:CD14 BG12:BI12 AD13:AE15 P12:BA12 AJ13:AK15 CG20:CM20 AP13:AP15 L17:M18 CG14:CM14 CN11 CO20:CP20 U13:V15 BS17:BW18 CO14:CP14 CO12:CP12 CA14:CA15 BY13:BZ15 I13:J15 CN15 F13:G15" name="Rango1_7_2_3_3_3_1_3_2_3_1_4_1"/>
    <protectedRange algorithmName="SHA-512" hashValue="RCrGPMCyFEkdhJRom24X1PBQWhQGvWNSMwa4ZJxufwfKFdhshIHyMGamjWZVYCqC0Vs/+IV9hTSH0rzqE7eoww==" saltValue="7PM8PbaJbRCgZUUDDBNLsQ==" spinCount="100000" sqref="CW21:CW23 CW13 CW15 CW11 CW28 CW17:CW18" name="Rango1_6_2_2_2_3_1_2_1_1_1_1"/>
    <protectedRange algorithmName="SHA-512" hashValue="RCrGPMCyFEkdhJRom24X1PBQWhQGvWNSMwa4ZJxufwfKFdhshIHyMGamjWZVYCqC0Vs/+IV9hTSH0rzqE7eoww==" saltValue="7PM8PbaJbRCgZUUDDBNLsQ==" spinCount="100000" sqref="CX13:DA13 CX17:DA18 CT15:CV15 CT21:CV23 CT13:CV13 CX15:DA15 CT11:CV11 CX11:DA11 CX28:DA28 CT17:CV18 CT28:CV28 CX21:DA23" name="Rango1_6_2_2_3_2_1_2_1_1_1_1"/>
    <protectedRange algorithmName="SHA-512" hashValue="RCrGPMCyFEkdhJRom24X1PBQWhQGvWNSMwa4ZJxufwfKFdhshIHyMGamjWZVYCqC0Vs/+IV9hTSH0rzqE7eoww==" saltValue="7PM8PbaJbRCgZUUDDBNLsQ==" spinCount="100000" sqref="DB11 DB15 DB28 DB17:DB18 DB13 DB21:DB23" name="Rango1_6_3_2_3_2_1_2_1_1_1_1"/>
    <protectedRange algorithmName="SHA-512" hashValue="RCrGPMCyFEkdhJRom24X1PBQWhQGvWNSMwa4ZJxufwfKFdhshIHyMGamjWZVYCqC0Vs/+IV9hTSH0rzqE7eoww==" saltValue="7PM8PbaJbRCgZUUDDBNLsQ==" spinCount="100000" sqref="K13 BI13 H15 CO15:CP15 CO11:CP11 H13 BI15 BI21:BL21 BO21:BO23 BX21:BX23 R22:T22 O12:O15 CN12:CN14 CQ20 CG11 BK22:BL23 K15 T17:T18 CG23:CM23 CG22 N15 Z17:Z18 AU21:BA23 CR15:CS15 CR11:CS11 P15:Q15 W17:W18 AQ21:AR23 CG21:CS21 F27:BA28 H17:H18 T11 T13 T15 AO21:AO23 AL21:AL23 CQ12:CQ14 T23 AF21:AI23 CI11:CM11 W11 W13 W15 AC17:AC18 CI13:CM13 Z11 Z15 F20:Q20 AC21 BI22:BI23 BJ20 AC11 CI22:CM22 AC15 AF17:AI18 Z22:AC22 Z23 AC23 AF11:AI11 N21:Q21 AF15:AI15 AL17:AL18 BJ22:BJ24 AL11:AO11 F22:Q24 CQ22:CQ24 AL15 AO17:AO18 F11:Q11 BJ12:BJ15 N17:Q18 AO15 AQ17:AR18 AQ15:AR15 AU17:BA18 O26 AQ11:AR11 AU11:BA11 K17:K18 AU15:BA15 BG28:CS28 K21 T21 W21:W23 BM27:CS27 BI11:BL11 Z21 BK15:BL15 BO17:BO18 H21 CB21:CD23 CO22:CP23 CN22:CN24 CR22:CS23 BX11 BX15 BR17:BR18 BR21:BR23 CR13:CS13 BO15 BO11 BX17:BX18 CO13:CP13 BR11 BR13 BR15 BO13 L19 BX13 BK13:BL13 CB17:CD18 AU13:BA13 CB15:CD15 CG17:CS18 AQ13:AR13 CA13:CD13 AO13 CB11:CD11 AL13 AF13:AI13 CG13 AC13 Z13 P13:Q13 CG15:CM15 N13 CN20 BI17:BL18" name="Rango1_7_2_3_3_3_1_2_1_1_1"/>
    <protectedRange algorithmName="SHA-512" hashValue="RCrGPMCyFEkdhJRom24X1PBQWhQGvWNSMwa4ZJxufwfKFdhshIHyMGamjWZVYCqC0Vs/+IV9hTSH0rzqE7eoww==" saltValue="7PM8PbaJbRCgZUUDDBNLsQ==" spinCount="100000" sqref="CW27" name="Rango1_6_2_2_2_3_1_4_1_1_1"/>
    <protectedRange algorithmName="SHA-512" hashValue="RCrGPMCyFEkdhJRom24X1PBQWhQGvWNSMwa4ZJxufwfKFdhshIHyMGamjWZVYCqC0Vs/+IV9hTSH0rzqE7eoww==" saltValue="7PM8PbaJbRCgZUUDDBNLsQ==" spinCount="100000" sqref="CX27:DA27 CT27:CV27" name="Rango1_6_2_2_3_2_1_4_1_1_1"/>
    <protectedRange algorithmName="SHA-512" hashValue="RCrGPMCyFEkdhJRom24X1PBQWhQGvWNSMwa4ZJxufwfKFdhshIHyMGamjWZVYCqC0Vs/+IV9hTSH0rzqE7eoww==" saltValue="7PM8PbaJbRCgZUUDDBNLsQ==" spinCount="100000" sqref="DB27" name="Rango1_6_3_2_3_2_1_4_1_1_1"/>
    <protectedRange algorithmName="SHA-512" hashValue="RCrGPMCyFEkdhJRom24X1PBQWhQGvWNSMwa4ZJxufwfKFdhshIHyMGamjWZVYCqC0Vs/+IV9hTSH0rzqE7eoww==" saltValue="7PM8PbaJbRCgZUUDDBNLsQ==" spinCount="100000" sqref="BG27:BL27" name="Rango1_7_2_3_3_3_1_2_1"/>
    <protectedRange algorithmName="SHA-512" hashValue="RCrGPMCyFEkdhJRom24X1PBQWhQGvWNSMwa4ZJxufwfKFdhshIHyMGamjWZVYCqC0Vs/+IV9hTSH0rzqE7eoww==" saltValue="7PM8PbaJbRCgZUUDDBNLsQ==" spinCount="100000" sqref="M16:N16" name="Rango1_6_2_2_2_3_1_1_1_2_1_1"/>
    <protectedRange algorithmName="SHA-512" hashValue="RCrGPMCyFEkdhJRom24X1PBQWhQGvWNSMwa4ZJxufwfKFdhshIHyMGamjWZVYCqC0Vs/+IV9hTSH0rzqE7eoww==" saltValue="7PM8PbaJbRCgZUUDDBNLsQ==" spinCount="100000" sqref="AZ16 P16 AH16 AQ16 AW16 BK16 CC16 CI16 CL16 CO16 CR16" name="Rango1_6_2_2_2_3_1_1_1_3_1_1_1"/>
    <protectedRange algorithmName="SHA-512" hashValue="RCrGPMCyFEkdhJRom24X1PBQWhQGvWNSMwa4ZJxufwfKFdhshIHyMGamjWZVYCqC0Vs/+IV9hTSH0rzqE7eoww==" saltValue="7PM8PbaJbRCgZUUDDBNLsQ==" spinCount="100000" sqref="BA16 H16 K16 Q16 T16 W16 Z16 AC16 AF16:AG16 AI16 AL16 AO16 AR16 AU16:AV16 AX16:AY16 BI16 BL16 BR16 BO16 CB16 CD16 CM16 CS16 CP16 BX16 CG16:CH16 CJ16:CK16" name="Rango1_6_3_2_2_2_1_1_1_3_1_1_1"/>
    <protectedRange algorithmName="SHA-512" hashValue="RCrGPMCyFEkdhJRom24X1PBQWhQGvWNSMwa4ZJxufwfKFdhshIHyMGamjWZVYCqC0Vs/+IV9hTSH0rzqE7eoww==" saltValue="7PM8PbaJbRCgZUUDDBNLsQ==" spinCount="100000" sqref="BF16" name="Rango1_5_2_2_2_4_1_1_1_1"/>
    <protectedRange algorithmName="SHA-512" hashValue="RCrGPMCyFEkdhJRom24X1PBQWhQGvWNSMwa4ZJxufwfKFdhshIHyMGamjWZVYCqC0Vs/+IV9hTSH0rzqE7eoww==" saltValue="7PM8PbaJbRCgZUUDDBNLsQ==" spinCount="100000" sqref="BB16:BE16" name="Rango1_6_2_2_2_3_1_6_1_1_1_1"/>
    <protectedRange algorithmName="SHA-512" hashValue="RCrGPMCyFEkdhJRom24X1PBQWhQGvWNSMwa4ZJxufwfKFdhshIHyMGamjWZVYCqC0Vs/+IV9hTSH0rzqE7eoww==" saltValue="7PM8PbaJbRCgZUUDDBNLsQ==" spinCount="100000" sqref="CW16" name="Rango1_6_2_2_2_3_1_3_1_1_1_1_1"/>
    <protectedRange algorithmName="SHA-512" hashValue="RCrGPMCyFEkdhJRom24X1PBQWhQGvWNSMwa4ZJxufwfKFdhshIHyMGamjWZVYCqC0Vs/+IV9hTSH0rzqE7eoww==" saltValue="7PM8PbaJbRCgZUUDDBNLsQ==" spinCount="100000" sqref="CT16:CV16 CX16" name="Rango1_6_2_2_3_2_1_3_1_1_1_1_1"/>
    <protectedRange algorithmName="SHA-512" hashValue="RCrGPMCyFEkdhJRom24X1PBQWhQGvWNSMwa4ZJxufwfKFdhshIHyMGamjWZVYCqC0Vs/+IV9hTSH0rzqE7eoww==" saltValue="7PM8PbaJbRCgZUUDDBNLsQ==" spinCount="100000" sqref="L16 X16:Y16 CE16:CF16 BS16:BW16 R16:S16 F16:G16 I16:J16 AM16:AN16 AA16:AB16 U16:V16 AP16 AJ16:AK16 AD16:AE16 BG16:BH16 BP16:BQ16 BY16:CA16 BM16:BN16 AS16:AT16" name="Rango1_7_2_3_3_3_1_3_2_3_1_4_1_1"/>
    <protectedRange algorithmName="SHA-512" hashValue="RCrGPMCyFEkdhJRom24X1PBQWhQGvWNSMwa4ZJxufwfKFdhshIHyMGamjWZVYCqC0Vs/+IV9hTSH0rzqE7eoww==" saltValue="7PM8PbaJbRCgZUUDDBNLsQ==" spinCount="100000" sqref="CY16:DA16" name="Rango1_6_2_2_3_2_1_2_1_1_1_1_1"/>
    <protectedRange algorithmName="SHA-512" hashValue="RCrGPMCyFEkdhJRom24X1PBQWhQGvWNSMwa4ZJxufwfKFdhshIHyMGamjWZVYCqC0Vs/+IV9hTSH0rzqE7eoww==" saltValue="7PM8PbaJbRCgZUUDDBNLsQ==" spinCount="100000" sqref="DB16" name="Rango1_6_3_2_3_2_1_2_1_1_1_1_1"/>
    <protectedRange algorithmName="SHA-512" hashValue="RCrGPMCyFEkdhJRom24X1PBQWhQGvWNSMwa4ZJxufwfKFdhshIHyMGamjWZVYCqC0Vs/+IV9hTSH0rzqE7eoww==" saltValue="7PM8PbaJbRCgZUUDDBNLsQ==" spinCount="100000" sqref="CN16 CQ16 O16 BJ16" name="Rango1_7_2_3_3_3_1_2_1_1_1_1_1"/>
    <protectedRange algorithmName="SHA-512" hashValue="RCrGPMCyFEkdhJRom24X1PBQWhQGvWNSMwa4ZJxufwfKFdhshIHyMGamjWZVYCqC0Vs/+IV9hTSH0rzqE7eoww==" saltValue="7PM8PbaJbRCgZUUDDBNLsQ==" spinCount="100000" sqref="AD65 CQ65 CH65 AA65 CE65 CN65 CB65 X65 BY65 BV65 U65 BS65 BP65 R65 BM64:BM65 BG65 BJ65 AV65 O65 AJ65 L65 AS65 CK65 AP65 F65 AM65 I65 AG65 AY65" name="Rango1_2_1"/>
    <protectedRange algorithmName="SHA-512" hashValue="RCrGPMCyFEkdhJRom24X1PBQWhQGvWNSMwa4ZJxufwfKFdhshIHyMGamjWZVYCqC0Vs/+IV9hTSH0rzqE7eoww==" saltValue="7PM8PbaJbRCgZUUDDBNLsQ==" spinCount="100000" sqref="BF64:BF66" name="Rango1_5_2_2_2_4"/>
    <protectedRange algorithmName="SHA-512" hashValue="RCrGPMCyFEkdhJRom24X1PBQWhQGvWNSMwa4ZJxufwfKFdhshIHyMGamjWZVYCqC0Vs/+IV9hTSH0rzqE7eoww==" saltValue="7PM8PbaJbRCgZUUDDBNLsQ==" spinCount="100000" sqref="CW64:CW66 BB64:BE66" name="Rango1_6_2_2_2_3_1_5"/>
    <protectedRange algorithmName="SHA-512" hashValue="RCrGPMCyFEkdhJRom24X1PBQWhQGvWNSMwa4ZJxufwfKFdhshIHyMGamjWZVYCqC0Vs/+IV9hTSH0rzqE7eoww==" saltValue="7PM8PbaJbRCgZUUDDBNLsQ==" spinCount="100000" sqref="CT64:CV66 CX64:DA66" name="Rango1_6_2_2_3_2_1_3"/>
    <protectedRange algorithmName="SHA-512" hashValue="RCrGPMCyFEkdhJRom24X1PBQWhQGvWNSMwa4ZJxufwfKFdhshIHyMGamjWZVYCqC0Vs/+IV9hTSH0rzqE7eoww==" saltValue="7PM8PbaJbRCgZUUDDBNLsQ==" spinCount="100000" sqref="DB64:DB66" name="Rango1_6_3_2_3_2_1_3"/>
    <protectedRange algorithmName="SHA-512" hashValue="RCrGPMCyFEkdhJRom24X1PBQWhQGvWNSMwa4ZJxufwfKFdhshIHyMGamjWZVYCqC0Vs/+IV9hTSH0rzqE7eoww==" saltValue="7PM8PbaJbRCgZUUDDBNLsQ==" spinCount="100000" sqref="BF67:BF69" name="Rango1_5_2_2_2_4_1"/>
    <protectedRange algorithmName="SHA-512" hashValue="RCrGPMCyFEkdhJRom24X1PBQWhQGvWNSMwa4ZJxufwfKFdhshIHyMGamjWZVYCqC0Vs/+IV9hTSH0rzqE7eoww==" saltValue="7PM8PbaJbRCgZUUDDBNLsQ==" spinCount="100000" sqref="BB67:BE69 CW67:CW69" name="Rango1_6_2_2_2_3_1_5_1"/>
    <protectedRange algorithmName="SHA-512" hashValue="RCrGPMCyFEkdhJRom24X1PBQWhQGvWNSMwa4ZJxufwfKFdhshIHyMGamjWZVYCqC0Vs/+IV9hTSH0rzqE7eoww==" saltValue="7PM8PbaJbRCgZUUDDBNLsQ==" spinCount="100000" sqref="CX67:DB69 CT67:CV69" name="Rango1_6_2_2_3_2_1_3_1"/>
    <protectedRange algorithmName="SHA-512" hashValue="RCrGPMCyFEkdhJRom24X1PBQWhQGvWNSMwa4ZJxufwfKFdhshIHyMGamjWZVYCqC0Vs/+IV9hTSH0rzqE7eoww==" saltValue="7PM8PbaJbRCgZUUDDBNLsQ==" spinCount="100000" sqref="BF70:BF74" name="Rango1_5_2_2_2_4_2"/>
    <protectedRange algorithmName="SHA-512" hashValue="RCrGPMCyFEkdhJRom24X1PBQWhQGvWNSMwa4ZJxufwfKFdhshIHyMGamjWZVYCqC0Vs/+IV9hTSH0rzqE7eoww==" saltValue="7PM8PbaJbRCgZUUDDBNLsQ==" spinCount="100000" sqref="F106:AV106 CW70:CW74 BB70:BE74 AX106:CQ106 CS106:DB106" name="Rango1_6_2_2_2_3_1_5_2"/>
    <protectedRange algorithmName="SHA-512" hashValue="RCrGPMCyFEkdhJRom24X1PBQWhQGvWNSMwa4ZJxufwfKFdhshIHyMGamjWZVYCqC0Vs/+IV9hTSH0rzqE7eoww==" saltValue="7PM8PbaJbRCgZUUDDBNLsQ==" spinCount="100000" sqref="CT70:CV74 CX70:DA74" name="Rango1_6_2_2_3_2_1_3_2"/>
    <protectedRange algorithmName="SHA-512" hashValue="RCrGPMCyFEkdhJRom24X1PBQWhQGvWNSMwa4ZJxufwfKFdhshIHyMGamjWZVYCqC0Vs/+IV9hTSH0rzqE7eoww==" saltValue="7PM8PbaJbRCgZUUDDBNLsQ==" spinCount="100000" sqref="DB70:DB74" name="Rango1_6_3_2_3_2_1_3_1"/>
    <protectedRange algorithmName="SHA-512" hashValue="RCrGPMCyFEkdhJRom24X1PBQWhQGvWNSMwa4ZJxufwfKFdhshIHyMGamjWZVYCqC0Vs/+IV9hTSH0rzqE7eoww==" saltValue="7PM8PbaJbRCgZUUDDBNLsQ==" spinCount="100000" sqref="BF77" name="Rango1_5_2_2_2_3_1_3_4"/>
    <protectedRange algorithmName="SHA-512" hashValue="RCrGPMCyFEkdhJRom24X1PBQWhQGvWNSMwa4ZJxufwfKFdhshIHyMGamjWZVYCqC0Vs/+IV9hTSH0rzqE7eoww==" saltValue="7PM8PbaJbRCgZUUDDBNLsQ==" spinCount="100000" sqref="BB77:BE77" name="Rango1_6_2_2_2_3_1_5_1_3_4"/>
    <protectedRange algorithmName="SHA-512" hashValue="RCrGPMCyFEkdhJRom24X1PBQWhQGvWNSMwa4ZJxufwfKFdhshIHyMGamjWZVYCqC0Vs/+IV9hTSH0rzqE7eoww==" saltValue="7PM8PbaJbRCgZUUDDBNLsQ==" spinCount="100000" sqref="BG77:CS77 F77:BA77 CW77" name="Rango1_6_2_2_2_3_1_1_1_1_3_4"/>
    <protectedRange algorithmName="SHA-512" hashValue="RCrGPMCyFEkdhJRom24X1PBQWhQGvWNSMwa4ZJxufwfKFdhshIHyMGamjWZVYCqC0Vs/+IV9hTSH0rzqE7eoww==" saltValue="7PM8PbaJbRCgZUUDDBNLsQ==" spinCount="100000" sqref="CX77:DB77 CT77:CV77" name="Rango1_6_2_2_3_2_1_1_1_1_3_4"/>
    <protectedRange algorithmName="SHA-512" hashValue="RCrGPMCyFEkdhJRom24X1PBQWhQGvWNSMwa4ZJxufwfKFdhshIHyMGamjWZVYCqC0Vs/+IV9hTSH0rzqE7eoww==" saltValue="7PM8PbaJbRCgZUUDDBNLsQ==" spinCount="100000" sqref="BF78" name="Rango1_5_2_2_2_3_1_3_1_1"/>
    <protectedRange algorithmName="SHA-512" hashValue="RCrGPMCyFEkdhJRom24X1PBQWhQGvWNSMwa4ZJxufwfKFdhshIHyMGamjWZVYCqC0Vs/+IV9hTSH0rzqE7eoww==" saltValue="7PM8PbaJbRCgZUUDDBNLsQ==" spinCount="100000" sqref="BB78:BE78" name="Rango1_6_2_2_2_3_1_5_1_3_1_1"/>
    <protectedRange algorithmName="SHA-512" hashValue="RCrGPMCyFEkdhJRom24X1PBQWhQGvWNSMwa4ZJxufwfKFdhshIHyMGamjWZVYCqC0Vs/+IV9hTSH0rzqE7eoww==" saltValue="7PM8PbaJbRCgZUUDDBNLsQ==" spinCount="100000" sqref="CG78:CS78 CW78 BO78:CD78 BG78:BL78 F78:BA78" name="Rango1_6_2_2_2_3_1_1_1_1_3_1_1"/>
    <protectedRange algorithmName="SHA-512" hashValue="RCrGPMCyFEkdhJRom24X1PBQWhQGvWNSMwa4ZJxufwfKFdhshIHyMGamjWZVYCqC0Vs/+IV9hTSH0rzqE7eoww==" saltValue="7PM8PbaJbRCgZUUDDBNLsQ==" spinCount="100000" sqref="CT78:CV78 CX78:DB78" name="Rango1_6_2_2_3_2_1_1_1_1_3_1_1"/>
    <protectedRange algorithmName="SHA-512" hashValue="RCrGPMCyFEkdhJRom24X1PBQWhQGvWNSMwa4ZJxufwfKFdhshIHyMGamjWZVYCqC0Vs/+IV9hTSH0rzqE7eoww==" saltValue="7PM8PbaJbRCgZUUDDBNLsQ==" spinCount="100000" sqref="BM78:BN78 CE78:CF78" name="Rango1_7_2_3_3_3_1_3_2_3_1_3_1"/>
    <protectedRange algorithmName="SHA-512" hashValue="RCrGPMCyFEkdhJRom24X1PBQWhQGvWNSMwa4ZJxufwfKFdhshIHyMGamjWZVYCqC0Vs/+IV9hTSH0rzqE7eoww==" saltValue="7PM8PbaJbRCgZUUDDBNLsQ==" spinCount="100000" sqref="BF79" name="Rango1_5_2_2_2_3_1_3_4_1"/>
    <protectedRange algorithmName="SHA-512" hashValue="RCrGPMCyFEkdhJRom24X1PBQWhQGvWNSMwa4ZJxufwfKFdhshIHyMGamjWZVYCqC0Vs/+IV9hTSH0rzqE7eoww==" saltValue="7PM8PbaJbRCgZUUDDBNLsQ==" spinCount="100000" sqref="BB79:BE79" name="Rango1_6_2_2_2_3_1_5_1_3_4_1"/>
    <protectedRange algorithmName="SHA-512" hashValue="RCrGPMCyFEkdhJRom24X1PBQWhQGvWNSMwa4ZJxufwfKFdhshIHyMGamjWZVYCqC0Vs/+IV9hTSH0rzqE7eoww==" saltValue="7PM8PbaJbRCgZUUDDBNLsQ==" spinCount="100000" sqref="BG79:CS79 F79:BA79 CW79" name="Rango1_6_2_2_2_3_1_1_1_1_3_4_1"/>
    <protectedRange algorithmName="SHA-512" hashValue="RCrGPMCyFEkdhJRom24X1PBQWhQGvWNSMwa4ZJxufwfKFdhshIHyMGamjWZVYCqC0Vs/+IV9hTSH0rzqE7eoww==" saltValue="7PM8PbaJbRCgZUUDDBNLsQ==" spinCount="100000" sqref="CX79:DA79 CT79:CV79" name="Rango1_6_2_2_3_2_1_1_1_1_3_4_1"/>
    <protectedRange algorithmName="SHA-512" hashValue="RCrGPMCyFEkdhJRom24X1PBQWhQGvWNSMwa4ZJxufwfKFdhshIHyMGamjWZVYCqC0Vs/+IV9hTSH0rzqE7eoww==" saltValue="7PM8PbaJbRCgZUUDDBNLsQ==" spinCount="100000" sqref="DB79" name="Rango1_6_3_2_3_2_1_1_1_1_3_1"/>
    <protectedRange algorithmName="SHA-512" hashValue="RCrGPMCyFEkdhJRom24X1PBQWhQGvWNSMwa4ZJxufwfKFdhshIHyMGamjWZVYCqC0Vs/+IV9hTSH0rzqE7eoww==" saltValue="7PM8PbaJbRCgZUUDDBNLsQ==" spinCount="100000" sqref="BF80" name="Rango1_5_2_2_2_3_1_3_5"/>
    <protectedRange algorithmName="SHA-512" hashValue="RCrGPMCyFEkdhJRom24X1PBQWhQGvWNSMwa4ZJxufwfKFdhshIHyMGamjWZVYCqC0Vs/+IV9hTSH0rzqE7eoww==" saltValue="7PM8PbaJbRCgZUUDDBNLsQ==" spinCount="100000" sqref="BB80:BE80" name="Rango1_6_2_2_2_3_1_5_1_3_5"/>
    <protectedRange algorithmName="SHA-512" hashValue="RCrGPMCyFEkdhJRom24X1PBQWhQGvWNSMwa4ZJxufwfKFdhshIHyMGamjWZVYCqC0Vs/+IV9hTSH0rzqE7eoww==" saltValue="7PM8PbaJbRCgZUUDDBNLsQ==" spinCount="100000" sqref="BK80 BN80 CC80 CF80 CI80 CL80 BH80 BQ80 AW80 P80 M80 AQ80 AH80 CW80 Y80 AZ80 AB80 V80 CR80 CO80 AD80:AE80 AK80:AN80 I80:J80 AT80 S80 G80 BZ80 BW80" name="Rango1_6_2_2_2_3_1_1_1_1_3_5"/>
    <protectedRange algorithmName="SHA-512" hashValue="RCrGPMCyFEkdhJRom24X1PBQWhQGvWNSMwa4ZJxufwfKFdhshIHyMGamjWZVYCqC0Vs/+IV9hTSH0rzqE7eoww==" saltValue="7PM8PbaJbRCgZUUDDBNLsQ==" spinCount="100000" sqref="F80 CM80:CN80 H80 K80:L80 N80:O80 BV80 Q80:R80 BX80:BY80 BA80 T80:U80 W80:X80 Z80:AA80 AC80 CA80:CB80 AF80:AG80 BI80:BJ80 AI80:AJ80 AO80:AP80 AX80:AY80 AU80:AV80 BG80 CG80:CH80 BL80:BM80 BO80:BP80 CP80:CQ80 BR80 CJ80:CK80 CD80:CE80 CS80 AR80:AS80" name="Rango1_6_3_2_2_2_1_1_1_1_3_1"/>
    <protectedRange algorithmName="SHA-512" hashValue="RCrGPMCyFEkdhJRom24X1PBQWhQGvWNSMwa4ZJxufwfKFdhshIHyMGamjWZVYCqC0Vs/+IV9hTSH0rzqE7eoww==" saltValue="7PM8PbaJbRCgZUUDDBNLsQ==" spinCount="100000" sqref="CT80:CV80 CX80:DB80" name="Rango1_6_2_2_3_2_1_1_1_1_3_5"/>
    <protectedRange algorithmName="SHA-512" hashValue="RCrGPMCyFEkdhJRom24X1PBQWhQGvWNSMwa4ZJxufwfKFdhshIHyMGamjWZVYCqC0Vs/+IV9hTSH0rzqE7eoww==" saltValue="7PM8PbaJbRCgZUUDDBNLsQ==" spinCount="100000" sqref="BS80:BU80" name="Rango1_7_2_3_3_3_1_3_2_3_1_3_1_1"/>
    <protectedRange algorithmName="SHA-512" hashValue="RCrGPMCyFEkdhJRom24X1PBQWhQGvWNSMwa4ZJxufwfKFdhshIHyMGamjWZVYCqC0Vs/+IV9hTSH0rzqE7eoww==" saltValue="7PM8PbaJbRCgZUUDDBNLsQ==" spinCount="100000" sqref="DC77:DD105" name="Rango1_6_2_2_3_2_1_2_4"/>
    <protectedRange algorithmName="SHA-512" hashValue="RCrGPMCyFEkdhJRom24X1PBQWhQGvWNSMwa4ZJxufwfKFdhshIHyMGamjWZVYCqC0Vs/+IV9hTSH0rzqE7eoww==" saltValue="7PM8PbaJbRCgZUUDDBNLsQ==" spinCount="100000" sqref="BF81" name="Rango1_5_2_2_2_3_1_3_8"/>
    <protectedRange algorithmName="SHA-512" hashValue="RCrGPMCyFEkdhJRom24X1PBQWhQGvWNSMwa4ZJxufwfKFdhshIHyMGamjWZVYCqC0Vs/+IV9hTSH0rzqE7eoww==" saltValue="7PM8PbaJbRCgZUUDDBNLsQ==" spinCount="100000" sqref="BB81:BE81" name="Rango1_6_2_2_2_3_1_5_1_3_8"/>
    <protectedRange algorithmName="SHA-512" hashValue="RCrGPMCyFEkdhJRom24X1PBQWhQGvWNSMwa4ZJxufwfKFdhshIHyMGamjWZVYCqC0Vs/+IV9hTSH0rzqE7eoww==" saltValue="7PM8PbaJbRCgZUUDDBNLsQ==" spinCount="100000" sqref="P81 S81 BQ81 U81:V81 BT81 I81:J81 G81 BZ81 BW81 AB81 CO81 BK81 BN81 CC81 CF81 CI81 CL81 BH81 AW81 AS81:AT81 AN81 AQ81 AH81 AK81 CR81 Y81 AD81:AE81 AZ81 CW81 M81" name="Rango1_6_2_2_2_3_1_1_1_1_3_8"/>
    <protectedRange algorithmName="SHA-512" hashValue="RCrGPMCyFEkdhJRom24X1PBQWhQGvWNSMwa4ZJxufwfKFdhshIHyMGamjWZVYCqC0Vs/+IV9hTSH0rzqE7eoww==" saltValue="7PM8PbaJbRCgZUUDDBNLsQ==" spinCount="100000" sqref="BA81 Z81:AA81 F81 BG81 H81 K81:L81 N81:O81 BL81:BM81 Q81:R81 CS81 T81 BO81:BP81 CG81:CH81 W81:X81 AC81 AF81:AG81 BR81:BS81 CJ81:CK81 AI81:AJ81 AL81:AM81 BU81:BV81 AO81:AP81 BX81:BY81 AR81 CP81:CQ81 AX81:AY81 CM81:CN81 AU81:AV81 BI81:BJ81 CA81:CB81 CD81:CE81" name="Rango1_6_3_2_2_2_1_1_1_1_3_4"/>
    <protectedRange algorithmName="SHA-512" hashValue="RCrGPMCyFEkdhJRom24X1PBQWhQGvWNSMwa4ZJxufwfKFdhshIHyMGamjWZVYCqC0Vs/+IV9hTSH0rzqE7eoww==" saltValue="7PM8PbaJbRCgZUUDDBNLsQ==" spinCount="100000" sqref="CX81:DB81 CT81:CV81" name="Rango1_6_2_2_3_2_1_1_1_1_3_8"/>
    <protectedRange algorithmName="SHA-512" hashValue="RCrGPMCyFEkdhJRom24X1PBQWhQGvWNSMwa4ZJxufwfKFdhshIHyMGamjWZVYCqC0Vs/+IV9hTSH0rzqE7eoww==" saltValue="7PM8PbaJbRCgZUUDDBNLsQ==" spinCount="100000" sqref="CN82 CQ82" name="Rango1_6_3_2_2_2_1_1_1_3_1_1"/>
    <protectedRange algorithmName="SHA-512" hashValue="RCrGPMCyFEkdhJRom24X1PBQWhQGvWNSMwa4ZJxufwfKFdhshIHyMGamjWZVYCqC0Vs/+IV9hTSH0rzqE7eoww==" saltValue="7PM8PbaJbRCgZUUDDBNLsQ==" spinCount="100000" sqref="BF82" name="Rango1_5_2_2_2_4_1_1_3"/>
    <protectedRange algorithmName="SHA-512" hashValue="RCrGPMCyFEkdhJRom24X1PBQWhQGvWNSMwa4ZJxufwfKFdhshIHyMGamjWZVYCqC0Vs/+IV9hTSH0rzqE7eoww==" saltValue="7PM8PbaJbRCgZUUDDBNLsQ==" spinCount="100000" sqref="BB82:BE82" name="Rango1_6_2_2_2_3_1_6_1_1_3"/>
    <protectedRange algorithmName="SHA-512" hashValue="RCrGPMCyFEkdhJRom24X1PBQWhQGvWNSMwa4ZJxufwfKFdhshIHyMGamjWZVYCqC0Vs/+IV9hTSH0rzqE7eoww==" saltValue="7PM8PbaJbRCgZUUDDBNLsQ==" spinCount="100000" sqref="X82:Y82 CE82:CF82 BS82:BW82 R82:S82 F82:G82 L82:M82 I82:J82 AM82:AN82 AA82:AB82 U82:V82 AP82 AJ82:AK82 AD82:AE82 BG82:BH82 BP82:BQ82 BY82:CA82 BM82:BN82 AS82:AT82" name="Rango1_7_2_3_3_3_1_3_2_3_1_4_3"/>
    <protectedRange algorithmName="SHA-512" hashValue="RCrGPMCyFEkdhJRom24X1PBQWhQGvWNSMwa4ZJxufwfKFdhshIHyMGamjWZVYCqC0Vs/+IV9hTSH0rzqE7eoww==" saltValue="7PM8PbaJbRCgZUUDDBNLsQ==" spinCount="100000" sqref="CW82" name="Rango1_6_2_2_2_3_1_2_1_1_1_2"/>
    <protectedRange algorithmName="SHA-512" hashValue="RCrGPMCyFEkdhJRom24X1PBQWhQGvWNSMwa4ZJxufwfKFdhshIHyMGamjWZVYCqC0Vs/+IV9hTSH0rzqE7eoww==" saltValue="7PM8PbaJbRCgZUUDDBNLsQ==" spinCount="100000" sqref="CX82:DA82 CT82:CV82" name="Rango1_6_2_2_3_2_1_2_1_1_1_3"/>
    <protectedRange algorithmName="SHA-512" hashValue="RCrGPMCyFEkdhJRom24X1PBQWhQGvWNSMwa4ZJxufwfKFdhshIHyMGamjWZVYCqC0Vs/+IV9hTSH0rzqE7eoww==" saltValue="7PM8PbaJbRCgZUUDDBNLsQ==" spinCount="100000" sqref="DB82" name="Rango1_6_3_2_3_2_1_2_1_1_1_3"/>
    <protectedRange algorithmName="SHA-512" hashValue="RCrGPMCyFEkdhJRom24X1PBQWhQGvWNSMwa4ZJxufwfKFdhshIHyMGamjWZVYCqC0Vs/+IV9hTSH0rzqE7eoww==" saltValue="7PM8PbaJbRCgZUUDDBNLsQ==" spinCount="100000" sqref="T82 W82 Z82 BX82 CB82:CD82 CR82:CS82 CG82:CM82 K82 H82 N82:Q82 BI82:BL82 AO82 AL82 AC82 CO82:CP82 AF82:AI82 AQ82:AR82 AU82:BA82 BO82 BR82" name="Rango1_7_2_3_3_3_1_2_1_1_1_3"/>
    <protectedRange algorithmName="SHA-512" hashValue="RCrGPMCyFEkdhJRom24X1PBQWhQGvWNSMwa4ZJxufwfKFdhshIHyMGamjWZVYCqC0Vs/+IV9hTSH0rzqE7eoww==" saltValue="7PM8PbaJbRCgZUUDDBNLsQ==" spinCount="100000" sqref="BF83" name="Rango1_5_2_2_2_4_1_1_4"/>
    <protectedRange algorithmName="SHA-512" hashValue="RCrGPMCyFEkdhJRom24X1PBQWhQGvWNSMwa4ZJxufwfKFdhshIHyMGamjWZVYCqC0Vs/+IV9hTSH0rzqE7eoww==" saltValue="7PM8PbaJbRCgZUUDDBNLsQ==" spinCount="100000" sqref="BB83:BE83" name="Rango1_6_2_2_2_3_1_6_1_1_4"/>
    <protectedRange algorithmName="SHA-512" hashValue="RCrGPMCyFEkdhJRom24X1PBQWhQGvWNSMwa4ZJxufwfKFdhshIHyMGamjWZVYCqC0Vs/+IV9hTSH0rzqE7eoww==" saltValue="7PM8PbaJbRCgZUUDDBNLsQ==" spinCount="100000" sqref="CW83" name="Rango1_6_2_2_2_3_1_3_1_1_1_3"/>
    <protectedRange algorithmName="SHA-512" hashValue="RCrGPMCyFEkdhJRom24X1PBQWhQGvWNSMwa4ZJxufwfKFdhshIHyMGamjWZVYCqC0Vs/+IV9hTSH0rzqE7eoww==" saltValue="7PM8PbaJbRCgZUUDDBNLsQ==" spinCount="100000" sqref="CX83:DA83 CT83:CV83" name="Rango1_6_2_2_3_2_1_3_1_1_1_3"/>
    <protectedRange algorithmName="SHA-512" hashValue="RCrGPMCyFEkdhJRom24X1PBQWhQGvWNSMwa4ZJxufwfKFdhshIHyMGamjWZVYCqC0Vs/+IV9hTSH0rzqE7eoww==" saltValue="7PM8PbaJbRCgZUUDDBNLsQ==" spinCount="100000" sqref="DB83" name="Rango1_6_3_2_3_2_1_3_1_1_1_2"/>
    <protectedRange algorithmName="SHA-512" hashValue="RCrGPMCyFEkdhJRom24X1PBQWhQGvWNSMwa4ZJxufwfKFdhshIHyMGamjWZVYCqC0Vs/+IV9hTSH0rzqE7eoww==" saltValue="7PM8PbaJbRCgZUUDDBNLsQ==" spinCount="100000" sqref="BU83:CS83 BG83:BS83 F83:BA83" name="Rango1_7_2_3_3_3_1_3_2_3_1_4_4"/>
    <protectedRange algorithmName="SHA-512" hashValue="RCrGPMCyFEkdhJRom24X1PBQWhQGvWNSMwa4ZJxufwfKFdhshIHyMGamjWZVYCqC0Vs/+IV9hTSH0rzqE7eoww==" saltValue="7PM8PbaJbRCgZUUDDBNLsQ==" spinCount="100000" sqref="BT83" name="Rango1_7_2_3_3_3_1_2_1_1_1_4"/>
    <protectedRange algorithmName="SHA-512" hashValue="RCrGPMCyFEkdhJRom24X1PBQWhQGvWNSMwa4ZJxufwfKFdhshIHyMGamjWZVYCqC0Vs/+IV9hTSH0rzqE7eoww==" saltValue="7PM8PbaJbRCgZUUDDBNLsQ==" spinCount="100000" sqref="BF84" name="Rango1_5_2_2_2_4_1_1_5"/>
    <protectedRange algorithmName="SHA-512" hashValue="RCrGPMCyFEkdhJRom24X1PBQWhQGvWNSMwa4ZJxufwfKFdhshIHyMGamjWZVYCqC0Vs/+IV9hTSH0rzqE7eoww==" saltValue="7PM8PbaJbRCgZUUDDBNLsQ==" spinCount="100000" sqref="BB84:BE84" name="Rango1_6_2_2_2_3_1_6_1_1_5"/>
    <protectedRange algorithmName="SHA-512" hashValue="RCrGPMCyFEkdhJRom24X1PBQWhQGvWNSMwa4ZJxufwfKFdhshIHyMGamjWZVYCqC0Vs/+IV9hTSH0rzqE7eoww==" saltValue="7PM8PbaJbRCgZUUDDBNLsQ==" spinCount="100000" sqref="CW84" name="Rango1_6_2_2_2_3_1_3_1_1_1_4"/>
    <protectedRange algorithmName="SHA-512" hashValue="RCrGPMCyFEkdhJRom24X1PBQWhQGvWNSMwa4ZJxufwfKFdhshIHyMGamjWZVYCqC0Vs/+IV9hTSH0rzqE7eoww==" saltValue="7PM8PbaJbRCgZUUDDBNLsQ==" spinCount="100000" sqref="CX84:DA84 CT84:CV84" name="Rango1_6_2_2_3_2_1_3_1_1_1_4"/>
    <protectedRange algorithmName="SHA-512" hashValue="RCrGPMCyFEkdhJRom24X1PBQWhQGvWNSMwa4ZJxufwfKFdhshIHyMGamjWZVYCqC0Vs/+IV9hTSH0rzqE7eoww==" saltValue="7PM8PbaJbRCgZUUDDBNLsQ==" spinCount="100000" sqref="DB84" name="Rango1_6_3_2_3_2_1_3_1_1_1_3"/>
    <protectedRange algorithmName="SHA-512" hashValue="RCrGPMCyFEkdhJRom24X1PBQWhQGvWNSMwa4ZJxufwfKFdhshIHyMGamjWZVYCqC0Vs/+IV9hTSH0rzqE7eoww==" saltValue="7PM8PbaJbRCgZUUDDBNLsQ==" spinCount="100000" sqref="CO84:CP84 CR84:CS84 F84:N84 BG84:BI84 BK84:CM84 P84:BA84" name="Rango1_7_2_3_3_3_1_3_2_3_1_4_5"/>
    <protectedRange algorithmName="SHA-512" hashValue="RCrGPMCyFEkdhJRom24X1PBQWhQGvWNSMwa4ZJxufwfKFdhshIHyMGamjWZVYCqC0Vs/+IV9hTSH0rzqE7eoww==" saltValue="7PM8PbaJbRCgZUUDDBNLsQ==" spinCount="100000" sqref="O84 BJ84 CQ84 CN84" name="Rango1_7_2_3_3_3_1_2_1_1_1_5"/>
    <protectedRange algorithmName="SHA-512" hashValue="RCrGPMCyFEkdhJRom24X1PBQWhQGvWNSMwa4ZJxufwfKFdhshIHyMGamjWZVYCqC0Vs/+IV9hTSH0rzqE7eoww==" saltValue="7PM8PbaJbRCgZUUDDBNLsQ==" spinCount="100000" sqref="BF85" name="Rango1_5_2_2_2_4_1_1_6"/>
    <protectedRange algorithmName="SHA-512" hashValue="RCrGPMCyFEkdhJRom24X1PBQWhQGvWNSMwa4ZJxufwfKFdhshIHyMGamjWZVYCqC0Vs/+IV9hTSH0rzqE7eoww==" saltValue="7PM8PbaJbRCgZUUDDBNLsQ==" spinCount="100000" sqref="BB85:BE85" name="Rango1_6_2_2_2_3_1_6_1_1_6"/>
    <protectedRange algorithmName="SHA-512" hashValue="RCrGPMCyFEkdhJRom24X1PBQWhQGvWNSMwa4ZJxufwfKFdhshIHyMGamjWZVYCqC0Vs/+IV9hTSH0rzqE7eoww==" saltValue="7PM8PbaJbRCgZUUDDBNLsQ==" spinCount="100000" sqref="R85:S85 U85:V85 L85:M85 AA85:AB85 BS85:BW85 X85:Y85 F85:G85 I85:J85 CE85:CF85 AM85:AN85 BG85:BH85 BP85:BQ85 BY85:CA85 BM85:BN85 AS85:AT85 AP85 AJ85:AK85 AD85:AE85" name="Rango1_7_2_3_3_3_1_3_2_3_1_4_6"/>
    <protectedRange algorithmName="SHA-512" hashValue="RCrGPMCyFEkdhJRom24X1PBQWhQGvWNSMwa4ZJxufwfKFdhshIHyMGamjWZVYCqC0Vs/+IV9hTSH0rzqE7eoww==" saltValue="7PM8PbaJbRCgZUUDDBNLsQ==" spinCount="100000" sqref="CW85" name="Rango1_6_2_2_2_3_1_2_1_1_1_3"/>
    <protectedRange algorithmName="SHA-512" hashValue="RCrGPMCyFEkdhJRom24X1PBQWhQGvWNSMwa4ZJxufwfKFdhshIHyMGamjWZVYCqC0Vs/+IV9hTSH0rzqE7eoww==" saltValue="7PM8PbaJbRCgZUUDDBNLsQ==" spinCount="100000" sqref="CX85:DA85 CT85:CV85" name="Rango1_6_2_2_3_2_1_2_1_1_1_4"/>
    <protectedRange algorithmName="SHA-512" hashValue="RCrGPMCyFEkdhJRom24X1PBQWhQGvWNSMwa4ZJxufwfKFdhshIHyMGamjWZVYCqC0Vs/+IV9hTSH0rzqE7eoww==" saltValue="7PM8PbaJbRCgZUUDDBNLsQ==" spinCount="100000" sqref="DB85" name="Rango1_6_3_2_3_2_1_2_1_1_1_4"/>
    <protectedRange algorithmName="SHA-512" hashValue="RCrGPMCyFEkdhJRom24X1PBQWhQGvWNSMwa4ZJxufwfKFdhshIHyMGamjWZVYCqC0Vs/+IV9hTSH0rzqE7eoww==" saltValue="7PM8PbaJbRCgZUUDDBNLsQ==" spinCount="100000" sqref="N85:Q85 AC85 AF85:AI85 AL85 AO85 AQ85:AR85 AU85:BA85 BI85:BL85 BX85 BO85 K85 BR85 CG85:CS85 CB85:CD85 H85 Z85 W85 T85" name="Rango1_7_2_3_3_3_1_2_1_1_1_6"/>
    <protectedRange algorithmName="SHA-512" hashValue="RCrGPMCyFEkdhJRom24X1PBQWhQGvWNSMwa4ZJxufwfKFdhshIHyMGamjWZVYCqC0Vs/+IV9hTSH0rzqE7eoww==" saltValue="7PM8PbaJbRCgZUUDDBNLsQ==" spinCount="100000" sqref="BF86" name="Rango1_5_2_2_2_5"/>
    <protectedRange algorithmName="SHA-512" hashValue="RCrGPMCyFEkdhJRom24X1PBQWhQGvWNSMwa4ZJxufwfKFdhshIHyMGamjWZVYCqC0Vs/+IV9hTSH0rzqE7eoww==" saltValue="7PM8PbaJbRCgZUUDDBNLsQ==" spinCount="100000" sqref="CW86 BB86:BE86" name="Rango1_6_2_2_2_3_1_3"/>
    <protectedRange algorithmName="SHA-512" hashValue="RCrGPMCyFEkdhJRom24X1PBQWhQGvWNSMwa4ZJxufwfKFdhshIHyMGamjWZVYCqC0Vs/+IV9hTSH0rzqE7eoww==" saltValue="7PM8PbaJbRCgZUUDDBNLsQ==" spinCount="100000" sqref="CX86:DA86 CT86:CV86" name="Rango1_6_2_2_3_2_1_4"/>
    <protectedRange algorithmName="SHA-512" hashValue="RCrGPMCyFEkdhJRom24X1PBQWhQGvWNSMwa4ZJxufwfKFdhshIHyMGamjWZVYCqC0Vs/+IV9hTSH0rzqE7eoww==" saltValue="7PM8PbaJbRCgZUUDDBNLsQ==" spinCount="100000" sqref="DB86" name="Rango1_6_3_2_3_2_1"/>
    <protectedRange algorithmName="SHA-512" hashValue="RCrGPMCyFEkdhJRom24X1PBQWhQGvWNSMwa4ZJxufwfKFdhshIHyMGamjWZVYCqC0Vs/+IV9hTSH0rzqE7eoww==" saltValue="7PM8PbaJbRCgZUUDDBNLsQ==" spinCount="100000" sqref="BF87" name="Rango1_5_2_2_2_5_1"/>
    <protectedRange algorithmName="SHA-512" hashValue="RCrGPMCyFEkdhJRom24X1PBQWhQGvWNSMwa4ZJxufwfKFdhshIHyMGamjWZVYCqC0Vs/+IV9hTSH0rzqE7eoww==" saltValue="7PM8PbaJbRCgZUUDDBNLsQ==" spinCount="100000" sqref="BB87:BE87 CW87" name="Rango1_6_2_2_2_3_1_3_1"/>
    <protectedRange algorithmName="SHA-512" hashValue="RCrGPMCyFEkdhJRom24X1PBQWhQGvWNSMwa4ZJxufwfKFdhshIHyMGamjWZVYCqC0Vs/+IV9hTSH0rzqE7eoww==" saltValue="7PM8PbaJbRCgZUUDDBNLsQ==" spinCount="100000" sqref="CX87:DA87 CT87:CV87" name="Rango1_6_2_2_3_2_1_4_1"/>
    <protectedRange algorithmName="SHA-512" hashValue="RCrGPMCyFEkdhJRom24X1PBQWhQGvWNSMwa4ZJxufwfKFdhshIHyMGamjWZVYCqC0Vs/+IV9hTSH0rzqE7eoww==" saltValue="7PM8PbaJbRCgZUUDDBNLsQ==" spinCount="100000" sqref="DB87" name="Rango1_6_3_2_3_2_1_4"/>
    <protectedRange algorithmName="SHA-512" hashValue="RCrGPMCyFEkdhJRom24X1PBQWhQGvWNSMwa4ZJxufwfKFdhshIHyMGamjWZVYCqC0Vs/+IV9hTSH0rzqE7eoww==" saltValue="7PM8PbaJbRCgZUUDDBNLsQ==" spinCount="100000" sqref="BF88" name="Rango1_5_2_2_2_6"/>
    <protectedRange algorithmName="SHA-512" hashValue="RCrGPMCyFEkdhJRom24X1PBQWhQGvWNSMwa4ZJxufwfKFdhshIHyMGamjWZVYCqC0Vs/+IV9hTSH0rzqE7eoww==" saltValue="7PM8PbaJbRCgZUUDDBNLsQ==" spinCount="100000" sqref="BB88:BE88 CW88" name="Rango1_6_2_2_2_3_1_6"/>
    <protectedRange algorithmName="SHA-512" hashValue="RCrGPMCyFEkdhJRom24X1PBQWhQGvWNSMwa4ZJxufwfKFdhshIHyMGamjWZVYCqC0Vs/+IV9hTSH0rzqE7eoww==" saltValue="7PM8PbaJbRCgZUUDDBNLsQ==" spinCount="100000" sqref="CX88:DA88 CT88:CV88" name="Rango1_6_2_2_3_2_1_5"/>
    <protectedRange algorithmName="SHA-512" hashValue="RCrGPMCyFEkdhJRom24X1PBQWhQGvWNSMwa4ZJxufwfKFdhshIHyMGamjWZVYCqC0Vs/+IV9hTSH0rzqE7eoww==" saltValue="7PM8PbaJbRCgZUUDDBNLsQ==" spinCount="100000" sqref="DB88" name="Rango1_6_3_2_3_2_1_5"/>
    <protectedRange algorithmName="SHA-512" hashValue="RCrGPMCyFEkdhJRom24X1PBQWhQGvWNSMwa4ZJxufwfKFdhshIHyMGamjWZVYCqC0Vs/+IV9hTSH0rzqE7eoww==" saltValue="7PM8PbaJbRCgZUUDDBNLsQ==" spinCount="100000" sqref="BF89" name="Rango1_5_2_2_2_7"/>
    <protectedRange algorithmName="SHA-512" hashValue="RCrGPMCyFEkdhJRom24X1PBQWhQGvWNSMwa4ZJxufwfKFdhshIHyMGamjWZVYCqC0Vs/+IV9hTSH0rzqE7eoww==" saltValue="7PM8PbaJbRCgZUUDDBNLsQ==" spinCount="100000" sqref="BB89:BE89" name="Rango1_6_2_2_2_3_1_7"/>
    <protectedRange algorithmName="SHA-512" hashValue="RCrGPMCyFEkdhJRom24X1PBQWhQGvWNSMwa4ZJxufwfKFdhshIHyMGamjWZVYCqC0Vs/+IV9hTSH0rzqE7eoww==" saltValue="7PM8PbaJbRCgZUUDDBNLsQ==" spinCount="100000" sqref="CW89" name="Rango1_6_2_2_2_3_1_1_1_1_1"/>
    <protectedRange algorithmName="SHA-512" hashValue="RCrGPMCyFEkdhJRom24X1PBQWhQGvWNSMwa4ZJxufwfKFdhshIHyMGamjWZVYCqC0Vs/+IV9hTSH0rzqE7eoww==" saltValue="7PM8PbaJbRCgZUUDDBNLsQ==" spinCount="100000" sqref="CT89:CV89 CX89:DA89" name="Rango1_6_2_2_3_2_1_1_1_2"/>
    <protectedRange algorithmName="SHA-512" hashValue="RCrGPMCyFEkdhJRom24X1PBQWhQGvWNSMwa4ZJxufwfKFdhshIHyMGamjWZVYCqC0Vs/+IV9hTSH0rzqE7eoww==" saltValue="7PM8PbaJbRCgZUUDDBNLsQ==" spinCount="100000" sqref="BF90" name="Rango1_5_2_2_2_8"/>
    <protectedRange algorithmName="SHA-512" hashValue="RCrGPMCyFEkdhJRom24X1PBQWhQGvWNSMwa4ZJxufwfKFdhshIHyMGamjWZVYCqC0Vs/+IV9hTSH0rzqE7eoww==" saltValue="7PM8PbaJbRCgZUUDDBNLsQ==" spinCount="100000" sqref="CW90 BB90:BE90" name="Rango1_6_2_2_2_3_1_8"/>
    <protectedRange algorithmName="SHA-512" hashValue="RCrGPMCyFEkdhJRom24X1PBQWhQGvWNSMwa4ZJxufwfKFdhshIHyMGamjWZVYCqC0Vs/+IV9hTSH0rzqE7eoww==" saltValue="7PM8PbaJbRCgZUUDDBNLsQ==" spinCount="100000" sqref="CX90:DA90 CT90:CV90" name="Rango1_6_2_2_3_2_1_6"/>
    <protectedRange algorithmName="SHA-512" hashValue="RCrGPMCyFEkdhJRom24X1PBQWhQGvWNSMwa4ZJxufwfKFdhshIHyMGamjWZVYCqC0Vs/+IV9hTSH0rzqE7eoww==" saltValue="7PM8PbaJbRCgZUUDDBNLsQ==" spinCount="100000" sqref="DB90" name="Rango1_6_3_2_3_2_1_6"/>
    <protectedRange algorithmName="SHA-512" hashValue="RCrGPMCyFEkdhJRom24X1PBQWhQGvWNSMwa4ZJxufwfKFdhshIHyMGamjWZVYCqC0Vs/+IV9hTSH0rzqE7eoww==" saltValue="7PM8PbaJbRCgZUUDDBNLsQ==" spinCount="100000" sqref="BF91" name="Rango1_5_2_2_2_9"/>
    <protectedRange algorithmName="SHA-512" hashValue="RCrGPMCyFEkdhJRom24X1PBQWhQGvWNSMwa4ZJxufwfKFdhshIHyMGamjWZVYCqC0Vs/+IV9hTSH0rzqE7eoww==" saltValue="7PM8PbaJbRCgZUUDDBNLsQ==" spinCount="100000" sqref="BB91:BE91" name="Rango1_6_2_2_2_3_1_9"/>
    <protectedRange algorithmName="SHA-512" hashValue="RCrGPMCyFEkdhJRom24X1PBQWhQGvWNSMwa4ZJxufwfKFdhshIHyMGamjWZVYCqC0Vs/+IV9hTSH0rzqE7eoww==" saltValue="7PM8PbaJbRCgZUUDDBNLsQ==" spinCount="100000" sqref="CW91" name="Rango1_6_2_2_2_3_1_1_1_2_2"/>
    <protectedRange algorithmName="SHA-512" hashValue="RCrGPMCyFEkdhJRom24X1PBQWhQGvWNSMwa4ZJxufwfKFdhshIHyMGamjWZVYCqC0Vs/+IV9hTSH0rzqE7eoww==" saltValue="7PM8PbaJbRCgZUUDDBNLsQ==" spinCount="100000" sqref="CX91:DA91 CT91:CV91" name="Rango1_6_2_2_3_2_1_1_1_3"/>
    <protectedRange algorithmName="SHA-512" hashValue="RCrGPMCyFEkdhJRom24X1PBQWhQGvWNSMwa4ZJxufwfKFdhshIHyMGamjWZVYCqC0Vs/+IV9hTSH0rzqE7eoww==" saltValue="7PM8PbaJbRCgZUUDDBNLsQ==" spinCount="100000" sqref="BF92" name="Rango1_5_2_2_2_10"/>
    <protectedRange algorithmName="SHA-512" hashValue="RCrGPMCyFEkdhJRom24X1PBQWhQGvWNSMwa4ZJxufwfKFdhshIHyMGamjWZVYCqC0Vs/+IV9hTSH0rzqE7eoww==" saltValue="7PM8PbaJbRCgZUUDDBNLsQ==" spinCount="100000" sqref="BB92:BE92 CW92" name="Rango1_6_2_2_2_3_1_10"/>
    <protectedRange algorithmName="SHA-512" hashValue="RCrGPMCyFEkdhJRom24X1PBQWhQGvWNSMwa4ZJxufwfKFdhshIHyMGamjWZVYCqC0Vs/+IV9hTSH0rzqE7eoww==" saltValue="7PM8PbaJbRCgZUUDDBNLsQ==" spinCount="100000" sqref="CX92:DA92 CT92:CV92" name="Rango1_6_2_2_3_2_1_7"/>
    <protectedRange algorithmName="SHA-512" hashValue="RCrGPMCyFEkdhJRom24X1PBQWhQGvWNSMwa4ZJxufwfKFdhshIHyMGamjWZVYCqC0Vs/+IV9hTSH0rzqE7eoww==" saltValue="7PM8PbaJbRCgZUUDDBNLsQ==" spinCount="100000" sqref="DB92" name="Rango1_6_3_2_3_2_1_7"/>
    <protectedRange algorithmName="SHA-512" hashValue="RCrGPMCyFEkdhJRom24X1PBQWhQGvWNSMwa4ZJxufwfKFdhshIHyMGamjWZVYCqC0Vs/+IV9hTSH0rzqE7eoww==" saltValue="7PM8PbaJbRCgZUUDDBNLsQ==" spinCount="100000" sqref="BF93" name="Rango1_5_2_2_2_11"/>
    <protectedRange algorithmName="SHA-512" hashValue="RCrGPMCyFEkdhJRom24X1PBQWhQGvWNSMwa4ZJxufwfKFdhshIHyMGamjWZVYCqC0Vs/+IV9hTSH0rzqE7eoww==" saltValue="7PM8PbaJbRCgZUUDDBNLsQ==" spinCount="100000" sqref="CW93 BB93:BE93" name="Rango1_6_2_2_2_3_1_11"/>
    <protectedRange algorithmName="SHA-512" hashValue="RCrGPMCyFEkdhJRom24X1PBQWhQGvWNSMwa4ZJxufwfKFdhshIHyMGamjWZVYCqC0Vs/+IV9hTSH0rzqE7eoww==" saltValue="7PM8PbaJbRCgZUUDDBNLsQ==" spinCount="100000" sqref="CX93:DA93 CT93:CV93" name="Rango1_6_2_2_3_2_1_8"/>
    <protectedRange algorithmName="SHA-512" hashValue="RCrGPMCyFEkdhJRom24X1PBQWhQGvWNSMwa4ZJxufwfKFdhshIHyMGamjWZVYCqC0Vs/+IV9hTSH0rzqE7eoww==" saltValue="7PM8PbaJbRCgZUUDDBNLsQ==" spinCount="100000" sqref="DB93" name="Rango1_6_3_2_3_2_1_8"/>
    <protectedRange algorithmName="SHA-512" hashValue="RCrGPMCyFEkdhJRom24X1PBQWhQGvWNSMwa4ZJxufwfKFdhshIHyMGamjWZVYCqC0Vs/+IV9hTSH0rzqE7eoww==" saltValue="7PM8PbaJbRCgZUUDDBNLsQ==" spinCount="100000" sqref="BF94" name="Rango1_5_2_2_2_12"/>
    <protectedRange algorithmName="SHA-512" hashValue="RCrGPMCyFEkdhJRom24X1PBQWhQGvWNSMwa4ZJxufwfKFdhshIHyMGamjWZVYCqC0Vs/+IV9hTSH0rzqE7eoww==" saltValue="7PM8PbaJbRCgZUUDDBNLsQ==" spinCount="100000" sqref="BB94:BE94" name="Rango1_6_2_2_2_3_1_12"/>
    <protectedRange algorithmName="SHA-512" hashValue="RCrGPMCyFEkdhJRom24X1PBQWhQGvWNSMwa4ZJxufwfKFdhshIHyMGamjWZVYCqC0Vs/+IV9hTSH0rzqE7eoww==" saltValue="7PM8PbaJbRCgZUUDDBNLsQ==" spinCount="100000" sqref="CW94" name="Rango1_6_2_2_2_3_1_1_1_3"/>
    <protectedRange algorithmName="SHA-512" hashValue="RCrGPMCyFEkdhJRom24X1PBQWhQGvWNSMwa4ZJxufwfKFdhshIHyMGamjWZVYCqC0Vs/+IV9hTSH0rzqE7eoww==" saltValue="7PM8PbaJbRCgZUUDDBNLsQ==" spinCount="100000" sqref="CT94:CV94 CX94:DA94" name="Rango1_6_2_2_3_2_1_1_1_4"/>
    <protectedRange algorithmName="SHA-512" hashValue="RCrGPMCyFEkdhJRom24X1PBQWhQGvWNSMwa4ZJxufwfKFdhshIHyMGamjWZVYCqC0Vs/+IV9hTSH0rzqE7eoww==" saltValue="7PM8PbaJbRCgZUUDDBNLsQ==" spinCount="100000" sqref="BF95" name="Rango1_5_2_2_2_13"/>
    <protectedRange algorithmName="SHA-512" hashValue="RCrGPMCyFEkdhJRom24X1PBQWhQGvWNSMwa4ZJxufwfKFdhshIHyMGamjWZVYCqC0Vs/+IV9hTSH0rzqE7eoww==" saltValue="7PM8PbaJbRCgZUUDDBNLsQ==" spinCount="100000" sqref="BB95:BE95 CW95" name="Rango1_6_2_2_2_3_1_13"/>
    <protectedRange algorithmName="SHA-512" hashValue="RCrGPMCyFEkdhJRom24X1PBQWhQGvWNSMwa4ZJxufwfKFdhshIHyMGamjWZVYCqC0Vs/+IV9hTSH0rzqE7eoww==" saltValue="7PM8PbaJbRCgZUUDDBNLsQ==" spinCount="100000" sqref="CX95:DA95 CT95:CV95" name="Rango1_6_2_2_3_2_1_9"/>
    <protectedRange algorithmName="SHA-512" hashValue="RCrGPMCyFEkdhJRom24X1PBQWhQGvWNSMwa4ZJxufwfKFdhshIHyMGamjWZVYCqC0Vs/+IV9hTSH0rzqE7eoww==" saltValue="7PM8PbaJbRCgZUUDDBNLsQ==" spinCount="100000" sqref="DB95" name="Rango1_6_3_2_3_2_1_9"/>
    <protectedRange algorithmName="SHA-512" hashValue="RCrGPMCyFEkdhJRom24X1PBQWhQGvWNSMwa4ZJxufwfKFdhshIHyMGamjWZVYCqC0Vs/+IV9hTSH0rzqE7eoww==" saltValue="7PM8PbaJbRCgZUUDDBNLsQ==" spinCount="100000" sqref="BF96" name="Rango1_5_2_2_2_14"/>
    <protectedRange algorithmName="SHA-512" hashValue="RCrGPMCyFEkdhJRom24X1PBQWhQGvWNSMwa4ZJxufwfKFdhshIHyMGamjWZVYCqC0Vs/+IV9hTSH0rzqE7eoww==" saltValue="7PM8PbaJbRCgZUUDDBNLsQ==" spinCount="100000" sqref="BB96:BE96" name="Rango1_6_2_2_2_3_1_14"/>
    <protectedRange algorithmName="SHA-512" hashValue="RCrGPMCyFEkdhJRom24X1PBQWhQGvWNSMwa4ZJxufwfKFdhshIHyMGamjWZVYCqC0Vs/+IV9hTSH0rzqE7eoww==" saltValue="7PM8PbaJbRCgZUUDDBNLsQ==" spinCount="100000" sqref="CW96" name="Rango1_6_2_2_2_3_1_1_1_4"/>
    <protectedRange algorithmName="SHA-512" hashValue="RCrGPMCyFEkdhJRom24X1PBQWhQGvWNSMwa4ZJxufwfKFdhshIHyMGamjWZVYCqC0Vs/+IV9hTSH0rzqE7eoww==" saltValue="7PM8PbaJbRCgZUUDDBNLsQ==" spinCount="100000" sqref="CX96:DA96 CT96:CV96" name="Rango1_6_2_2_3_2_1_1_1_5"/>
    <protectedRange algorithmName="SHA-512" hashValue="RCrGPMCyFEkdhJRom24X1PBQWhQGvWNSMwa4ZJxufwfKFdhshIHyMGamjWZVYCqC0Vs/+IV9hTSH0rzqE7eoww==" saltValue="7PM8PbaJbRCgZUUDDBNLsQ==" spinCount="100000" sqref="BF97" name="Rango1_5_2_2_2_15"/>
    <protectedRange algorithmName="SHA-512" hashValue="RCrGPMCyFEkdhJRom24X1PBQWhQGvWNSMwa4ZJxufwfKFdhshIHyMGamjWZVYCqC0Vs/+IV9hTSH0rzqE7eoww==" saltValue="7PM8PbaJbRCgZUUDDBNLsQ==" spinCount="100000" sqref="CW97 BB97:BE97" name="Rango1_6_2_2_2_3_1_15"/>
    <protectedRange algorithmName="SHA-512" hashValue="RCrGPMCyFEkdhJRom24X1PBQWhQGvWNSMwa4ZJxufwfKFdhshIHyMGamjWZVYCqC0Vs/+IV9hTSH0rzqE7eoww==" saltValue="7PM8PbaJbRCgZUUDDBNLsQ==" spinCount="100000" sqref="CX97:DA97 CT97:CV97" name="Rango1_6_2_2_3_2_1_10"/>
    <protectedRange algorithmName="SHA-512" hashValue="RCrGPMCyFEkdhJRom24X1PBQWhQGvWNSMwa4ZJxufwfKFdhshIHyMGamjWZVYCqC0Vs/+IV9hTSH0rzqE7eoww==" saltValue="7PM8PbaJbRCgZUUDDBNLsQ==" spinCount="100000" sqref="DB97" name="Rango1_6_3_2_3_2_1_10"/>
    <protectedRange algorithmName="SHA-512" hashValue="RCrGPMCyFEkdhJRom24X1PBQWhQGvWNSMwa4ZJxufwfKFdhshIHyMGamjWZVYCqC0Vs/+IV9hTSH0rzqE7eoww==" saltValue="7PM8PbaJbRCgZUUDDBNLsQ==" spinCount="100000" sqref="BF98" name="Rango1_5_2_2_2_16"/>
    <protectedRange algorithmName="SHA-512" hashValue="RCrGPMCyFEkdhJRom24X1PBQWhQGvWNSMwa4ZJxufwfKFdhshIHyMGamjWZVYCqC0Vs/+IV9hTSH0rzqE7eoww==" saltValue="7PM8PbaJbRCgZUUDDBNLsQ==" spinCount="100000" sqref="BB98:BE98 CW98" name="Rango1_6_2_2_2_3_1_16"/>
    <protectedRange algorithmName="SHA-512" hashValue="RCrGPMCyFEkdhJRom24X1PBQWhQGvWNSMwa4ZJxufwfKFdhshIHyMGamjWZVYCqC0Vs/+IV9hTSH0rzqE7eoww==" saltValue="7PM8PbaJbRCgZUUDDBNLsQ==" spinCount="100000" sqref="CX98:DB98 CT98:CV98" name="Rango1_6_2_2_3_2_1_11"/>
    <protectedRange algorithmName="SHA-512" hashValue="RCrGPMCyFEkdhJRom24X1PBQWhQGvWNSMwa4ZJxufwfKFdhshIHyMGamjWZVYCqC0Vs/+IV9hTSH0rzqE7eoww==" saltValue="7PM8PbaJbRCgZUUDDBNLsQ==" spinCount="100000" sqref="BF99" name="Rango1_5_2_2_2_17"/>
    <protectedRange algorithmName="SHA-512" hashValue="RCrGPMCyFEkdhJRom24X1PBQWhQGvWNSMwa4ZJxufwfKFdhshIHyMGamjWZVYCqC0Vs/+IV9hTSH0rzqE7eoww==" saltValue="7PM8PbaJbRCgZUUDDBNLsQ==" spinCount="100000" sqref="BB99:BE99 CW99" name="Rango1_6_2_2_2_3_1_17"/>
    <protectedRange algorithmName="SHA-512" hashValue="RCrGPMCyFEkdhJRom24X1PBQWhQGvWNSMwa4ZJxufwfKFdhshIHyMGamjWZVYCqC0Vs/+IV9hTSH0rzqE7eoww==" saltValue="7PM8PbaJbRCgZUUDDBNLsQ==" spinCount="100000" sqref="CT99:CV99 CX99:DA99" name="Rango1_6_2_2_3_2_1_12"/>
    <protectedRange algorithmName="SHA-512" hashValue="RCrGPMCyFEkdhJRom24X1PBQWhQGvWNSMwa4ZJxufwfKFdhshIHyMGamjWZVYCqC0Vs/+IV9hTSH0rzqE7eoww==" saltValue="7PM8PbaJbRCgZUUDDBNLsQ==" spinCount="100000" sqref="DB99" name="Rango1_6_3_2_3_2_1_11"/>
    <protectedRange algorithmName="SHA-512" hashValue="RCrGPMCyFEkdhJRom24X1PBQWhQGvWNSMwa4ZJxufwfKFdhshIHyMGamjWZVYCqC0Vs/+IV9hTSH0rzqE7eoww==" saltValue="7PM8PbaJbRCgZUUDDBNLsQ==" spinCount="100000" sqref="BF100" name="Rango1_5_2_2_2_1_1_1"/>
    <protectedRange algorithmName="SHA-512" hashValue="RCrGPMCyFEkdhJRom24X1PBQWhQGvWNSMwa4ZJxufwfKFdhshIHyMGamjWZVYCqC0Vs/+IV9hTSH0rzqE7eoww==" saltValue="7PM8PbaJbRCgZUUDDBNLsQ==" spinCount="100000" sqref="CW100 BB100:BE100" name="Rango1_6_2_2_2_3_1_4_1_1"/>
    <protectedRange algorithmName="SHA-512" hashValue="RCrGPMCyFEkdhJRom24X1PBQWhQGvWNSMwa4ZJxufwfKFdhshIHyMGamjWZVYCqC0Vs/+IV9hTSH0rzqE7eoww==" saltValue="7PM8PbaJbRCgZUUDDBNLsQ==" spinCount="100000" sqref="CT100:CV100 CX100:DA100" name="Rango1_6_2_2_3_2_1_2_1_1"/>
    <protectedRange algorithmName="SHA-512" hashValue="RCrGPMCyFEkdhJRom24X1PBQWhQGvWNSMwa4ZJxufwfKFdhshIHyMGamjWZVYCqC0Vs/+IV9hTSH0rzqE7eoww==" saltValue="7PM8PbaJbRCgZUUDDBNLsQ==" spinCount="100000" sqref="DB100" name="Rango1_6_3_2_3_2_1_2_1_1"/>
    <protectedRange algorithmName="SHA-512" hashValue="RCrGPMCyFEkdhJRom24X1PBQWhQGvWNSMwa4ZJxufwfKFdhshIHyMGamjWZVYCqC0Vs/+IV9hTSH0rzqE7eoww==" saltValue="7PM8PbaJbRCgZUUDDBNLsQ==" spinCount="100000" sqref="BF101" name="Rango1_5_2_2_2_1_2_1"/>
    <protectedRange algorithmName="SHA-512" hashValue="RCrGPMCyFEkdhJRom24X1PBQWhQGvWNSMwa4ZJxufwfKFdhshIHyMGamjWZVYCqC0Vs/+IV9hTSH0rzqE7eoww==" saltValue="7PM8PbaJbRCgZUUDDBNLsQ==" spinCount="100000" sqref="BB101:BE101 CW101" name="Rango1_6_2_2_2_3_1_4_2"/>
    <protectedRange algorithmName="SHA-512" hashValue="RCrGPMCyFEkdhJRom24X1PBQWhQGvWNSMwa4ZJxufwfKFdhshIHyMGamjWZVYCqC0Vs/+IV9hTSH0rzqE7eoww==" saltValue="7PM8PbaJbRCgZUUDDBNLsQ==" spinCount="100000" sqref="CX101:DA101 CT101:CV101" name="Rango1_6_2_2_3_2_1_2_2_1"/>
    <protectedRange algorithmName="SHA-512" hashValue="RCrGPMCyFEkdhJRom24X1PBQWhQGvWNSMwa4ZJxufwfKFdhshIHyMGamjWZVYCqC0Vs/+IV9hTSH0rzqE7eoww==" saltValue="7PM8PbaJbRCgZUUDDBNLsQ==" spinCount="100000" sqref="DB101" name="Rango1_6_3_2_3_2_1_2_2_1"/>
    <protectedRange algorithmName="SHA-512" hashValue="RCrGPMCyFEkdhJRom24X1PBQWhQGvWNSMwa4ZJxufwfKFdhshIHyMGamjWZVYCqC0Vs/+IV9hTSH0rzqE7eoww==" saltValue="7PM8PbaJbRCgZUUDDBNLsQ==" spinCount="100000" sqref="BF102:BF103" name="Rango1_5_2_2_2_1_3"/>
    <protectedRange algorithmName="SHA-512" hashValue="RCrGPMCyFEkdhJRom24X1PBQWhQGvWNSMwa4ZJxufwfKFdhshIHyMGamjWZVYCqC0Vs/+IV9hTSH0rzqE7eoww==" saltValue="7PM8PbaJbRCgZUUDDBNLsQ==" spinCount="100000" sqref="CW102:CW103 BB102:BE103" name="Rango1_6_2_2_2_3_1_4_3"/>
    <protectedRange algorithmName="SHA-512" hashValue="RCrGPMCyFEkdhJRom24X1PBQWhQGvWNSMwa4ZJxufwfKFdhshIHyMGamjWZVYCqC0Vs/+IV9hTSH0rzqE7eoww==" saltValue="7PM8PbaJbRCgZUUDDBNLsQ==" spinCount="100000" sqref="CT102:CV103 CX102:DA103" name="Rango1_6_2_2_3_2_1_2_3"/>
    <protectedRange algorithmName="SHA-512" hashValue="RCrGPMCyFEkdhJRom24X1PBQWhQGvWNSMwa4ZJxufwfKFdhshIHyMGamjWZVYCqC0Vs/+IV9hTSH0rzqE7eoww==" saltValue="7PM8PbaJbRCgZUUDDBNLsQ==" spinCount="100000" sqref="DB102:DB103" name="Rango1_6_3_2_3_2_1_2_3"/>
    <protectedRange algorithmName="SHA-512" hashValue="RCrGPMCyFEkdhJRom24X1PBQWhQGvWNSMwa4ZJxufwfKFdhshIHyMGamjWZVYCqC0Vs/+IV9hTSH0rzqE7eoww==" saltValue="7PM8PbaJbRCgZUUDDBNLsQ==" spinCount="100000" sqref="BF104:BF105" name="Rango1_5_2_2_2_1_4"/>
    <protectedRange algorithmName="SHA-512" hashValue="RCrGPMCyFEkdhJRom24X1PBQWhQGvWNSMwa4ZJxufwfKFdhshIHyMGamjWZVYCqC0Vs/+IV9hTSH0rzqE7eoww==" saltValue="7PM8PbaJbRCgZUUDDBNLsQ==" spinCount="100000" sqref="BB104:BE105 CW104:CW105" name="Rango1_6_2_2_2_3_1_4_4"/>
    <protectedRange algorithmName="SHA-512" hashValue="RCrGPMCyFEkdhJRom24X1PBQWhQGvWNSMwa4ZJxufwfKFdhshIHyMGamjWZVYCqC0Vs/+IV9hTSH0rzqE7eoww==" saltValue="7PM8PbaJbRCgZUUDDBNLsQ==" spinCount="100000" sqref="CX104:DA105 CT104:CV105" name="Rango1_6_2_2_3_2_1_2_5"/>
    <protectedRange algorithmName="SHA-512" hashValue="RCrGPMCyFEkdhJRom24X1PBQWhQGvWNSMwa4ZJxufwfKFdhshIHyMGamjWZVYCqC0Vs/+IV9hTSH0rzqE7eoww==" saltValue="7PM8PbaJbRCgZUUDDBNLsQ==" spinCount="100000" sqref="DB104:DB105" name="Rango1_6_3_2_3_2_1_2_4"/>
  </protectedRanges>
  <mergeCells count="103">
    <mergeCell ref="BS5:BU5"/>
    <mergeCell ref="BV5:BX5"/>
    <mergeCell ref="BY5:CA5"/>
    <mergeCell ref="CB5:CD5"/>
    <mergeCell ref="CE5:CG5"/>
    <mergeCell ref="CH5:CJ5"/>
    <mergeCell ref="BE5:BE6"/>
    <mergeCell ref="BF5:BF6"/>
    <mergeCell ref="BG5:BI5"/>
    <mergeCell ref="BJ5:BL5"/>
    <mergeCell ref="BM5:BO5"/>
    <mergeCell ref="CY5:CY6"/>
    <mergeCell ref="CZ5:CZ6"/>
    <mergeCell ref="DA5:DA6"/>
    <mergeCell ref="DB5:DB6"/>
    <mergeCell ref="CK5:CM5"/>
    <mergeCell ref="CN5:CP5"/>
    <mergeCell ref="CQ5:CS5"/>
    <mergeCell ref="CT5:CT6"/>
    <mergeCell ref="CU5:CU6"/>
    <mergeCell ref="CV5:CV6"/>
    <mergeCell ref="CW5:CW6"/>
    <mergeCell ref="CX5:CX6"/>
    <mergeCell ref="AG5:AI5"/>
    <mergeCell ref="AJ5:AL5"/>
    <mergeCell ref="AM5:AO5"/>
    <mergeCell ref="BP5:BR5"/>
    <mergeCell ref="AS5:AU5"/>
    <mergeCell ref="AV5:AX5"/>
    <mergeCell ref="AY5:BA5"/>
    <mergeCell ref="BB5:BB6"/>
    <mergeCell ref="BC5:BC6"/>
    <mergeCell ref="BD5:BD6"/>
    <mergeCell ref="A75:C76"/>
    <mergeCell ref="D75:D76"/>
    <mergeCell ref="E75:E76"/>
    <mergeCell ref="F75:H75"/>
    <mergeCell ref="I75:K75"/>
    <mergeCell ref="A1:E4"/>
    <mergeCell ref="BB1:BF4"/>
    <mergeCell ref="CT1:CX4"/>
    <mergeCell ref="CY1:DB4"/>
    <mergeCell ref="A5:A6"/>
    <mergeCell ref="B5:B6"/>
    <mergeCell ref="C5:C6"/>
    <mergeCell ref="D5:D6"/>
    <mergeCell ref="E5:E6"/>
    <mergeCell ref="F5:H5"/>
    <mergeCell ref="AP5:AR5"/>
    <mergeCell ref="I5:K5"/>
    <mergeCell ref="L5:N5"/>
    <mergeCell ref="O5:Q5"/>
    <mergeCell ref="R5:T5"/>
    <mergeCell ref="U5:W5"/>
    <mergeCell ref="X5:Z5"/>
    <mergeCell ref="AA5:AC5"/>
    <mergeCell ref="AD5:AF5"/>
    <mergeCell ref="AA75:AC75"/>
    <mergeCell ref="AD75:AF75"/>
    <mergeCell ref="AG75:AI75"/>
    <mergeCell ref="AJ75:AL75"/>
    <mergeCell ref="AM75:AO75"/>
    <mergeCell ref="L75:N75"/>
    <mergeCell ref="O75:Q75"/>
    <mergeCell ref="R75:T75"/>
    <mergeCell ref="U75:W75"/>
    <mergeCell ref="X75:Z75"/>
    <mergeCell ref="BS75:BU75"/>
    <mergeCell ref="BV75:BX75"/>
    <mergeCell ref="BC75:BC76"/>
    <mergeCell ref="BD75:BD76"/>
    <mergeCell ref="BE75:BE76"/>
    <mergeCell ref="BF75:BF76"/>
    <mergeCell ref="BG75:BI75"/>
    <mergeCell ref="AP75:AR75"/>
    <mergeCell ref="AS75:AU75"/>
    <mergeCell ref="AV75:AX75"/>
    <mergeCell ref="AY75:BA75"/>
    <mergeCell ref="BB75:BB76"/>
    <mergeCell ref="DB75:DB76"/>
    <mergeCell ref="DC75:DC76"/>
    <mergeCell ref="DD75:DD76"/>
    <mergeCell ref="A106:E106"/>
    <mergeCell ref="F106:BA106"/>
    <mergeCell ref="BG106:CS106"/>
    <mergeCell ref="CW75:CW76"/>
    <mergeCell ref="CX75:CX76"/>
    <mergeCell ref="CY75:CY76"/>
    <mergeCell ref="CZ75:CZ76"/>
    <mergeCell ref="DA75:DA76"/>
    <mergeCell ref="CN75:CP75"/>
    <mergeCell ref="CQ75:CS75"/>
    <mergeCell ref="CT75:CT76"/>
    <mergeCell ref="CU75:CU76"/>
    <mergeCell ref="CV75:CV76"/>
    <mergeCell ref="BY75:CA75"/>
    <mergeCell ref="CB75:CD75"/>
    <mergeCell ref="CE75:CG75"/>
    <mergeCell ref="CH75:CJ75"/>
    <mergeCell ref="CK75:CM75"/>
    <mergeCell ref="BJ75:BL75"/>
    <mergeCell ref="BM75:BO75"/>
    <mergeCell ref="BP75:BR75"/>
  </mergeCells>
  <hyperlinks>
    <hyperlink ref="E23" r:id="rId1"/>
    <hyperlink ref="E22" r:id="rId2"/>
    <hyperlink ref="E24" r:id="rId3"/>
    <hyperlink ref="E30" r:id="rId4"/>
    <hyperlink ref="E36" r:id="rId5"/>
    <hyperlink ref="E48" r:id="rId6"/>
    <hyperlink ref="E59" r:id="rId7"/>
    <hyperlink ref="E47" r:id="rId8"/>
    <hyperlink ref="E52" r:id="rId9"/>
    <hyperlink ref="E57" r:id="rId10"/>
    <hyperlink ref="E32" r:id="rId11"/>
    <hyperlink ref="E61" r:id="rId12"/>
    <hyperlink ref="E55" r:id="rId13"/>
    <hyperlink ref="E42" r:id="rId14"/>
    <hyperlink ref="E49" r:id="rId15"/>
    <hyperlink ref="E37" r:id="rId16"/>
    <hyperlink ref="E31" r:id="rId17"/>
    <hyperlink ref="E56" r:id="rId18"/>
    <hyperlink ref="E41" r:id="rId19"/>
    <hyperlink ref="E40" r:id="rId20"/>
    <hyperlink ref="E62" r:id="rId21"/>
    <hyperlink ref="E60" r:id="rId22"/>
    <hyperlink ref="E43" r:id="rId23"/>
    <hyperlink ref="E29" r:id="rId24"/>
    <hyperlink ref="E63" r:id="rId25"/>
    <hyperlink ref="E33" r:id="rId26"/>
    <hyperlink ref="E35" r:id="rId27"/>
    <hyperlink ref="E38" r:id="rId28"/>
    <hyperlink ref="E44" r:id="rId29"/>
    <hyperlink ref="E51" r:id="rId30"/>
    <hyperlink ref="E54" r:id="rId31"/>
    <hyperlink ref="E34" r:id="rId32"/>
    <hyperlink ref="E8" r:id="rId33"/>
    <hyperlink ref="E66" r:id="rId34"/>
    <hyperlink ref="E65" r:id="rId35"/>
    <hyperlink ref="E68" r:id="rId36"/>
    <hyperlink ref="E69" r:id="rId37"/>
    <hyperlink ref="E67" r:id="rId38"/>
    <hyperlink ref="E70" r:id="rId39"/>
    <hyperlink ref="E73" r:id="rId40"/>
    <hyperlink ref="E71" r:id="rId41"/>
    <hyperlink ref="E74" r:id="rId42"/>
    <hyperlink ref="E77" r:id="rId43"/>
    <hyperlink ref="E81" r:id="rId44"/>
    <hyperlink ref="E84" r:id="rId45"/>
    <hyperlink ref="E85" r:id="rId46"/>
    <hyperlink ref="E86" r:id="rId47"/>
    <hyperlink ref="E87" r:id="rId48"/>
    <hyperlink ref="E88" r:id="rId49"/>
    <hyperlink ref="E89" r:id="rId50"/>
    <hyperlink ref="E90" r:id="rId51"/>
    <hyperlink ref="E91" r:id="rId52"/>
    <hyperlink ref="E92" r:id="rId53"/>
    <hyperlink ref="E93" r:id="rId54"/>
    <hyperlink ref="E94" r:id="rId55"/>
    <hyperlink ref="E95" r:id="rId56"/>
    <hyperlink ref="E96" r:id="rId57"/>
    <hyperlink ref="E97" r:id="rId58"/>
    <hyperlink ref="E99" r:id="rId59"/>
    <hyperlink ref="E100" r:id="rId60"/>
    <hyperlink ref="E103" r:id="rId61"/>
    <hyperlink ref="E105" r:id="rId62"/>
    <hyperlink ref="E104" r:id="rId63"/>
  </hyperlinks>
  <pageMargins left="0.7" right="0.7" top="0.75" bottom="0.75" header="0.3" footer="0.3"/>
  <pageSetup paperSize="9" orientation="portrait" r:id="rId64"/>
  <legacyDrawing r:id="rId6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20"/>
  <sheetViews>
    <sheetView topLeftCell="E10" workbookViewId="0">
      <selection activeCell="T19" sqref="T19"/>
    </sheetView>
  </sheetViews>
  <sheetFormatPr baseColWidth="10" defaultRowHeight="15" x14ac:dyDescent="0.25"/>
  <cols>
    <col min="1" max="1" width="7.5703125" customWidth="1"/>
    <col min="2" max="2" width="38.5703125" customWidth="1"/>
    <col min="4" max="9" width="11.42578125" customWidth="1"/>
    <col min="12" max="20" width="11.42578125" customWidth="1"/>
  </cols>
  <sheetData>
    <row r="1" spans="1:35" x14ac:dyDescent="0.25">
      <c r="A1" s="205"/>
      <c r="B1" s="206"/>
      <c r="C1" s="207"/>
      <c r="D1" s="208"/>
      <c r="E1" s="208"/>
      <c r="F1" s="208"/>
      <c r="G1" s="208"/>
      <c r="H1" s="208"/>
      <c r="I1" s="208"/>
      <c r="J1" s="208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</row>
    <row r="2" spans="1:35" ht="20.25" x14ac:dyDescent="0.25">
      <c r="A2" s="1434" t="s">
        <v>288</v>
      </c>
      <c r="B2" s="1434"/>
      <c r="C2" s="1434"/>
      <c r="D2" s="1434"/>
      <c r="E2" s="1434"/>
      <c r="F2" s="1434"/>
      <c r="G2" s="1434"/>
      <c r="H2" s="1434"/>
      <c r="I2" s="1434"/>
      <c r="J2" s="1434"/>
      <c r="K2" s="1434"/>
      <c r="L2" s="1434"/>
      <c r="M2" s="1434"/>
      <c r="N2" s="1434"/>
      <c r="O2" s="1434"/>
      <c r="P2" s="1434"/>
      <c r="Q2" s="1434"/>
      <c r="R2" s="1434"/>
      <c r="S2" s="1434"/>
      <c r="T2" s="1434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</row>
    <row r="3" spans="1:35" ht="41.25" thickBot="1" x14ac:dyDescent="0.35">
      <c r="A3" s="210"/>
      <c r="B3" s="211" t="s">
        <v>291</v>
      </c>
      <c r="C3" s="1435" t="s">
        <v>273</v>
      </c>
      <c r="D3" s="1435"/>
      <c r="E3" s="1435"/>
      <c r="F3" s="1435"/>
      <c r="G3" s="1435"/>
      <c r="H3" s="1435"/>
      <c r="I3" s="1435"/>
      <c r="J3" s="1435"/>
      <c r="K3" s="1435"/>
      <c r="L3" s="1435" t="s">
        <v>274</v>
      </c>
      <c r="M3" s="1435"/>
      <c r="N3" s="1435"/>
      <c r="O3" s="1435"/>
      <c r="P3" s="1435"/>
      <c r="Q3" s="1435"/>
      <c r="R3" s="1435"/>
      <c r="S3" s="1435"/>
      <c r="T3" s="1435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</row>
    <row r="4" spans="1:35" ht="23.25" thickBot="1" x14ac:dyDescent="0.3">
      <c r="A4" s="212" t="s">
        <v>255</v>
      </c>
      <c r="B4" s="213" t="s">
        <v>292</v>
      </c>
      <c r="C4" s="289" t="s">
        <v>275</v>
      </c>
      <c r="D4" s="290" t="s">
        <v>9</v>
      </c>
      <c r="E4" s="291" t="s">
        <v>276</v>
      </c>
      <c r="F4" s="291" t="s">
        <v>388</v>
      </c>
      <c r="G4" s="291" t="s">
        <v>277</v>
      </c>
      <c r="H4" s="291" t="s">
        <v>278</v>
      </c>
      <c r="I4" s="291" t="s">
        <v>10</v>
      </c>
      <c r="J4" s="291" t="s">
        <v>279</v>
      </c>
      <c r="K4" s="292" t="s">
        <v>280</v>
      </c>
      <c r="L4" s="289" t="s">
        <v>275</v>
      </c>
      <c r="M4" s="290" t="s">
        <v>9</v>
      </c>
      <c r="N4" s="291" t="s">
        <v>276</v>
      </c>
      <c r="O4" s="291" t="s">
        <v>388</v>
      </c>
      <c r="P4" s="291" t="s">
        <v>277</v>
      </c>
      <c r="Q4" s="291" t="s">
        <v>278</v>
      </c>
      <c r="R4" s="291" t="s">
        <v>10</v>
      </c>
      <c r="S4" s="291" t="s">
        <v>279</v>
      </c>
      <c r="T4" s="292" t="s">
        <v>280</v>
      </c>
      <c r="U4" s="293" t="s">
        <v>281</v>
      </c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</row>
    <row r="5" spans="1:35" ht="16.5" thickBot="1" x14ac:dyDescent="0.3">
      <c r="A5" s="219">
        <v>1</v>
      </c>
      <c r="B5" s="1287" t="s">
        <v>289</v>
      </c>
      <c r="C5" s="214">
        <v>11</v>
      </c>
      <c r="D5" s="215">
        <v>0</v>
      </c>
      <c r="E5" s="215">
        <v>2</v>
      </c>
      <c r="F5" s="216">
        <v>7.8</v>
      </c>
      <c r="G5" s="215">
        <v>0</v>
      </c>
      <c r="H5" s="216">
        <v>0</v>
      </c>
      <c r="I5" s="218">
        <v>0</v>
      </c>
      <c r="J5" s="216">
        <v>0</v>
      </c>
      <c r="K5" s="229">
        <f>15.714*C5+F5</f>
        <v>180.65400000000002</v>
      </c>
      <c r="L5" s="214">
        <v>10</v>
      </c>
      <c r="M5" s="294">
        <v>0</v>
      </c>
      <c r="N5" s="215">
        <v>3</v>
      </c>
      <c r="O5" s="215">
        <v>0</v>
      </c>
      <c r="P5" s="216">
        <v>0</v>
      </c>
      <c r="Q5" s="216">
        <v>0</v>
      </c>
      <c r="R5" s="215">
        <v>0</v>
      </c>
      <c r="S5" s="216">
        <v>0</v>
      </c>
      <c r="T5" s="229">
        <f>16.9234*L5+O5</f>
        <v>169.23400000000001</v>
      </c>
      <c r="U5" s="217" t="s">
        <v>293</v>
      </c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</row>
    <row r="6" spans="1:35" ht="16.5" thickBot="1" x14ac:dyDescent="0.3">
      <c r="A6" s="219">
        <v>2</v>
      </c>
      <c r="B6" s="220" t="s">
        <v>117</v>
      </c>
      <c r="C6" s="214">
        <f>+[2]REPORTE!Q4</f>
        <v>14</v>
      </c>
      <c r="D6" s="215">
        <v>0</v>
      </c>
      <c r="E6" s="215">
        <v>0</v>
      </c>
      <c r="F6" s="216">
        <v>0</v>
      </c>
      <c r="G6" s="215">
        <v>0</v>
      </c>
      <c r="H6" s="216">
        <v>0</v>
      </c>
      <c r="I6" s="218">
        <v>0</v>
      </c>
      <c r="J6" s="216">
        <v>0</v>
      </c>
      <c r="K6" s="229">
        <f t="shared" ref="K6:K12" si="0">15.714*C6+F6</f>
        <v>219.99600000000001</v>
      </c>
      <c r="L6" s="214">
        <v>10</v>
      </c>
      <c r="M6" s="294">
        <v>0</v>
      </c>
      <c r="N6" s="215">
        <v>3</v>
      </c>
      <c r="O6" s="215">
        <v>0</v>
      </c>
      <c r="P6" s="216">
        <v>0</v>
      </c>
      <c r="Q6" s="216">
        <v>0</v>
      </c>
      <c r="R6" s="215">
        <v>0</v>
      </c>
      <c r="S6" s="216">
        <v>0</v>
      </c>
      <c r="T6" s="229">
        <f t="shared" ref="T6:T12" si="1">16.9234*L6+O6</f>
        <v>169.23400000000001</v>
      </c>
      <c r="U6" s="217" t="s">
        <v>293</v>
      </c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</row>
    <row r="7" spans="1:35" s="1" customFormat="1" ht="16.5" thickBot="1" x14ac:dyDescent="0.3">
      <c r="A7" s="219">
        <v>3</v>
      </c>
      <c r="B7" s="220" t="s">
        <v>193</v>
      </c>
      <c r="C7" s="214">
        <f>+[2]REPORTE!Q5</f>
        <v>14</v>
      </c>
      <c r="D7" s="215">
        <v>0</v>
      </c>
      <c r="E7" s="215">
        <v>0</v>
      </c>
      <c r="F7" s="216">
        <v>0</v>
      </c>
      <c r="G7" s="215">
        <v>0</v>
      </c>
      <c r="H7" s="216">
        <v>0</v>
      </c>
      <c r="I7" s="218">
        <v>0</v>
      </c>
      <c r="J7" s="216">
        <v>0</v>
      </c>
      <c r="K7" s="229">
        <f t="shared" si="0"/>
        <v>219.99600000000001</v>
      </c>
      <c r="L7" s="214">
        <v>12</v>
      </c>
      <c r="M7" s="294">
        <v>0</v>
      </c>
      <c r="N7" s="215">
        <v>1</v>
      </c>
      <c r="O7" s="215"/>
      <c r="P7" s="216">
        <v>0</v>
      </c>
      <c r="Q7" s="216">
        <v>0</v>
      </c>
      <c r="R7" s="215">
        <v>0</v>
      </c>
      <c r="S7" s="216">
        <v>0</v>
      </c>
      <c r="T7" s="229">
        <f t="shared" si="1"/>
        <v>203.08080000000001</v>
      </c>
      <c r="U7" s="217" t="s">
        <v>293</v>
      </c>
      <c r="V7" s="209"/>
      <c r="W7" s="209"/>
      <c r="X7" s="209"/>
      <c r="Y7" s="209"/>
      <c r="Z7" s="209"/>
      <c r="AA7" s="209"/>
      <c r="AB7" s="209"/>
      <c r="AC7" s="209"/>
      <c r="AD7" s="209"/>
      <c r="AE7" s="209"/>
      <c r="AF7" s="209"/>
      <c r="AG7" s="209"/>
    </row>
    <row r="8" spans="1:35" s="1" customFormat="1" ht="16.5" thickBot="1" x14ac:dyDescent="0.3">
      <c r="A8" s="219">
        <v>4</v>
      </c>
      <c r="B8" s="220" t="s">
        <v>389</v>
      </c>
      <c r="C8" s="214">
        <v>7</v>
      </c>
      <c r="D8" s="215"/>
      <c r="E8" s="215">
        <v>0</v>
      </c>
      <c r="F8" s="216">
        <v>0</v>
      </c>
      <c r="G8" s="215">
        <v>0</v>
      </c>
      <c r="H8" s="216">
        <v>0</v>
      </c>
      <c r="I8" s="218">
        <v>0</v>
      </c>
      <c r="J8" s="216">
        <v>0</v>
      </c>
      <c r="K8" s="229">
        <f t="shared" si="0"/>
        <v>109.998</v>
      </c>
      <c r="L8" s="214">
        <v>13</v>
      </c>
      <c r="M8" s="294">
        <v>0</v>
      </c>
      <c r="N8" s="215">
        <v>0</v>
      </c>
      <c r="O8" s="215">
        <v>0</v>
      </c>
      <c r="P8" s="216">
        <v>0</v>
      </c>
      <c r="Q8" s="216">
        <v>0</v>
      </c>
      <c r="R8" s="215">
        <v>0</v>
      </c>
      <c r="S8" s="216">
        <v>0</v>
      </c>
      <c r="T8" s="229">
        <f t="shared" si="1"/>
        <v>220.00420000000003</v>
      </c>
      <c r="U8" s="217" t="s">
        <v>293</v>
      </c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</row>
    <row r="9" spans="1:35" s="1" customFormat="1" ht="16.5" thickBot="1" x14ac:dyDescent="0.3">
      <c r="A9" s="219">
        <v>5</v>
      </c>
      <c r="B9" s="220" t="s">
        <v>290</v>
      </c>
      <c r="C9" s="214">
        <v>12</v>
      </c>
      <c r="D9" s="215">
        <v>0</v>
      </c>
      <c r="E9" s="215">
        <v>1</v>
      </c>
      <c r="F9" s="216">
        <v>7.8</v>
      </c>
      <c r="G9" s="215">
        <v>0</v>
      </c>
      <c r="H9" s="216">
        <v>0</v>
      </c>
      <c r="I9" s="218">
        <v>0</v>
      </c>
      <c r="J9" s="216">
        <v>0</v>
      </c>
      <c r="K9" s="229">
        <f t="shared" si="0"/>
        <v>196.36800000000002</v>
      </c>
      <c r="L9" s="214">
        <v>11</v>
      </c>
      <c r="M9" s="294">
        <v>0</v>
      </c>
      <c r="N9" s="215">
        <v>1</v>
      </c>
      <c r="O9" s="215">
        <v>8.4600000000000009</v>
      </c>
      <c r="P9" s="216">
        <v>0</v>
      </c>
      <c r="Q9" s="216">
        <v>0</v>
      </c>
      <c r="R9" s="215">
        <v>0</v>
      </c>
      <c r="S9" s="216">
        <v>0</v>
      </c>
      <c r="T9" s="229">
        <f t="shared" si="1"/>
        <v>194.6174</v>
      </c>
      <c r="U9" s="217" t="s">
        <v>293</v>
      </c>
      <c r="V9" s="209"/>
      <c r="W9" s="209"/>
      <c r="X9" s="209"/>
      <c r="Y9" s="209"/>
      <c r="Z9" s="209"/>
      <c r="AA9" s="209"/>
      <c r="AB9" s="209"/>
      <c r="AC9" s="209"/>
      <c r="AD9" s="209"/>
      <c r="AE9" s="209"/>
      <c r="AF9" s="209"/>
      <c r="AG9" s="209"/>
    </row>
    <row r="10" spans="1:35" s="1" customFormat="1" ht="16.5" thickBot="1" x14ac:dyDescent="0.3">
      <c r="A10" s="219">
        <v>6</v>
      </c>
      <c r="B10" s="220" t="s">
        <v>196</v>
      </c>
      <c r="C10" s="214">
        <f>+[2]REPORTE!Q8</f>
        <v>14</v>
      </c>
      <c r="D10" s="215">
        <v>0</v>
      </c>
      <c r="E10" s="215">
        <v>0</v>
      </c>
      <c r="F10" s="216">
        <v>0</v>
      </c>
      <c r="G10" s="215">
        <v>0</v>
      </c>
      <c r="H10" s="216">
        <v>0</v>
      </c>
      <c r="I10" s="218">
        <v>0</v>
      </c>
      <c r="J10" s="216">
        <v>0</v>
      </c>
      <c r="K10" s="229">
        <f t="shared" si="0"/>
        <v>219.99600000000001</v>
      </c>
      <c r="L10" s="214">
        <v>13</v>
      </c>
      <c r="M10" s="294">
        <v>0</v>
      </c>
      <c r="N10" s="215">
        <v>0</v>
      </c>
      <c r="O10" s="215">
        <v>0</v>
      </c>
      <c r="P10" s="216">
        <v>0</v>
      </c>
      <c r="Q10" s="216">
        <v>0</v>
      </c>
      <c r="R10" s="215">
        <v>0</v>
      </c>
      <c r="S10" s="216">
        <v>0</v>
      </c>
      <c r="T10" s="229">
        <f t="shared" si="1"/>
        <v>220.00420000000003</v>
      </c>
      <c r="U10" s="217" t="s">
        <v>293</v>
      </c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</row>
    <row r="11" spans="1:35" s="1" customFormat="1" ht="16.5" thickBot="1" x14ac:dyDescent="0.3">
      <c r="A11" s="219">
        <v>7</v>
      </c>
      <c r="B11" s="220" t="s">
        <v>187</v>
      </c>
      <c r="C11" s="214">
        <f>+[2]REPORTE!Q9</f>
        <v>13</v>
      </c>
      <c r="D11" s="215">
        <v>0</v>
      </c>
      <c r="E11" s="215">
        <v>1</v>
      </c>
      <c r="F11" s="216">
        <v>0</v>
      </c>
      <c r="G11" s="215">
        <v>0</v>
      </c>
      <c r="H11" s="216">
        <v>0</v>
      </c>
      <c r="I11" s="218">
        <v>0</v>
      </c>
      <c r="J11" s="216">
        <v>0</v>
      </c>
      <c r="K11" s="229">
        <f t="shared" si="0"/>
        <v>204.28200000000001</v>
      </c>
      <c r="L11" s="214">
        <v>11</v>
      </c>
      <c r="M11" s="294">
        <v>0</v>
      </c>
      <c r="N11" s="215">
        <v>2</v>
      </c>
      <c r="O11" s="215">
        <v>0</v>
      </c>
      <c r="P11" s="216">
        <v>0</v>
      </c>
      <c r="Q11" s="216">
        <v>0</v>
      </c>
      <c r="R11" s="215">
        <v>0</v>
      </c>
      <c r="S11" s="216">
        <v>0</v>
      </c>
      <c r="T11" s="229">
        <f t="shared" si="1"/>
        <v>186.1574</v>
      </c>
      <c r="U11" s="217" t="s">
        <v>293</v>
      </c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</row>
    <row r="12" spans="1:35" s="1" customFormat="1" ht="16.5" thickBot="1" x14ac:dyDescent="0.3">
      <c r="A12" s="219">
        <v>8</v>
      </c>
      <c r="B12" s="220" t="s">
        <v>38</v>
      </c>
      <c r="C12" s="214">
        <f>+[2]REPORTE!Q10</f>
        <v>12</v>
      </c>
      <c r="D12" s="215">
        <v>0</v>
      </c>
      <c r="E12" s="215">
        <v>2</v>
      </c>
      <c r="F12" s="216">
        <v>0</v>
      </c>
      <c r="G12" s="215">
        <v>0</v>
      </c>
      <c r="H12" s="216">
        <v>0</v>
      </c>
      <c r="I12" s="218">
        <v>0</v>
      </c>
      <c r="J12" s="216">
        <v>0</v>
      </c>
      <c r="K12" s="229">
        <f t="shared" si="0"/>
        <v>188.56800000000001</v>
      </c>
      <c r="L12" s="214">
        <v>10</v>
      </c>
      <c r="M12" s="294">
        <v>0</v>
      </c>
      <c r="N12" s="214">
        <v>0</v>
      </c>
      <c r="O12" s="214">
        <v>0</v>
      </c>
      <c r="P12" s="216">
        <v>0</v>
      </c>
      <c r="Q12" s="216">
        <v>0</v>
      </c>
      <c r="R12" s="215">
        <v>0</v>
      </c>
      <c r="S12" s="216">
        <v>0</v>
      </c>
      <c r="T12" s="229">
        <f t="shared" si="1"/>
        <v>169.23400000000001</v>
      </c>
      <c r="U12" s="217" t="s">
        <v>293</v>
      </c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</row>
    <row r="13" spans="1:35" ht="16.5" thickBot="1" x14ac:dyDescent="0.3">
      <c r="A13" s="219">
        <v>9</v>
      </c>
      <c r="B13" s="295" t="s">
        <v>284</v>
      </c>
      <c r="C13" s="214">
        <v>15</v>
      </c>
      <c r="D13" s="215">
        <v>0</v>
      </c>
      <c r="E13" s="215">
        <v>0</v>
      </c>
      <c r="F13" s="216">
        <v>0</v>
      </c>
      <c r="G13" s="215">
        <v>0</v>
      </c>
      <c r="H13" s="216">
        <v>0</v>
      </c>
      <c r="I13" s="218">
        <v>0</v>
      </c>
      <c r="J13" s="216">
        <v>0</v>
      </c>
      <c r="K13" s="296">
        <f>700/30*C13</f>
        <v>350</v>
      </c>
      <c r="L13" s="214">
        <v>15</v>
      </c>
      <c r="M13" s="294">
        <v>0</v>
      </c>
      <c r="N13" s="214">
        <v>0</v>
      </c>
      <c r="O13" s="214">
        <v>0</v>
      </c>
      <c r="P13" s="216">
        <v>0</v>
      </c>
      <c r="Q13" s="216">
        <v>0</v>
      </c>
      <c r="R13" s="215">
        <v>0</v>
      </c>
      <c r="S13" s="216">
        <v>0</v>
      </c>
      <c r="T13" s="1285">
        <f>700/30*L13</f>
        <v>350</v>
      </c>
      <c r="U13" s="217" t="s">
        <v>283</v>
      </c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</row>
    <row r="14" spans="1:35" ht="16.5" thickBot="1" x14ac:dyDescent="0.3">
      <c r="A14" s="219">
        <v>10</v>
      </c>
      <c r="B14" s="295" t="s">
        <v>390</v>
      </c>
      <c r="C14" s="214">
        <v>14</v>
      </c>
      <c r="D14" s="215">
        <v>0</v>
      </c>
      <c r="E14" s="215">
        <v>0</v>
      </c>
      <c r="F14" s="216">
        <v>0</v>
      </c>
      <c r="G14" s="215">
        <v>0</v>
      </c>
      <c r="H14" s="216">
        <v>0</v>
      </c>
      <c r="I14" s="218">
        <v>0</v>
      </c>
      <c r="J14" s="216">
        <v>0</v>
      </c>
      <c r="K14" s="296">
        <f>15.714*C14</f>
        <v>219.99600000000001</v>
      </c>
      <c r="L14" s="221">
        <v>13</v>
      </c>
      <c r="M14" s="294">
        <v>0</v>
      </c>
      <c r="N14" s="214">
        <v>0</v>
      </c>
      <c r="O14" s="214">
        <v>0</v>
      </c>
      <c r="P14" s="216">
        <v>0</v>
      </c>
      <c r="Q14" s="216">
        <v>0</v>
      </c>
      <c r="R14" s="215">
        <v>0</v>
      </c>
      <c r="S14" s="216">
        <v>0</v>
      </c>
      <c r="T14" s="1285">
        <f t="shared" ref="T14:T15" si="2">16.9234*L14+O14</f>
        <v>220.00420000000003</v>
      </c>
      <c r="U14" s="217" t="s">
        <v>283</v>
      </c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</row>
    <row r="15" spans="1:35" ht="16.5" thickBot="1" x14ac:dyDescent="0.3">
      <c r="A15" s="219">
        <v>11</v>
      </c>
      <c r="B15" s="220" t="s">
        <v>110</v>
      </c>
      <c r="C15" s="221">
        <v>12</v>
      </c>
      <c r="D15" s="215">
        <v>0</v>
      </c>
      <c r="E15" s="215">
        <v>1</v>
      </c>
      <c r="F15" s="216">
        <v>7.8</v>
      </c>
      <c r="G15" s="215">
        <v>0</v>
      </c>
      <c r="H15" s="216">
        <v>0</v>
      </c>
      <c r="I15" s="218">
        <v>0</v>
      </c>
      <c r="J15" s="216">
        <v>0</v>
      </c>
      <c r="K15" s="229">
        <f>15.714*C15+F15</f>
        <v>196.36800000000002</v>
      </c>
      <c r="L15" s="221">
        <v>10</v>
      </c>
      <c r="M15" s="294">
        <v>0</v>
      </c>
      <c r="N15" s="214">
        <v>3</v>
      </c>
      <c r="O15" s="214">
        <v>0</v>
      </c>
      <c r="P15" s="216">
        <v>0</v>
      </c>
      <c r="Q15" s="216">
        <v>0</v>
      </c>
      <c r="R15" s="215">
        <v>0</v>
      </c>
      <c r="S15" s="216">
        <v>0</v>
      </c>
      <c r="T15" s="229">
        <f t="shared" si="2"/>
        <v>169.23400000000001</v>
      </c>
      <c r="U15" s="217" t="s">
        <v>283</v>
      </c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</row>
    <row r="16" spans="1:35" ht="16.5" thickBot="1" x14ac:dyDescent="0.3">
      <c r="A16" s="219">
        <v>12</v>
      </c>
      <c r="B16" s="1288" t="s">
        <v>282</v>
      </c>
      <c r="C16" s="221">
        <v>15</v>
      </c>
      <c r="D16" s="215">
        <v>0</v>
      </c>
      <c r="E16" s="215">
        <v>0</v>
      </c>
      <c r="F16" s="216">
        <v>0</v>
      </c>
      <c r="G16" s="215">
        <v>0</v>
      </c>
      <c r="H16" s="216">
        <v>0</v>
      </c>
      <c r="I16" s="218">
        <v>0</v>
      </c>
      <c r="J16" s="216">
        <v>0</v>
      </c>
      <c r="K16" s="297">
        <f>500/30*C16</f>
        <v>250.00000000000003</v>
      </c>
      <c r="L16" s="221">
        <v>15</v>
      </c>
      <c r="M16" s="294">
        <v>0</v>
      </c>
      <c r="N16" s="214">
        <v>0</v>
      </c>
      <c r="O16" s="214">
        <v>0</v>
      </c>
      <c r="P16" s="216">
        <v>0</v>
      </c>
      <c r="Q16" s="216">
        <v>0</v>
      </c>
      <c r="R16" s="215">
        <v>0</v>
      </c>
      <c r="S16" s="216">
        <v>0</v>
      </c>
      <c r="T16" s="297">
        <f>500/30*L16</f>
        <v>250.00000000000003</v>
      </c>
      <c r="U16" s="217" t="s">
        <v>283</v>
      </c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</row>
    <row r="17" spans="1:33" ht="16.5" thickBot="1" x14ac:dyDescent="0.3">
      <c r="A17" s="219">
        <v>13</v>
      </c>
      <c r="B17" s="298" t="s">
        <v>285</v>
      </c>
      <c r="C17" s="221">
        <v>15</v>
      </c>
      <c r="D17" s="215">
        <v>0</v>
      </c>
      <c r="E17" s="215">
        <v>0</v>
      </c>
      <c r="F17" s="216">
        <v>0</v>
      </c>
      <c r="G17" s="224">
        <v>0</v>
      </c>
      <c r="H17" s="216">
        <v>0</v>
      </c>
      <c r="I17" s="218">
        <v>0</v>
      </c>
      <c r="J17" s="216">
        <v>0</v>
      </c>
      <c r="K17" s="297">
        <f>450/30*C17</f>
        <v>225</v>
      </c>
      <c r="L17" s="221">
        <v>15</v>
      </c>
      <c r="M17" s="294">
        <v>0</v>
      </c>
      <c r="N17" s="214">
        <v>0</v>
      </c>
      <c r="O17" s="214">
        <v>0</v>
      </c>
      <c r="P17" s="216">
        <v>0</v>
      </c>
      <c r="Q17" s="216">
        <v>0</v>
      </c>
      <c r="R17" s="215">
        <v>0</v>
      </c>
      <c r="S17" s="216">
        <v>0</v>
      </c>
      <c r="T17" s="1286">
        <f>450/30*L17</f>
        <v>225</v>
      </c>
      <c r="U17" s="217" t="s">
        <v>283</v>
      </c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</row>
    <row r="18" spans="1:33" ht="16.5" thickBot="1" x14ac:dyDescent="0.3">
      <c r="A18" s="219">
        <v>14</v>
      </c>
      <c r="B18" s="1289" t="s">
        <v>286</v>
      </c>
      <c r="C18" s="221">
        <v>15</v>
      </c>
      <c r="D18" s="224">
        <v>0</v>
      </c>
      <c r="E18" s="224">
        <v>0</v>
      </c>
      <c r="F18" s="223">
        <v>0</v>
      </c>
      <c r="G18" s="224">
        <v>0</v>
      </c>
      <c r="H18" s="217">
        <v>0</v>
      </c>
      <c r="I18" s="225">
        <v>0</v>
      </c>
      <c r="J18" s="223">
        <v>0</v>
      </c>
      <c r="K18" s="297">
        <f>450/30*C18</f>
        <v>225</v>
      </c>
      <c r="L18" s="221">
        <v>15</v>
      </c>
      <c r="M18" s="299">
        <v>0</v>
      </c>
      <c r="N18" s="221">
        <v>0</v>
      </c>
      <c r="O18" s="221">
        <v>0</v>
      </c>
      <c r="P18" s="223">
        <v>0</v>
      </c>
      <c r="Q18" s="223">
        <v>0</v>
      </c>
      <c r="R18" s="222">
        <v>0</v>
      </c>
      <c r="S18" s="223">
        <v>45</v>
      </c>
      <c r="T18" s="1286">
        <f>450/30*L18+S18</f>
        <v>270</v>
      </c>
      <c r="U18" s="217" t="s">
        <v>283</v>
      </c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</row>
    <row r="19" spans="1:33" ht="16.5" thickBot="1" x14ac:dyDescent="0.3">
      <c r="A19" s="230">
        <v>20</v>
      </c>
      <c r="B19" s="231" t="s">
        <v>287</v>
      </c>
      <c r="C19" s="221"/>
      <c r="D19" s="225"/>
      <c r="E19" s="225"/>
      <c r="F19" s="217">
        <f>SUM(F5:F18)</f>
        <v>23.4</v>
      </c>
      <c r="G19" s="225"/>
      <c r="H19" s="225"/>
      <c r="I19" s="225"/>
      <c r="J19" s="225"/>
      <c r="K19" s="234">
        <f>SUM(K5:K18)</f>
        <v>3006.2220000000002</v>
      </c>
      <c r="L19" s="228"/>
      <c r="M19" s="226"/>
      <c r="N19" s="228"/>
      <c r="O19" s="228"/>
      <c r="P19" s="235">
        <f>SUM(P5:P18)</f>
        <v>0</v>
      </c>
      <c r="Q19" s="300">
        <f>SUM(Q5:Q14)</f>
        <v>0</v>
      </c>
      <c r="R19" s="228"/>
      <c r="S19" s="228"/>
      <c r="T19" s="301">
        <f>SUM(T5:T18)</f>
        <v>3015.8042</v>
      </c>
      <c r="U19" s="232"/>
    </row>
    <row r="20" spans="1:3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233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4">
    <mergeCell ref="A2:K2"/>
    <mergeCell ref="L2:T2"/>
    <mergeCell ref="C3:K3"/>
    <mergeCell ref="L3:T3"/>
  </mergeCells>
  <conditionalFormatting sqref="T15">
    <cfRule type="cellIs" dxfId="8" priority="3" operator="lessThan">
      <formula>1</formula>
    </cfRule>
  </conditionalFormatting>
  <conditionalFormatting sqref="K5:K14">
    <cfRule type="cellIs" dxfId="7" priority="13" operator="lessThan">
      <formula>1</formula>
    </cfRule>
  </conditionalFormatting>
  <conditionalFormatting sqref="T13">
    <cfRule type="cellIs" dxfId="6" priority="11" operator="lessThan">
      <formula>1</formula>
    </cfRule>
  </conditionalFormatting>
  <conditionalFormatting sqref="K16">
    <cfRule type="cellIs" dxfId="5" priority="8" operator="lessThan">
      <formula>1</formula>
    </cfRule>
  </conditionalFormatting>
  <conditionalFormatting sqref="K15">
    <cfRule type="cellIs" dxfId="4" priority="9" operator="lessThan">
      <formula>1</formula>
    </cfRule>
  </conditionalFormatting>
  <conditionalFormatting sqref="T5:T12">
    <cfRule type="cellIs" dxfId="3" priority="6" operator="lessThan">
      <formula>1</formula>
    </cfRule>
  </conditionalFormatting>
  <conditionalFormatting sqref="T16">
    <cfRule type="cellIs" dxfId="2" priority="5" operator="lessThan">
      <formula>1</formula>
    </cfRule>
  </conditionalFormatting>
  <conditionalFormatting sqref="T14">
    <cfRule type="cellIs" dxfId="1" priority="1" operator="lessThan">
      <formula>1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Z1048335"/>
  <sheetViews>
    <sheetView workbookViewId="0">
      <pane xSplit="3" ySplit="1" topLeftCell="D2" activePane="bottomRight" state="frozen"/>
      <selection pane="topRight" activeCell="D1" sqref="D1"/>
      <selection pane="bottomLeft" activeCell="A7" sqref="A7"/>
      <selection pane="bottomRight" activeCell="AK45" activeCellId="1" sqref="BU45 AK45"/>
    </sheetView>
  </sheetViews>
  <sheetFormatPr baseColWidth="10" defaultRowHeight="15" outlineLevelCol="1" x14ac:dyDescent="0.25"/>
  <cols>
    <col min="1" max="2" width="4.28515625" customWidth="1"/>
    <col min="3" max="3" width="54.140625" style="149" bestFit="1" customWidth="1"/>
    <col min="4" max="4" width="6.5703125" customWidth="1" outlineLevel="1"/>
    <col min="5" max="5" width="10" customWidth="1" outlineLevel="1"/>
    <col min="6" max="6" width="8.7109375" customWidth="1" outlineLevel="1"/>
    <col min="7" max="7" width="10.7109375" customWidth="1" outlineLevel="1"/>
    <col min="8" max="8" width="8.7109375" customWidth="1" outlineLevel="1"/>
    <col min="9" max="9" width="11.5703125" customWidth="1" outlineLevel="1"/>
    <col min="10" max="10" width="8.7109375" customWidth="1" outlineLevel="1"/>
    <col min="11" max="11" width="10.85546875" customWidth="1" outlineLevel="1"/>
    <col min="12" max="12" width="8.7109375" customWidth="1" outlineLevel="1"/>
    <col min="13" max="13" width="10.140625" customWidth="1" outlineLevel="1"/>
    <col min="14" max="14" width="8.7109375" customWidth="1" outlineLevel="1"/>
    <col min="15" max="15" width="10.140625" customWidth="1" outlineLevel="1"/>
    <col min="16" max="16" width="8.7109375" customWidth="1" outlineLevel="1"/>
    <col min="17" max="17" width="9.42578125" customWidth="1" outlineLevel="1"/>
    <col min="18" max="18" width="8.7109375" customWidth="1" outlineLevel="1"/>
    <col min="19" max="19" width="10.140625" customWidth="1" outlineLevel="1"/>
    <col min="20" max="20" width="8.7109375" customWidth="1" outlineLevel="1"/>
    <col min="21" max="21" width="10.28515625" customWidth="1" outlineLevel="1"/>
    <col min="22" max="22" width="8.7109375" customWidth="1" outlineLevel="1"/>
    <col min="23" max="23" width="8.5703125" customWidth="1" outlineLevel="1"/>
    <col min="24" max="24" width="8.7109375" customWidth="1" outlineLevel="1"/>
    <col min="25" max="25" width="11" customWidth="1" outlineLevel="1"/>
    <col min="26" max="26" width="8.7109375" customWidth="1" outlineLevel="1"/>
    <col min="27" max="27" width="10.140625" customWidth="1" outlineLevel="1"/>
    <col min="28" max="30" width="8.7109375" customWidth="1" outlineLevel="1"/>
    <col min="31" max="31" width="9.42578125" customWidth="1" outlineLevel="1"/>
    <col min="32" max="32" width="8.7109375" customWidth="1" outlineLevel="1"/>
    <col min="33" max="33" width="9.85546875" customWidth="1" outlineLevel="1"/>
    <col min="34" max="34" width="8.7109375" customWidth="1" outlineLevel="1"/>
    <col min="35" max="35" width="9.5703125" customWidth="1" outlineLevel="1"/>
    <col min="36" max="36" width="15.5703125" customWidth="1"/>
    <col min="37" max="37" width="14" customWidth="1"/>
    <col min="38" max="38" width="8.7109375" customWidth="1" outlineLevel="1"/>
    <col min="39" max="39" width="10.140625" customWidth="1" outlineLevel="1"/>
    <col min="40" max="40" width="8.7109375" customWidth="1" outlineLevel="1"/>
    <col min="41" max="42" width="11.5703125" customWidth="1" outlineLevel="1"/>
    <col min="43" max="43" width="10.140625" customWidth="1" outlineLevel="1"/>
    <col min="44" max="44" width="8.7109375" customWidth="1" outlineLevel="1"/>
    <col min="45" max="45" width="10.5703125" customWidth="1" outlineLevel="1"/>
    <col min="46" max="46" width="8.7109375" customWidth="1" outlineLevel="1"/>
    <col min="47" max="47" width="9.42578125" customWidth="1" outlineLevel="1"/>
    <col min="48" max="48" width="8.7109375" customWidth="1" outlineLevel="1"/>
    <col min="49" max="49" width="10" customWidth="1" outlineLevel="1"/>
    <col min="50" max="50" width="8.7109375" customWidth="1" outlineLevel="1"/>
    <col min="51" max="51" width="10.140625" customWidth="1" outlineLevel="1"/>
    <col min="52" max="52" width="8.7109375" customWidth="1" outlineLevel="1"/>
    <col min="53" max="53" width="10.140625" customWidth="1" outlineLevel="1"/>
    <col min="54" max="54" width="8.7109375" customWidth="1" outlineLevel="1"/>
    <col min="55" max="55" width="10.5703125" customWidth="1" outlineLevel="1"/>
    <col min="56" max="56" width="8.7109375" customWidth="1" outlineLevel="1"/>
    <col min="57" max="57" width="10.85546875" customWidth="1" outlineLevel="1"/>
    <col min="58" max="58" width="8.7109375" customWidth="1" outlineLevel="1"/>
    <col min="59" max="59" width="10" customWidth="1" outlineLevel="1"/>
    <col min="60" max="60" width="8.7109375" customWidth="1" outlineLevel="1"/>
    <col min="61" max="61" width="10.140625" customWidth="1" outlineLevel="1"/>
    <col min="62" max="62" width="8.7109375" customWidth="1" outlineLevel="1"/>
    <col min="63" max="63" width="10.140625" customWidth="1" outlineLevel="1"/>
    <col min="64" max="64" width="8.7109375" style="1" customWidth="1"/>
    <col min="65" max="65" width="10.5703125" style="1" customWidth="1"/>
    <col min="66" max="67" width="10.85546875" style="1" customWidth="1"/>
    <col min="68" max="69" width="10.85546875" style="1" hidden="1" customWidth="1"/>
    <col min="70" max="70" width="8.140625" style="1" hidden="1" customWidth="1"/>
    <col min="71" max="71" width="10.85546875" style="1" hidden="1" customWidth="1"/>
    <col min="72" max="72" width="13.7109375" customWidth="1"/>
    <col min="73" max="73" width="10.7109375" customWidth="1"/>
    <col min="74" max="74" width="11.42578125" customWidth="1"/>
    <col min="75" max="75" width="12.7109375" customWidth="1"/>
    <col min="76" max="76" width="2.42578125" customWidth="1"/>
    <col min="77" max="77" width="12.7109375" customWidth="1"/>
    <col min="78" max="78" width="13.42578125" customWidth="1"/>
    <col min="267" max="267" width="4.28515625" customWidth="1"/>
    <col min="268" max="268" width="37" customWidth="1"/>
    <col min="269" max="298" width="11.42578125" customWidth="1"/>
    <col min="299" max="300" width="11.85546875" customWidth="1"/>
    <col min="301" max="326" width="11.42578125" customWidth="1"/>
    <col min="327" max="327" width="12.7109375" customWidth="1"/>
    <col min="330" max="330" width="8.7109375" customWidth="1"/>
    <col min="523" max="523" width="4.28515625" customWidth="1"/>
    <col min="524" max="524" width="37" customWidth="1"/>
    <col min="525" max="554" width="11.42578125" customWidth="1"/>
    <col min="555" max="556" width="11.85546875" customWidth="1"/>
    <col min="557" max="582" width="11.42578125" customWidth="1"/>
    <col min="583" max="583" width="12.7109375" customWidth="1"/>
    <col min="586" max="586" width="8.7109375" customWidth="1"/>
    <col min="779" max="779" width="4.28515625" customWidth="1"/>
    <col min="780" max="780" width="37" customWidth="1"/>
    <col min="781" max="810" width="11.42578125" customWidth="1"/>
    <col min="811" max="812" width="11.85546875" customWidth="1"/>
    <col min="813" max="838" width="11.42578125" customWidth="1"/>
    <col min="839" max="839" width="12.7109375" customWidth="1"/>
    <col min="842" max="842" width="8.7109375" customWidth="1"/>
    <col min="1035" max="1035" width="4.28515625" customWidth="1"/>
    <col min="1036" max="1036" width="37" customWidth="1"/>
    <col min="1037" max="1066" width="11.42578125" customWidth="1"/>
    <col min="1067" max="1068" width="11.85546875" customWidth="1"/>
    <col min="1069" max="1094" width="11.42578125" customWidth="1"/>
    <col min="1095" max="1095" width="12.7109375" customWidth="1"/>
    <col min="1098" max="1098" width="8.7109375" customWidth="1"/>
    <col min="1291" max="1291" width="4.28515625" customWidth="1"/>
    <col min="1292" max="1292" width="37" customWidth="1"/>
    <col min="1293" max="1322" width="11.42578125" customWidth="1"/>
    <col min="1323" max="1324" width="11.85546875" customWidth="1"/>
    <col min="1325" max="1350" width="11.42578125" customWidth="1"/>
    <col min="1351" max="1351" width="12.7109375" customWidth="1"/>
    <col min="1354" max="1354" width="8.7109375" customWidth="1"/>
    <col min="1547" max="1547" width="4.28515625" customWidth="1"/>
    <col min="1548" max="1548" width="37" customWidth="1"/>
    <col min="1549" max="1578" width="11.42578125" customWidth="1"/>
    <col min="1579" max="1580" width="11.85546875" customWidth="1"/>
    <col min="1581" max="1606" width="11.42578125" customWidth="1"/>
    <col min="1607" max="1607" width="12.7109375" customWidth="1"/>
    <col min="1610" max="1610" width="8.7109375" customWidth="1"/>
    <col min="1803" max="1803" width="4.28515625" customWidth="1"/>
    <col min="1804" max="1804" width="37" customWidth="1"/>
    <col min="1805" max="1834" width="11.42578125" customWidth="1"/>
    <col min="1835" max="1836" width="11.85546875" customWidth="1"/>
    <col min="1837" max="1862" width="11.42578125" customWidth="1"/>
    <col min="1863" max="1863" width="12.7109375" customWidth="1"/>
    <col min="1866" max="1866" width="8.7109375" customWidth="1"/>
    <col min="2059" max="2059" width="4.28515625" customWidth="1"/>
    <col min="2060" max="2060" width="37" customWidth="1"/>
    <col min="2061" max="2090" width="11.42578125" customWidth="1"/>
    <col min="2091" max="2092" width="11.85546875" customWidth="1"/>
    <col min="2093" max="2118" width="11.42578125" customWidth="1"/>
    <col min="2119" max="2119" width="12.7109375" customWidth="1"/>
    <col min="2122" max="2122" width="8.7109375" customWidth="1"/>
    <col min="2315" max="2315" width="4.28515625" customWidth="1"/>
    <col min="2316" max="2316" width="37" customWidth="1"/>
    <col min="2317" max="2346" width="11.42578125" customWidth="1"/>
    <col min="2347" max="2348" width="11.85546875" customWidth="1"/>
    <col min="2349" max="2374" width="11.42578125" customWidth="1"/>
    <col min="2375" max="2375" width="12.7109375" customWidth="1"/>
    <col min="2378" max="2378" width="8.7109375" customWidth="1"/>
    <col min="2571" max="2571" width="4.28515625" customWidth="1"/>
    <col min="2572" max="2572" width="37" customWidth="1"/>
    <col min="2573" max="2602" width="11.42578125" customWidth="1"/>
    <col min="2603" max="2604" width="11.85546875" customWidth="1"/>
    <col min="2605" max="2630" width="11.42578125" customWidth="1"/>
    <col min="2631" max="2631" width="12.7109375" customWidth="1"/>
    <col min="2634" max="2634" width="8.7109375" customWidth="1"/>
    <col min="2827" max="2827" width="4.28515625" customWidth="1"/>
    <col min="2828" max="2828" width="37" customWidth="1"/>
    <col min="2829" max="2858" width="11.42578125" customWidth="1"/>
    <col min="2859" max="2860" width="11.85546875" customWidth="1"/>
    <col min="2861" max="2886" width="11.42578125" customWidth="1"/>
    <col min="2887" max="2887" width="12.7109375" customWidth="1"/>
    <col min="2890" max="2890" width="8.7109375" customWidth="1"/>
    <col min="3083" max="3083" width="4.28515625" customWidth="1"/>
    <col min="3084" max="3084" width="37" customWidth="1"/>
    <col min="3085" max="3114" width="11.42578125" customWidth="1"/>
    <col min="3115" max="3116" width="11.85546875" customWidth="1"/>
    <col min="3117" max="3142" width="11.42578125" customWidth="1"/>
    <col min="3143" max="3143" width="12.7109375" customWidth="1"/>
    <col min="3146" max="3146" width="8.7109375" customWidth="1"/>
    <col min="3339" max="3339" width="4.28515625" customWidth="1"/>
    <col min="3340" max="3340" width="37" customWidth="1"/>
    <col min="3341" max="3370" width="11.42578125" customWidth="1"/>
    <col min="3371" max="3372" width="11.85546875" customWidth="1"/>
    <col min="3373" max="3398" width="11.42578125" customWidth="1"/>
    <col min="3399" max="3399" width="12.7109375" customWidth="1"/>
    <col min="3402" max="3402" width="8.7109375" customWidth="1"/>
    <col min="3595" max="3595" width="4.28515625" customWidth="1"/>
    <col min="3596" max="3596" width="37" customWidth="1"/>
    <col min="3597" max="3626" width="11.42578125" customWidth="1"/>
    <col min="3627" max="3628" width="11.85546875" customWidth="1"/>
    <col min="3629" max="3654" width="11.42578125" customWidth="1"/>
    <col min="3655" max="3655" width="12.7109375" customWidth="1"/>
    <col min="3658" max="3658" width="8.7109375" customWidth="1"/>
    <col min="3851" max="3851" width="4.28515625" customWidth="1"/>
    <col min="3852" max="3852" width="37" customWidth="1"/>
    <col min="3853" max="3882" width="11.42578125" customWidth="1"/>
    <col min="3883" max="3884" width="11.85546875" customWidth="1"/>
    <col min="3885" max="3910" width="11.42578125" customWidth="1"/>
    <col min="3911" max="3911" width="12.7109375" customWidth="1"/>
    <col min="3914" max="3914" width="8.7109375" customWidth="1"/>
    <col min="4107" max="4107" width="4.28515625" customWidth="1"/>
    <col min="4108" max="4108" width="37" customWidth="1"/>
    <col min="4109" max="4138" width="11.42578125" customWidth="1"/>
    <col min="4139" max="4140" width="11.85546875" customWidth="1"/>
    <col min="4141" max="4166" width="11.42578125" customWidth="1"/>
    <col min="4167" max="4167" width="12.7109375" customWidth="1"/>
    <col min="4170" max="4170" width="8.7109375" customWidth="1"/>
    <col min="4363" max="4363" width="4.28515625" customWidth="1"/>
    <col min="4364" max="4364" width="37" customWidth="1"/>
    <col min="4365" max="4394" width="11.42578125" customWidth="1"/>
    <col min="4395" max="4396" width="11.85546875" customWidth="1"/>
    <col min="4397" max="4422" width="11.42578125" customWidth="1"/>
    <col min="4423" max="4423" width="12.7109375" customWidth="1"/>
    <col min="4426" max="4426" width="8.7109375" customWidth="1"/>
    <col min="4619" max="4619" width="4.28515625" customWidth="1"/>
    <col min="4620" max="4620" width="37" customWidth="1"/>
    <col min="4621" max="4650" width="11.42578125" customWidth="1"/>
    <col min="4651" max="4652" width="11.85546875" customWidth="1"/>
    <col min="4653" max="4678" width="11.42578125" customWidth="1"/>
    <col min="4679" max="4679" width="12.7109375" customWidth="1"/>
    <col min="4682" max="4682" width="8.7109375" customWidth="1"/>
    <col min="4875" max="4875" width="4.28515625" customWidth="1"/>
    <col min="4876" max="4876" width="37" customWidth="1"/>
    <col min="4877" max="4906" width="11.42578125" customWidth="1"/>
    <col min="4907" max="4908" width="11.85546875" customWidth="1"/>
    <col min="4909" max="4934" width="11.42578125" customWidth="1"/>
    <col min="4935" max="4935" width="12.7109375" customWidth="1"/>
    <col min="4938" max="4938" width="8.7109375" customWidth="1"/>
    <col min="5131" max="5131" width="4.28515625" customWidth="1"/>
    <col min="5132" max="5132" width="37" customWidth="1"/>
    <col min="5133" max="5162" width="11.42578125" customWidth="1"/>
    <col min="5163" max="5164" width="11.85546875" customWidth="1"/>
    <col min="5165" max="5190" width="11.42578125" customWidth="1"/>
    <col min="5191" max="5191" width="12.7109375" customWidth="1"/>
    <col min="5194" max="5194" width="8.7109375" customWidth="1"/>
    <col min="5387" max="5387" width="4.28515625" customWidth="1"/>
    <col min="5388" max="5388" width="37" customWidth="1"/>
    <col min="5389" max="5418" width="11.42578125" customWidth="1"/>
    <col min="5419" max="5420" width="11.85546875" customWidth="1"/>
    <col min="5421" max="5446" width="11.42578125" customWidth="1"/>
    <col min="5447" max="5447" width="12.7109375" customWidth="1"/>
    <col min="5450" max="5450" width="8.7109375" customWidth="1"/>
    <col min="5643" max="5643" width="4.28515625" customWidth="1"/>
    <col min="5644" max="5644" width="37" customWidth="1"/>
    <col min="5645" max="5674" width="11.42578125" customWidth="1"/>
    <col min="5675" max="5676" width="11.85546875" customWidth="1"/>
    <col min="5677" max="5702" width="11.42578125" customWidth="1"/>
    <col min="5703" max="5703" width="12.7109375" customWidth="1"/>
    <col min="5706" max="5706" width="8.7109375" customWidth="1"/>
    <col min="5899" max="5899" width="4.28515625" customWidth="1"/>
    <col min="5900" max="5900" width="37" customWidth="1"/>
    <col min="5901" max="5930" width="11.42578125" customWidth="1"/>
    <col min="5931" max="5932" width="11.85546875" customWidth="1"/>
    <col min="5933" max="5958" width="11.42578125" customWidth="1"/>
    <col min="5959" max="5959" width="12.7109375" customWidth="1"/>
    <col min="5962" max="5962" width="8.7109375" customWidth="1"/>
    <col min="6155" max="6155" width="4.28515625" customWidth="1"/>
    <col min="6156" max="6156" width="37" customWidth="1"/>
    <col min="6157" max="6186" width="11.42578125" customWidth="1"/>
    <col min="6187" max="6188" width="11.85546875" customWidth="1"/>
    <col min="6189" max="6214" width="11.42578125" customWidth="1"/>
    <col min="6215" max="6215" width="12.7109375" customWidth="1"/>
    <col min="6218" max="6218" width="8.7109375" customWidth="1"/>
    <col min="6411" max="6411" width="4.28515625" customWidth="1"/>
    <col min="6412" max="6412" width="37" customWidth="1"/>
    <col min="6413" max="6442" width="11.42578125" customWidth="1"/>
    <col min="6443" max="6444" width="11.85546875" customWidth="1"/>
    <col min="6445" max="6470" width="11.42578125" customWidth="1"/>
    <col min="6471" max="6471" width="12.7109375" customWidth="1"/>
    <col min="6474" max="6474" width="8.7109375" customWidth="1"/>
    <col min="6667" max="6667" width="4.28515625" customWidth="1"/>
    <col min="6668" max="6668" width="37" customWidth="1"/>
    <col min="6669" max="6698" width="11.42578125" customWidth="1"/>
    <col min="6699" max="6700" width="11.85546875" customWidth="1"/>
    <col min="6701" max="6726" width="11.42578125" customWidth="1"/>
    <col min="6727" max="6727" width="12.7109375" customWidth="1"/>
    <col min="6730" max="6730" width="8.7109375" customWidth="1"/>
    <col min="6923" max="6923" width="4.28515625" customWidth="1"/>
    <col min="6924" max="6924" width="37" customWidth="1"/>
    <col min="6925" max="6954" width="11.42578125" customWidth="1"/>
    <col min="6955" max="6956" width="11.85546875" customWidth="1"/>
    <col min="6957" max="6982" width="11.42578125" customWidth="1"/>
    <col min="6983" max="6983" width="12.7109375" customWidth="1"/>
    <col min="6986" max="6986" width="8.7109375" customWidth="1"/>
    <col min="7179" max="7179" width="4.28515625" customWidth="1"/>
    <col min="7180" max="7180" width="37" customWidth="1"/>
    <col min="7181" max="7210" width="11.42578125" customWidth="1"/>
    <col min="7211" max="7212" width="11.85546875" customWidth="1"/>
    <col min="7213" max="7238" width="11.42578125" customWidth="1"/>
    <col min="7239" max="7239" width="12.7109375" customWidth="1"/>
    <col min="7242" max="7242" width="8.7109375" customWidth="1"/>
    <col min="7435" max="7435" width="4.28515625" customWidth="1"/>
    <col min="7436" max="7436" width="37" customWidth="1"/>
    <col min="7437" max="7466" width="11.42578125" customWidth="1"/>
    <col min="7467" max="7468" width="11.85546875" customWidth="1"/>
    <col min="7469" max="7494" width="11.42578125" customWidth="1"/>
    <col min="7495" max="7495" width="12.7109375" customWidth="1"/>
    <col min="7498" max="7498" width="8.7109375" customWidth="1"/>
    <col min="7691" max="7691" width="4.28515625" customWidth="1"/>
    <col min="7692" max="7692" width="37" customWidth="1"/>
    <col min="7693" max="7722" width="11.42578125" customWidth="1"/>
    <col min="7723" max="7724" width="11.85546875" customWidth="1"/>
    <col min="7725" max="7750" width="11.42578125" customWidth="1"/>
    <col min="7751" max="7751" width="12.7109375" customWidth="1"/>
    <col min="7754" max="7754" width="8.7109375" customWidth="1"/>
    <col min="7947" max="7947" width="4.28515625" customWidth="1"/>
    <col min="7948" max="7948" width="37" customWidth="1"/>
    <col min="7949" max="7978" width="11.42578125" customWidth="1"/>
    <col min="7979" max="7980" width="11.85546875" customWidth="1"/>
    <col min="7981" max="8006" width="11.42578125" customWidth="1"/>
    <col min="8007" max="8007" width="12.7109375" customWidth="1"/>
    <col min="8010" max="8010" width="8.7109375" customWidth="1"/>
    <col min="8203" max="8203" width="4.28515625" customWidth="1"/>
    <col min="8204" max="8204" width="37" customWidth="1"/>
    <col min="8205" max="8234" width="11.42578125" customWidth="1"/>
    <col min="8235" max="8236" width="11.85546875" customWidth="1"/>
    <col min="8237" max="8262" width="11.42578125" customWidth="1"/>
    <col min="8263" max="8263" width="12.7109375" customWidth="1"/>
    <col min="8266" max="8266" width="8.7109375" customWidth="1"/>
    <col min="8459" max="8459" width="4.28515625" customWidth="1"/>
    <col min="8460" max="8460" width="37" customWidth="1"/>
    <col min="8461" max="8490" width="11.42578125" customWidth="1"/>
    <col min="8491" max="8492" width="11.85546875" customWidth="1"/>
    <col min="8493" max="8518" width="11.42578125" customWidth="1"/>
    <col min="8519" max="8519" width="12.7109375" customWidth="1"/>
    <col min="8522" max="8522" width="8.7109375" customWidth="1"/>
    <col min="8715" max="8715" width="4.28515625" customWidth="1"/>
    <col min="8716" max="8716" width="37" customWidth="1"/>
    <col min="8717" max="8746" width="11.42578125" customWidth="1"/>
    <col min="8747" max="8748" width="11.85546875" customWidth="1"/>
    <col min="8749" max="8774" width="11.42578125" customWidth="1"/>
    <col min="8775" max="8775" width="12.7109375" customWidth="1"/>
    <col min="8778" max="8778" width="8.7109375" customWidth="1"/>
    <col min="8971" max="8971" width="4.28515625" customWidth="1"/>
    <col min="8972" max="8972" width="37" customWidth="1"/>
    <col min="8973" max="9002" width="11.42578125" customWidth="1"/>
    <col min="9003" max="9004" width="11.85546875" customWidth="1"/>
    <col min="9005" max="9030" width="11.42578125" customWidth="1"/>
    <col min="9031" max="9031" width="12.7109375" customWidth="1"/>
    <col min="9034" max="9034" width="8.7109375" customWidth="1"/>
    <col min="9227" max="9227" width="4.28515625" customWidth="1"/>
    <col min="9228" max="9228" width="37" customWidth="1"/>
    <col min="9229" max="9258" width="11.42578125" customWidth="1"/>
    <col min="9259" max="9260" width="11.85546875" customWidth="1"/>
    <col min="9261" max="9286" width="11.42578125" customWidth="1"/>
    <col min="9287" max="9287" width="12.7109375" customWidth="1"/>
    <col min="9290" max="9290" width="8.7109375" customWidth="1"/>
    <col min="9483" max="9483" width="4.28515625" customWidth="1"/>
    <col min="9484" max="9484" width="37" customWidth="1"/>
    <col min="9485" max="9514" width="11.42578125" customWidth="1"/>
    <col min="9515" max="9516" width="11.85546875" customWidth="1"/>
    <col min="9517" max="9542" width="11.42578125" customWidth="1"/>
    <col min="9543" max="9543" width="12.7109375" customWidth="1"/>
    <col min="9546" max="9546" width="8.7109375" customWidth="1"/>
    <col min="9739" max="9739" width="4.28515625" customWidth="1"/>
    <col min="9740" max="9740" width="37" customWidth="1"/>
    <col min="9741" max="9770" width="11.42578125" customWidth="1"/>
    <col min="9771" max="9772" width="11.85546875" customWidth="1"/>
    <col min="9773" max="9798" width="11.42578125" customWidth="1"/>
    <col min="9799" max="9799" width="12.7109375" customWidth="1"/>
    <col min="9802" max="9802" width="8.7109375" customWidth="1"/>
    <col min="9995" max="9995" width="4.28515625" customWidth="1"/>
    <col min="9996" max="9996" width="37" customWidth="1"/>
    <col min="9997" max="10026" width="11.42578125" customWidth="1"/>
    <col min="10027" max="10028" width="11.85546875" customWidth="1"/>
    <col min="10029" max="10054" width="11.42578125" customWidth="1"/>
    <col min="10055" max="10055" width="12.7109375" customWidth="1"/>
    <col min="10058" max="10058" width="8.7109375" customWidth="1"/>
    <col min="10251" max="10251" width="4.28515625" customWidth="1"/>
    <col min="10252" max="10252" width="37" customWidth="1"/>
    <col min="10253" max="10282" width="11.42578125" customWidth="1"/>
    <col min="10283" max="10284" width="11.85546875" customWidth="1"/>
    <col min="10285" max="10310" width="11.42578125" customWidth="1"/>
    <col min="10311" max="10311" width="12.7109375" customWidth="1"/>
    <col min="10314" max="10314" width="8.7109375" customWidth="1"/>
    <col min="10507" max="10507" width="4.28515625" customWidth="1"/>
    <col min="10508" max="10508" width="37" customWidth="1"/>
    <col min="10509" max="10538" width="11.42578125" customWidth="1"/>
    <col min="10539" max="10540" width="11.85546875" customWidth="1"/>
    <col min="10541" max="10566" width="11.42578125" customWidth="1"/>
    <col min="10567" max="10567" width="12.7109375" customWidth="1"/>
    <col min="10570" max="10570" width="8.7109375" customWidth="1"/>
    <col min="10763" max="10763" width="4.28515625" customWidth="1"/>
    <col min="10764" max="10764" width="37" customWidth="1"/>
    <col min="10765" max="10794" width="11.42578125" customWidth="1"/>
    <col min="10795" max="10796" width="11.85546875" customWidth="1"/>
    <col min="10797" max="10822" width="11.42578125" customWidth="1"/>
    <col min="10823" max="10823" width="12.7109375" customWidth="1"/>
    <col min="10826" max="10826" width="8.7109375" customWidth="1"/>
    <col min="11019" max="11019" width="4.28515625" customWidth="1"/>
    <col min="11020" max="11020" width="37" customWidth="1"/>
    <col min="11021" max="11050" width="11.42578125" customWidth="1"/>
    <col min="11051" max="11052" width="11.85546875" customWidth="1"/>
    <col min="11053" max="11078" width="11.42578125" customWidth="1"/>
    <col min="11079" max="11079" width="12.7109375" customWidth="1"/>
    <col min="11082" max="11082" width="8.7109375" customWidth="1"/>
    <col min="11275" max="11275" width="4.28515625" customWidth="1"/>
    <col min="11276" max="11276" width="37" customWidth="1"/>
    <col min="11277" max="11306" width="11.42578125" customWidth="1"/>
    <col min="11307" max="11308" width="11.85546875" customWidth="1"/>
    <col min="11309" max="11334" width="11.42578125" customWidth="1"/>
    <col min="11335" max="11335" width="12.7109375" customWidth="1"/>
    <col min="11338" max="11338" width="8.7109375" customWidth="1"/>
    <col min="11531" max="11531" width="4.28515625" customWidth="1"/>
    <col min="11532" max="11532" width="37" customWidth="1"/>
    <col min="11533" max="11562" width="11.42578125" customWidth="1"/>
    <col min="11563" max="11564" width="11.85546875" customWidth="1"/>
    <col min="11565" max="11590" width="11.42578125" customWidth="1"/>
    <col min="11591" max="11591" width="12.7109375" customWidth="1"/>
    <col min="11594" max="11594" width="8.7109375" customWidth="1"/>
    <col min="11787" max="11787" width="4.28515625" customWidth="1"/>
    <col min="11788" max="11788" width="37" customWidth="1"/>
    <col min="11789" max="11818" width="11.42578125" customWidth="1"/>
    <col min="11819" max="11820" width="11.85546875" customWidth="1"/>
    <col min="11821" max="11846" width="11.42578125" customWidth="1"/>
    <col min="11847" max="11847" width="12.7109375" customWidth="1"/>
    <col min="11850" max="11850" width="8.7109375" customWidth="1"/>
    <col min="12043" max="12043" width="4.28515625" customWidth="1"/>
    <col min="12044" max="12044" width="37" customWidth="1"/>
    <col min="12045" max="12074" width="11.42578125" customWidth="1"/>
    <col min="12075" max="12076" width="11.85546875" customWidth="1"/>
    <col min="12077" max="12102" width="11.42578125" customWidth="1"/>
    <col min="12103" max="12103" width="12.7109375" customWidth="1"/>
    <col min="12106" max="12106" width="8.7109375" customWidth="1"/>
    <col min="12299" max="12299" width="4.28515625" customWidth="1"/>
    <col min="12300" max="12300" width="37" customWidth="1"/>
    <col min="12301" max="12330" width="11.42578125" customWidth="1"/>
    <col min="12331" max="12332" width="11.85546875" customWidth="1"/>
    <col min="12333" max="12358" width="11.42578125" customWidth="1"/>
    <col min="12359" max="12359" width="12.7109375" customWidth="1"/>
    <col min="12362" max="12362" width="8.7109375" customWidth="1"/>
    <col min="12555" max="12555" width="4.28515625" customWidth="1"/>
    <col min="12556" max="12556" width="37" customWidth="1"/>
    <col min="12557" max="12586" width="11.42578125" customWidth="1"/>
    <col min="12587" max="12588" width="11.85546875" customWidth="1"/>
    <col min="12589" max="12614" width="11.42578125" customWidth="1"/>
    <col min="12615" max="12615" width="12.7109375" customWidth="1"/>
    <col min="12618" max="12618" width="8.7109375" customWidth="1"/>
    <col min="12811" max="12811" width="4.28515625" customWidth="1"/>
    <col min="12812" max="12812" width="37" customWidth="1"/>
    <col min="12813" max="12842" width="11.42578125" customWidth="1"/>
    <col min="12843" max="12844" width="11.85546875" customWidth="1"/>
    <col min="12845" max="12870" width="11.42578125" customWidth="1"/>
    <col min="12871" max="12871" width="12.7109375" customWidth="1"/>
    <col min="12874" max="12874" width="8.7109375" customWidth="1"/>
    <col min="13067" max="13067" width="4.28515625" customWidth="1"/>
    <col min="13068" max="13068" width="37" customWidth="1"/>
    <col min="13069" max="13098" width="11.42578125" customWidth="1"/>
    <col min="13099" max="13100" width="11.85546875" customWidth="1"/>
    <col min="13101" max="13126" width="11.42578125" customWidth="1"/>
    <col min="13127" max="13127" width="12.7109375" customWidth="1"/>
    <col min="13130" max="13130" width="8.7109375" customWidth="1"/>
    <col min="13323" max="13323" width="4.28515625" customWidth="1"/>
    <col min="13324" max="13324" width="37" customWidth="1"/>
    <col min="13325" max="13354" width="11.42578125" customWidth="1"/>
    <col min="13355" max="13356" width="11.85546875" customWidth="1"/>
    <col min="13357" max="13382" width="11.42578125" customWidth="1"/>
    <col min="13383" max="13383" width="12.7109375" customWidth="1"/>
    <col min="13386" max="13386" width="8.7109375" customWidth="1"/>
    <col min="13579" max="13579" width="4.28515625" customWidth="1"/>
    <col min="13580" max="13580" width="37" customWidth="1"/>
    <col min="13581" max="13610" width="11.42578125" customWidth="1"/>
    <col min="13611" max="13612" width="11.85546875" customWidth="1"/>
    <col min="13613" max="13638" width="11.42578125" customWidth="1"/>
    <col min="13639" max="13639" width="12.7109375" customWidth="1"/>
    <col min="13642" max="13642" width="8.7109375" customWidth="1"/>
    <col min="13835" max="13835" width="4.28515625" customWidth="1"/>
    <col min="13836" max="13836" width="37" customWidth="1"/>
    <col min="13837" max="13866" width="11.42578125" customWidth="1"/>
    <col min="13867" max="13868" width="11.85546875" customWidth="1"/>
    <col min="13869" max="13894" width="11.42578125" customWidth="1"/>
    <col min="13895" max="13895" width="12.7109375" customWidth="1"/>
    <col min="13898" max="13898" width="8.7109375" customWidth="1"/>
    <col min="14091" max="14091" width="4.28515625" customWidth="1"/>
    <col min="14092" max="14092" width="37" customWidth="1"/>
    <col min="14093" max="14122" width="11.42578125" customWidth="1"/>
    <col min="14123" max="14124" width="11.85546875" customWidth="1"/>
    <col min="14125" max="14150" width="11.42578125" customWidth="1"/>
    <col min="14151" max="14151" width="12.7109375" customWidth="1"/>
    <col min="14154" max="14154" width="8.7109375" customWidth="1"/>
    <col min="14347" max="14347" width="4.28515625" customWidth="1"/>
    <col min="14348" max="14348" width="37" customWidth="1"/>
    <col min="14349" max="14378" width="11.42578125" customWidth="1"/>
    <col min="14379" max="14380" width="11.85546875" customWidth="1"/>
    <col min="14381" max="14406" width="11.42578125" customWidth="1"/>
    <col min="14407" max="14407" width="12.7109375" customWidth="1"/>
    <col min="14410" max="14410" width="8.7109375" customWidth="1"/>
    <col min="14603" max="14603" width="4.28515625" customWidth="1"/>
    <col min="14604" max="14604" width="37" customWidth="1"/>
    <col min="14605" max="14634" width="11.42578125" customWidth="1"/>
    <col min="14635" max="14636" width="11.85546875" customWidth="1"/>
    <col min="14637" max="14662" width="11.42578125" customWidth="1"/>
    <col min="14663" max="14663" width="12.7109375" customWidth="1"/>
    <col min="14666" max="14666" width="8.7109375" customWidth="1"/>
    <col min="14859" max="14859" width="4.28515625" customWidth="1"/>
    <col min="14860" max="14860" width="37" customWidth="1"/>
    <col min="14861" max="14890" width="11.42578125" customWidth="1"/>
    <col min="14891" max="14892" width="11.85546875" customWidth="1"/>
    <col min="14893" max="14918" width="11.42578125" customWidth="1"/>
    <col min="14919" max="14919" width="12.7109375" customWidth="1"/>
    <col min="14922" max="14922" width="8.7109375" customWidth="1"/>
    <col min="15115" max="15115" width="4.28515625" customWidth="1"/>
    <col min="15116" max="15116" width="37" customWidth="1"/>
    <col min="15117" max="15146" width="11.42578125" customWidth="1"/>
    <col min="15147" max="15148" width="11.85546875" customWidth="1"/>
    <col min="15149" max="15174" width="11.42578125" customWidth="1"/>
    <col min="15175" max="15175" width="12.7109375" customWidth="1"/>
    <col min="15178" max="15178" width="8.7109375" customWidth="1"/>
    <col min="15371" max="15371" width="4.28515625" customWidth="1"/>
    <col min="15372" max="15372" width="37" customWidth="1"/>
    <col min="15373" max="15402" width="11.42578125" customWidth="1"/>
    <col min="15403" max="15404" width="11.85546875" customWidth="1"/>
    <col min="15405" max="15430" width="11.42578125" customWidth="1"/>
    <col min="15431" max="15431" width="12.7109375" customWidth="1"/>
    <col min="15434" max="15434" width="8.7109375" customWidth="1"/>
    <col min="15627" max="15627" width="4.28515625" customWidth="1"/>
    <col min="15628" max="15628" width="37" customWidth="1"/>
    <col min="15629" max="15658" width="11.42578125" customWidth="1"/>
    <col min="15659" max="15660" width="11.85546875" customWidth="1"/>
    <col min="15661" max="15686" width="11.42578125" customWidth="1"/>
    <col min="15687" max="15687" width="12.7109375" customWidth="1"/>
    <col min="15690" max="15690" width="8.7109375" customWidth="1"/>
    <col min="15883" max="15883" width="4.28515625" customWidth="1"/>
    <col min="15884" max="15884" width="37" customWidth="1"/>
    <col min="15885" max="15914" width="11.42578125" customWidth="1"/>
    <col min="15915" max="15916" width="11.85546875" customWidth="1"/>
    <col min="15917" max="15942" width="11.42578125" customWidth="1"/>
    <col min="15943" max="15943" width="12.7109375" customWidth="1"/>
    <col min="15946" max="15946" width="8.7109375" customWidth="1"/>
    <col min="16139" max="16139" width="4.28515625" customWidth="1"/>
    <col min="16140" max="16140" width="37" customWidth="1"/>
    <col min="16141" max="16170" width="11.42578125" customWidth="1"/>
    <col min="16171" max="16172" width="11.85546875" customWidth="1"/>
    <col min="16173" max="16198" width="11.42578125" customWidth="1"/>
    <col min="16199" max="16199" width="12.7109375" customWidth="1"/>
    <col min="16202" max="16202" width="8.7109375" customWidth="1"/>
  </cols>
  <sheetData>
    <row r="1" spans="1:78" ht="18" customHeight="1" x14ac:dyDescent="0.25">
      <c r="AH1" t="s">
        <v>439</v>
      </c>
      <c r="AP1" t="s">
        <v>440</v>
      </c>
    </row>
    <row r="2" spans="1:78" ht="12.75" customHeight="1" x14ac:dyDescent="0.25">
      <c r="A2" s="1451" t="s">
        <v>294</v>
      </c>
      <c r="B2" s="1452"/>
      <c r="C2" s="1453"/>
      <c r="D2" s="236"/>
      <c r="E2" s="237"/>
      <c r="F2" s="237"/>
      <c r="G2" s="237"/>
      <c r="H2" s="237"/>
      <c r="I2" s="237"/>
      <c r="J2" s="238"/>
      <c r="K2" s="238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8"/>
      <c r="Y2" s="238"/>
      <c r="Z2" s="237"/>
      <c r="AA2" s="237"/>
      <c r="AB2" s="237"/>
      <c r="AC2" s="237"/>
      <c r="AD2" s="237"/>
      <c r="AE2" s="237"/>
      <c r="AF2" s="237"/>
      <c r="AG2" s="237"/>
      <c r="AH2" s="238"/>
      <c r="AI2" s="238"/>
      <c r="AJ2" s="237"/>
      <c r="AK2" s="239"/>
      <c r="AL2" s="1457"/>
      <c r="AM2" s="1458"/>
      <c r="AN2" s="1458"/>
      <c r="AO2" s="1458"/>
      <c r="AP2" s="1458"/>
      <c r="AQ2" s="1458"/>
      <c r="AR2" s="1458"/>
      <c r="AS2" s="1458"/>
      <c r="AT2" s="1458"/>
      <c r="AU2" s="1458"/>
      <c r="AV2" s="1458"/>
      <c r="AW2" s="1458"/>
      <c r="AX2" s="1458"/>
      <c r="AY2" s="1458"/>
      <c r="AZ2" s="1458"/>
      <c r="BA2" s="1458"/>
      <c r="BB2" s="1458"/>
      <c r="BC2" s="1458"/>
      <c r="BD2" s="1458"/>
      <c r="BE2" s="1458"/>
      <c r="BF2" s="1458"/>
      <c r="BG2" s="1458"/>
      <c r="BH2" s="1458"/>
      <c r="BI2" s="1458"/>
      <c r="BJ2" s="1458"/>
      <c r="BK2" s="1458"/>
      <c r="BL2" s="1458"/>
      <c r="BM2" s="1458"/>
      <c r="BN2" s="1458"/>
      <c r="BO2" s="1458"/>
      <c r="BP2" s="1458"/>
      <c r="BQ2" s="1458"/>
      <c r="BR2" s="1458"/>
      <c r="BS2" s="1458"/>
      <c r="BT2" s="1458"/>
    </row>
    <row r="3" spans="1:78" ht="15" customHeight="1" x14ac:dyDescent="0.25">
      <c r="A3" s="1454"/>
      <c r="B3" s="1455"/>
      <c r="C3" s="1456"/>
      <c r="D3" s="240"/>
      <c r="E3" s="1459" t="s">
        <v>406</v>
      </c>
      <c r="F3" s="1459"/>
      <c r="G3" s="1459"/>
      <c r="H3" s="1459"/>
      <c r="I3" s="1459"/>
      <c r="J3" s="1459"/>
      <c r="K3" s="1459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352"/>
      <c r="Y3" s="352"/>
      <c r="Z3" s="241"/>
      <c r="AA3" s="241"/>
      <c r="AB3" s="241"/>
      <c r="AC3" s="241"/>
      <c r="AD3" s="241"/>
      <c r="AE3" s="241"/>
      <c r="AF3" s="241"/>
      <c r="AG3" s="241"/>
      <c r="AH3" s="352"/>
      <c r="AI3" s="352"/>
      <c r="AJ3" s="241"/>
      <c r="AK3" s="242"/>
      <c r="AL3" s="1457"/>
      <c r="AM3" s="1458"/>
      <c r="AN3" s="1458"/>
      <c r="AO3" s="1458"/>
      <c r="AP3" s="1458"/>
      <c r="AQ3" s="1458"/>
      <c r="AR3" s="1458"/>
      <c r="AS3" s="1458"/>
      <c r="AT3" s="1458"/>
      <c r="AU3" s="1458"/>
      <c r="AV3" s="1458"/>
      <c r="AW3" s="1458"/>
      <c r="AX3" s="1458"/>
      <c r="AY3" s="1458"/>
      <c r="AZ3" s="1458"/>
      <c r="BA3" s="1458"/>
      <c r="BB3" s="1458"/>
      <c r="BC3" s="1458"/>
      <c r="BD3" s="1458"/>
      <c r="BE3" s="1458"/>
      <c r="BF3" s="1458"/>
      <c r="BG3" s="1458"/>
      <c r="BH3" s="1458"/>
      <c r="BI3" s="1458"/>
      <c r="BJ3" s="1458"/>
      <c r="BK3" s="1458"/>
      <c r="BL3" s="1458"/>
      <c r="BM3" s="1458"/>
      <c r="BN3" s="1458"/>
      <c r="BO3" s="1458"/>
      <c r="BP3" s="1458"/>
      <c r="BQ3" s="1458"/>
      <c r="BR3" s="1458"/>
      <c r="BS3" s="1458"/>
      <c r="BT3" s="1458"/>
    </row>
    <row r="4" spans="1:78" ht="18" x14ac:dyDescent="0.25">
      <c r="A4" s="243" t="s">
        <v>295</v>
      </c>
      <c r="B4" s="243"/>
      <c r="C4" s="244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</row>
    <row r="5" spans="1:78" ht="16.5" customHeight="1" thickBot="1" x14ac:dyDescent="0.3">
      <c r="A5" s="243" t="s">
        <v>296</v>
      </c>
      <c r="B5" s="243"/>
      <c r="C5" s="244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  <c r="BA5" s="245"/>
      <c r="BB5" s="245"/>
      <c r="BC5" s="245"/>
      <c r="BD5" s="245"/>
      <c r="BE5" s="245"/>
      <c r="BF5" s="245"/>
      <c r="BG5" s="245"/>
      <c r="BH5" s="245"/>
      <c r="BI5" s="245"/>
      <c r="BJ5" s="245"/>
      <c r="BK5" s="245"/>
      <c r="BL5" s="245"/>
      <c r="BM5" s="245"/>
      <c r="BN5" s="245"/>
      <c r="BO5" s="245"/>
      <c r="BP5" s="245"/>
      <c r="BQ5" s="245"/>
      <c r="BR5" s="245"/>
      <c r="BS5" s="245"/>
      <c r="BT5" s="1"/>
      <c r="BU5" s="1"/>
      <c r="BW5" s="1460" t="s">
        <v>297</v>
      </c>
      <c r="BY5" s="1469" t="s">
        <v>298</v>
      </c>
    </row>
    <row r="6" spans="1:78" ht="15.75" customHeight="1" x14ac:dyDescent="0.25">
      <c r="A6" s="1470" t="s">
        <v>299</v>
      </c>
      <c r="B6" s="1472" t="s">
        <v>300</v>
      </c>
      <c r="C6" s="1474" t="s">
        <v>250</v>
      </c>
      <c r="D6" s="1467" t="s">
        <v>407</v>
      </c>
      <c r="E6" s="1468"/>
      <c r="F6" s="1467" t="s">
        <v>408</v>
      </c>
      <c r="G6" s="1468"/>
      <c r="H6" s="1467" t="s">
        <v>409</v>
      </c>
      <c r="I6" s="1468"/>
      <c r="J6" s="1467" t="s">
        <v>410</v>
      </c>
      <c r="K6" s="1468"/>
      <c r="L6" s="1449" t="s">
        <v>411</v>
      </c>
      <c r="M6" s="1450"/>
      <c r="N6" s="1449" t="s">
        <v>412</v>
      </c>
      <c r="O6" s="1450"/>
      <c r="P6" s="1449" t="s">
        <v>413</v>
      </c>
      <c r="Q6" s="1450"/>
      <c r="R6" s="1449" t="s">
        <v>414</v>
      </c>
      <c r="S6" s="1450"/>
      <c r="T6" s="1449" t="s">
        <v>415</v>
      </c>
      <c r="U6" s="1450"/>
      <c r="V6" s="1449" t="s">
        <v>416</v>
      </c>
      <c r="W6" s="1450"/>
      <c r="X6" s="1449" t="s">
        <v>417</v>
      </c>
      <c r="Y6" s="1450"/>
      <c r="Z6" s="1449" t="s">
        <v>418</v>
      </c>
      <c r="AA6" s="1450"/>
      <c r="AB6" s="1449" t="s">
        <v>419</v>
      </c>
      <c r="AC6" s="1450"/>
      <c r="AD6" s="1449" t="s">
        <v>420</v>
      </c>
      <c r="AE6" s="1450"/>
      <c r="AF6" s="1449" t="s">
        <v>421</v>
      </c>
      <c r="AG6" s="1450"/>
      <c r="AH6" s="1449" t="s">
        <v>422</v>
      </c>
      <c r="AI6" s="1450"/>
      <c r="AJ6" s="1461" t="s">
        <v>256</v>
      </c>
      <c r="AK6" s="1463" t="s">
        <v>301</v>
      </c>
      <c r="AL6" s="1449" t="s">
        <v>423</v>
      </c>
      <c r="AM6" s="1450"/>
      <c r="AN6" s="1449" t="s">
        <v>424</v>
      </c>
      <c r="AO6" s="1450"/>
      <c r="AP6" s="1449" t="s">
        <v>425</v>
      </c>
      <c r="AQ6" s="1450"/>
      <c r="AR6" s="1467" t="s">
        <v>426</v>
      </c>
      <c r="AS6" s="1468"/>
      <c r="AT6" s="1467" t="s">
        <v>427</v>
      </c>
      <c r="AU6" s="1468"/>
      <c r="AV6" s="1467" t="s">
        <v>428</v>
      </c>
      <c r="AW6" s="1468"/>
      <c r="AX6" s="1467" t="s">
        <v>429</v>
      </c>
      <c r="AY6" s="1468"/>
      <c r="AZ6" s="1467" t="s">
        <v>430</v>
      </c>
      <c r="BA6" s="1468"/>
      <c r="BB6" s="1467" t="s">
        <v>431</v>
      </c>
      <c r="BC6" s="1468"/>
      <c r="BD6" s="1467" t="s">
        <v>432</v>
      </c>
      <c r="BE6" s="1468"/>
      <c r="BF6" s="1467" t="s">
        <v>433</v>
      </c>
      <c r="BG6" s="1468"/>
      <c r="BH6" s="1467" t="s">
        <v>434</v>
      </c>
      <c r="BI6" s="1468"/>
      <c r="BJ6" s="1467" t="s">
        <v>435</v>
      </c>
      <c r="BK6" s="1468"/>
      <c r="BL6" s="1467" t="s">
        <v>436</v>
      </c>
      <c r="BM6" s="1468"/>
      <c r="BN6" s="1467" t="s">
        <v>437</v>
      </c>
      <c r="BO6" s="1468"/>
      <c r="BP6" s="1467"/>
      <c r="BQ6" s="1468"/>
      <c r="BR6" s="1467"/>
      <c r="BS6" s="1468"/>
      <c r="BT6" s="1461" t="s">
        <v>256</v>
      </c>
      <c r="BU6" s="1463" t="s">
        <v>302</v>
      </c>
      <c r="BV6" s="1465" t="s">
        <v>303</v>
      </c>
      <c r="BW6" s="1460"/>
      <c r="BX6" s="1"/>
      <c r="BY6" s="1469"/>
      <c r="BZ6" t="s">
        <v>304</v>
      </c>
    </row>
    <row r="7" spans="1:78" ht="14.25" customHeight="1" thickBot="1" x14ac:dyDescent="0.3">
      <c r="A7" s="1471"/>
      <c r="B7" s="1473"/>
      <c r="C7" s="1475"/>
      <c r="D7" s="246" t="s">
        <v>305</v>
      </c>
      <c r="E7" s="247" t="s">
        <v>258</v>
      </c>
      <c r="F7" s="246" t="s">
        <v>305</v>
      </c>
      <c r="G7" s="247" t="s">
        <v>258</v>
      </c>
      <c r="H7" s="246" t="s">
        <v>305</v>
      </c>
      <c r="I7" s="247" t="s">
        <v>258</v>
      </c>
      <c r="J7" s="246" t="s">
        <v>305</v>
      </c>
      <c r="K7" s="247" t="s">
        <v>258</v>
      </c>
      <c r="L7" s="246" t="s">
        <v>305</v>
      </c>
      <c r="M7" s="247" t="s">
        <v>258</v>
      </c>
      <c r="N7" s="246" t="s">
        <v>305</v>
      </c>
      <c r="O7" s="247" t="s">
        <v>258</v>
      </c>
      <c r="P7" s="246" t="s">
        <v>305</v>
      </c>
      <c r="Q7" s="247" t="s">
        <v>258</v>
      </c>
      <c r="R7" s="246" t="s">
        <v>305</v>
      </c>
      <c r="S7" s="247" t="s">
        <v>258</v>
      </c>
      <c r="T7" s="246" t="s">
        <v>305</v>
      </c>
      <c r="U7" s="247" t="s">
        <v>258</v>
      </c>
      <c r="V7" s="246" t="s">
        <v>305</v>
      </c>
      <c r="W7" s="247" t="s">
        <v>258</v>
      </c>
      <c r="X7" s="246" t="s">
        <v>305</v>
      </c>
      <c r="Y7" s="247" t="s">
        <v>258</v>
      </c>
      <c r="Z7" s="246" t="s">
        <v>305</v>
      </c>
      <c r="AA7" s="247" t="s">
        <v>258</v>
      </c>
      <c r="AB7" s="246" t="s">
        <v>305</v>
      </c>
      <c r="AC7" s="247" t="s">
        <v>258</v>
      </c>
      <c r="AD7" s="246" t="s">
        <v>305</v>
      </c>
      <c r="AE7" s="247" t="s">
        <v>258</v>
      </c>
      <c r="AF7" s="246" t="s">
        <v>305</v>
      </c>
      <c r="AG7" s="247" t="s">
        <v>258</v>
      </c>
      <c r="AH7" s="246" t="s">
        <v>305</v>
      </c>
      <c r="AI7" s="247" t="s">
        <v>258</v>
      </c>
      <c r="AJ7" s="1462"/>
      <c r="AK7" s="1464"/>
      <c r="AL7" s="246" t="s">
        <v>305</v>
      </c>
      <c r="AM7" s="247" t="s">
        <v>258</v>
      </c>
      <c r="AN7" s="246" t="s">
        <v>305</v>
      </c>
      <c r="AO7" s="247" t="s">
        <v>258</v>
      </c>
      <c r="AP7" s="246" t="s">
        <v>305</v>
      </c>
      <c r="AQ7" s="247" t="s">
        <v>258</v>
      </c>
      <c r="AR7" s="246" t="s">
        <v>305</v>
      </c>
      <c r="AS7" s="247" t="s">
        <v>258</v>
      </c>
      <c r="AT7" s="246" t="s">
        <v>305</v>
      </c>
      <c r="AU7" s="247" t="s">
        <v>258</v>
      </c>
      <c r="AV7" s="246" t="s">
        <v>305</v>
      </c>
      <c r="AW7" s="247" t="s">
        <v>258</v>
      </c>
      <c r="AX7" s="246" t="s">
        <v>305</v>
      </c>
      <c r="AY7" s="247" t="s">
        <v>258</v>
      </c>
      <c r="AZ7" s="246"/>
      <c r="BA7" s="247" t="s">
        <v>258</v>
      </c>
      <c r="BB7" s="246" t="s">
        <v>305</v>
      </c>
      <c r="BC7" s="247" t="s">
        <v>258</v>
      </c>
      <c r="BD7" s="246" t="s">
        <v>305</v>
      </c>
      <c r="BE7" s="247" t="s">
        <v>258</v>
      </c>
      <c r="BF7" s="246" t="s">
        <v>305</v>
      </c>
      <c r="BG7" s="247" t="s">
        <v>258</v>
      </c>
      <c r="BH7" s="246" t="s">
        <v>305</v>
      </c>
      <c r="BI7" s="247" t="s">
        <v>258</v>
      </c>
      <c r="BJ7" s="246" t="s">
        <v>305</v>
      </c>
      <c r="BK7" s="247" t="s">
        <v>258</v>
      </c>
      <c r="BL7" s="246" t="s">
        <v>305</v>
      </c>
      <c r="BM7" s="247" t="s">
        <v>258</v>
      </c>
      <c r="BN7" s="246" t="s">
        <v>305</v>
      </c>
      <c r="BO7" s="247" t="s">
        <v>258</v>
      </c>
      <c r="BP7" s="246" t="s">
        <v>305</v>
      </c>
      <c r="BQ7" s="247" t="s">
        <v>258</v>
      </c>
      <c r="BR7" s="246" t="s">
        <v>305</v>
      </c>
      <c r="BS7" s="247" t="s">
        <v>258</v>
      </c>
      <c r="BT7" s="1462"/>
      <c r="BU7" s="1464"/>
      <c r="BV7" s="1466"/>
      <c r="BW7" s="1"/>
      <c r="BX7" s="1"/>
    </row>
    <row r="8" spans="1:78" ht="14.25" customHeight="1" x14ac:dyDescent="0.25">
      <c r="A8" s="1049"/>
      <c r="B8" s="1050" t="s">
        <v>442</v>
      </c>
      <c r="C8" s="113" t="s">
        <v>856</v>
      </c>
      <c r="D8" s="1051"/>
      <c r="E8" s="1052"/>
      <c r="F8" s="1051"/>
      <c r="G8" s="1052"/>
      <c r="H8" s="1051"/>
      <c r="I8" s="1052"/>
      <c r="J8" s="1051"/>
      <c r="K8" s="1052"/>
      <c r="L8" s="1051"/>
      <c r="M8" s="1052"/>
      <c r="N8" s="1051"/>
      <c r="O8" s="1052"/>
      <c r="P8" s="1051"/>
      <c r="Q8" s="1052"/>
      <c r="R8" s="1051"/>
      <c r="S8" s="1052"/>
      <c r="T8" s="1051"/>
      <c r="U8" s="1052"/>
      <c r="V8" s="1051"/>
      <c r="W8" s="1052"/>
      <c r="X8" s="1051"/>
      <c r="Y8" s="1052"/>
      <c r="Z8" s="1051"/>
      <c r="AA8" s="1052"/>
      <c r="AB8" s="1051"/>
      <c r="AC8" s="1052"/>
      <c r="AD8" s="1051"/>
      <c r="AE8" s="1052"/>
      <c r="AF8" s="1051"/>
      <c r="AG8" s="1052"/>
      <c r="AH8" s="1051"/>
      <c r="AI8" s="1052"/>
      <c r="AJ8" s="1053"/>
      <c r="AK8" s="1054"/>
      <c r="AL8" s="1051"/>
      <c r="AM8" s="1052"/>
      <c r="AN8" s="1051"/>
      <c r="AO8" s="1052"/>
      <c r="AP8" s="1051"/>
      <c r="AQ8" s="1052"/>
      <c r="AR8" s="1051"/>
      <c r="AS8" s="1052"/>
      <c r="AT8" s="1051"/>
      <c r="AU8" s="1052"/>
      <c r="AV8" s="1051"/>
      <c r="AW8" s="1052"/>
      <c r="AX8" s="1051"/>
      <c r="AY8" s="1052"/>
      <c r="AZ8" s="1051"/>
      <c r="BA8" s="1052"/>
      <c r="BB8" s="1051"/>
      <c r="BC8" s="1052"/>
      <c r="BD8" s="1051"/>
      <c r="BE8" s="1052"/>
      <c r="BF8" s="1051"/>
      <c r="BG8" s="1052"/>
      <c r="BH8" s="1051"/>
      <c r="BI8" s="1052"/>
      <c r="BJ8" s="1051"/>
      <c r="BK8" s="1052"/>
      <c r="BL8" s="1051"/>
      <c r="BM8" s="1052"/>
      <c r="BN8" s="1051"/>
      <c r="BO8" s="1052"/>
      <c r="BP8" s="1051"/>
      <c r="BQ8" s="1052"/>
      <c r="BR8" s="1051"/>
      <c r="BS8" s="1052"/>
      <c r="BT8" s="1053"/>
      <c r="BU8" s="1054"/>
      <c r="BV8" s="1055"/>
      <c r="BW8" s="1"/>
      <c r="BX8" s="1"/>
    </row>
    <row r="9" spans="1:78" x14ac:dyDescent="0.25">
      <c r="A9" s="248">
        <v>1</v>
      </c>
      <c r="B9" s="249" t="s">
        <v>309</v>
      </c>
      <c r="C9" s="331" t="s">
        <v>307</v>
      </c>
      <c r="D9" s="250"/>
      <c r="E9" s="258">
        <f>(D9*0.0065)/12+15</f>
        <v>15</v>
      </c>
      <c r="F9" s="250"/>
      <c r="G9" s="258">
        <f>(F9*0.0065)+18</f>
        <v>18</v>
      </c>
      <c r="H9" s="250">
        <v>51696</v>
      </c>
      <c r="I9" s="251">
        <f>(H9*0.0065)/14+12</f>
        <v>36.001714285714286</v>
      </c>
      <c r="J9" s="250"/>
      <c r="K9" s="251">
        <f>(J9*0.0065)+15</f>
        <v>15</v>
      </c>
      <c r="L9" s="250"/>
      <c r="M9" s="251"/>
      <c r="N9" s="250"/>
      <c r="O9" s="251">
        <f>(N9*0.0065)/10+24</f>
        <v>24</v>
      </c>
      <c r="P9" s="250"/>
      <c r="Q9" s="333">
        <f>(P9*0.0065)/11+20</f>
        <v>20</v>
      </c>
      <c r="R9" s="250">
        <f>30432-768-768</f>
        <v>28896</v>
      </c>
      <c r="S9" s="251">
        <f>(R9*0.0065)/11+2</f>
        <v>19.074909090909088</v>
      </c>
      <c r="T9" s="250">
        <f>29448-768-768</f>
        <v>27912</v>
      </c>
      <c r="U9" s="251">
        <f>(T9*0.0065)/12+3</f>
        <v>18.119</v>
      </c>
      <c r="V9" s="250"/>
      <c r="W9" s="251">
        <f>(V9*0.0065)/14+40</f>
        <v>40</v>
      </c>
      <c r="X9" s="250"/>
      <c r="Y9" s="251"/>
      <c r="Z9" s="250"/>
      <c r="AA9" s="251"/>
      <c r="AB9" s="250"/>
      <c r="AC9" s="333">
        <f>(AB9*0.0065)/11+25</f>
        <v>25</v>
      </c>
      <c r="AD9" s="250">
        <f>29760-768-768</f>
        <v>28224</v>
      </c>
      <c r="AE9" s="251">
        <f>(AD9*0.0065)/11+2</f>
        <v>18.677818181818182</v>
      </c>
      <c r="AF9" s="250"/>
      <c r="AG9" s="332">
        <f t="shared" ref="AG9" si="0">(AF9*0.0065)/16</f>
        <v>0</v>
      </c>
      <c r="AH9" s="250">
        <f>38736-768-768</f>
        <v>37200</v>
      </c>
      <c r="AI9" s="251">
        <f>(AH9*0.0065)/13+2</f>
        <v>20.599999999999998</v>
      </c>
      <c r="AJ9" s="252">
        <f t="shared" ref="AJ9:AJ29" si="1">+D9+F9+H9+J9+N9+P9+R9+T9+V9+X9+Z9+AH9+L9+AB9+AD9+AF9</f>
        <v>173928</v>
      </c>
      <c r="AK9" s="253">
        <f t="shared" ref="AK9:AK29" si="2">E9+G9+I9+K9+M9+O9+Q9+S9+U9+W9+Y9+AA9+AI9+AC9+AE9+AG9</f>
        <v>269.47344155844155</v>
      </c>
      <c r="AL9" s="250">
        <f>43248-768-768</f>
        <v>41712</v>
      </c>
      <c r="AM9" s="251">
        <f>(AL9*0.0065)/13+4</f>
        <v>24.855999999999998</v>
      </c>
      <c r="AN9" s="250"/>
      <c r="AO9" s="251">
        <f>(AN9*0.0065)/18+25</f>
        <v>25</v>
      </c>
      <c r="AP9" s="250"/>
      <c r="AQ9" s="251"/>
      <c r="AR9" s="250"/>
      <c r="AS9" s="332">
        <f t="shared" ref="AS9" si="3">(AR9*0.0065)/16</f>
        <v>0</v>
      </c>
      <c r="AT9" s="250">
        <f>23184-768-768</f>
        <v>21648</v>
      </c>
      <c r="AU9" s="251">
        <f>(AT9*0.0065)/8+2</f>
        <v>19.588999999999999</v>
      </c>
      <c r="AV9" s="250">
        <f>18144-768-768</f>
        <v>16608</v>
      </c>
      <c r="AW9" s="251">
        <f>(AV9*0.0065)/8+2</f>
        <v>15.494</v>
      </c>
      <c r="AX9" s="250"/>
      <c r="AY9" s="333">
        <f>(AX9*0.0065)/18+15</f>
        <v>15</v>
      </c>
      <c r="AZ9" s="250">
        <f>13968-768-768</f>
        <v>12432</v>
      </c>
      <c r="BA9" s="251">
        <f>(AZ9*0.0065)/6+2</f>
        <v>15.467999999999998</v>
      </c>
      <c r="BB9" s="250"/>
      <c r="BC9" s="251"/>
      <c r="BD9" s="250"/>
      <c r="BE9" s="251"/>
      <c r="BF9" s="250">
        <f>34944-768-768</f>
        <v>33408</v>
      </c>
      <c r="BG9" s="251">
        <f>(BF9*0.0065)/12+4</f>
        <v>22.096</v>
      </c>
      <c r="BH9" s="250">
        <f>27456-768-768</f>
        <v>25920</v>
      </c>
      <c r="BI9" s="251">
        <f>(BH9*0.0065)/11+10</f>
        <v>25.316363636363633</v>
      </c>
      <c r="BJ9" s="250"/>
      <c r="BK9" s="251">
        <f>(BJ9*0.0065)+15</f>
        <v>15</v>
      </c>
      <c r="BL9" s="250"/>
      <c r="BM9" s="251"/>
      <c r="BN9" s="250"/>
      <c r="BO9" s="251"/>
      <c r="BP9" s="250"/>
      <c r="BQ9" s="251"/>
      <c r="BR9" s="250"/>
      <c r="BS9" s="251"/>
      <c r="BT9" s="252">
        <f t="shared" ref="BT9:BT33" si="4">+AL9+AN9+AP9+AR9+AT9+AV9+AX9+AZ9+BB9+BD9+BJ9+BF9+BH9+BL9+BR9+BP9+BN9</f>
        <v>151728</v>
      </c>
      <c r="BU9" s="253">
        <f t="shared" ref="BU9:BU33" si="5">+AM9+AO9+AQ9+AS9+AU9+AW9+AY9+BA9+BC9+BE9+BK9+BI9+BG9+BM9+BS9+BQ9+BO9</f>
        <v>177.81936363636362</v>
      </c>
      <c r="BV9" s="255">
        <f t="shared" ref="BV9:BV33" si="6">+AK9+BU9</f>
        <v>447.29280519480517</v>
      </c>
      <c r="BW9" s="256">
        <f t="shared" ref="BW9:BW33" si="7">COUNTIF(D9:AI9,0)</f>
        <v>1</v>
      </c>
      <c r="BX9" s="257"/>
      <c r="BY9" s="256">
        <f t="shared" ref="BY9:BY33" si="8">COUNTIF(AL9:BS9,0)</f>
        <v>1</v>
      </c>
      <c r="BZ9" s="256">
        <f t="shared" ref="BZ9:BZ33" si="9">+BW9+BY9</f>
        <v>2</v>
      </c>
    </row>
    <row r="10" spans="1:78" x14ac:dyDescent="0.25">
      <c r="A10" s="248">
        <v>2</v>
      </c>
      <c r="B10" s="249" t="s">
        <v>311</v>
      </c>
      <c r="C10" s="335" t="s">
        <v>312</v>
      </c>
      <c r="D10" s="250"/>
      <c r="E10" s="251">
        <f>(D10*0.0065)+22</f>
        <v>22</v>
      </c>
      <c r="F10" s="250"/>
      <c r="G10" s="251">
        <f>(F10*0.0065)+23</f>
        <v>23</v>
      </c>
      <c r="H10" s="250"/>
      <c r="I10" s="332">
        <f t="shared" ref="I10" si="10">(H10*0.0065)/16</f>
        <v>0</v>
      </c>
      <c r="J10" s="250"/>
      <c r="K10" s="251">
        <f>(J10*0.0065)+15</f>
        <v>15</v>
      </c>
      <c r="L10" s="250"/>
      <c r="M10" s="251"/>
      <c r="N10" s="250"/>
      <c r="O10" s="251">
        <f>(N10*0.0065)+28</f>
        <v>28</v>
      </c>
      <c r="P10" s="250"/>
      <c r="Q10" s="251">
        <f>(P10*0.0065)+30</f>
        <v>30</v>
      </c>
      <c r="R10" s="250"/>
      <c r="S10" s="251">
        <f>(R10*0.0065)+24</f>
        <v>24</v>
      </c>
      <c r="T10" s="250"/>
      <c r="U10" s="251">
        <f>(T10*0.0065)+20</f>
        <v>20</v>
      </c>
      <c r="V10" s="250"/>
      <c r="W10" s="251">
        <f>(V10*0.0065)+46</f>
        <v>46</v>
      </c>
      <c r="X10" s="250"/>
      <c r="Y10" s="251"/>
      <c r="Z10" s="250"/>
      <c r="AA10" s="251"/>
      <c r="AB10" s="250"/>
      <c r="AC10" s="251">
        <f>(AB10*0.0065)+34</f>
        <v>34</v>
      </c>
      <c r="AD10" s="250"/>
      <c r="AE10" s="251">
        <f>(AD10*0.0065)+21</f>
        <v>21</v>
      </c>
      <c r="AF10" s="250"/>
      <c r="AG10" s="251">
        <f t="shared" ref="AG10:AG12" si="11">(AF10*0.0065)+15</f>
        <v>15</v>
      </c>
      <c r="AH10" s="250"/>
      <c r="AI10" s="251">
        <f>(AH10*0.0065)+24</f>
        <v>24</v>
      </c>
      <c r="AJ10" s="252">
        <f t="shared" si="1"/>
        <v>0</v>
      </c>
      <c r="AK10" s="253">
        <f t="shared" si="2"/>
        <v>302</v>
      </c>
      <c r="AL10" s="250"/>
      <c r="AM10" s="251">
        <f>(AL10*0.0065)+26</f>
        <v>26</v>
      </c>
      <c r="AN10" s="250"/>
      <c r="AO10" s="251">
        <f>(AN10*0.0065)/18+25</f>
        <v>25</v>
      </c>
      <c r="AP10" s="250"/>
      <c r="AQ10" s="251"/>
      <c r="AR10" s="250"/>
      <c r="AS10" s="251">
        <f>(AR10*0.0065)+16</f>
        <v>16</v>
      </c>
      <c r="AT10" s="250"/>
      <c r="AU10" s="251">
        <f>(AT10*0.0065)+22</f>
        <v>22</v>
      </c>
      <c r="AV10" s="250"/>
      <c r="AW10" s="332">
        <f t="shared" ref="AW10" si="12">(AV10*0.0065)/16</f>
        <v>0</v>
      </c>
      <c r="AX10" s="250"/>
      <c r="AY10" s="251">
        <f>(AX10*0.0065)+22</f>
        <v>22</v>
      </c>
      <c r="AZ10" s="250"/>
      <c r="BA10" s="251">
        <f>(AZ10*0.0065)+18</f>
        <v>18</v>
      </c>
      <c r="BB10" s="250"/>
      <c r="BC10" s="251"/>
      <c r="BD10" s="250"/>
      <c r="BE10" s="251"/>
      <c r="BF10" s="250"/>
      <c r="BG10" s="251">
        <f>(BF10*0.0065)+24</f>
        <v>24</v>
      </c>
      <c r="BH10" s="250"/>
      <c r="BI10" s="251">
        <f>(BH10*0.0065)+28</f>
        <v>28</v>
      </c>
      <c r="BJ10" s="250"/>
      <c r="BK10" s="251"/>
      <c r="BL10" s="250"/>
      <c r="BM10" s="251"/>
      <c r="BN10" s="250"/>
      <c r="BO10" s="251"/>
      <c r="BP10" s="250"/>
      <c r="BQ10" s="251"/>
      <c r="BR10" s="250"/>
      <c r="BS10" s="251"/>
      <c r="BT10" s="252">
        <f t="shared" si="4"/>
        <v>0</v>
      </c>
      <c r="BU10" s="253">
        <f t="shared" si="5"/>
        <v>181</v>
      </c>
      <c r="BV10" s="255">
        <f t="shared" si="6"/>
        <v>483</v>
      </c>
      <c r="BW10" s="256">
        <f t="shared" si="7"/>
        <v>1</v>
      </c>
      <c r="BX10" s="257"/>
      <c r="BY10" s="256">
        <f t="shared" si="8"/>
        <v>1</v>
      </c>
      <c r="BZ10" s="256">
        <f t="shared" si="9"/>
        <v>2</v>
      </c>
    </row>
    <row r="11" spans="1:78" x14ac:dyDescent="0.25">
      <c r="A11" s="248">
        <v>4</v>
      </c>
      <c r="B11" s="249" t="s">
        <v>315</v>
      </c>
      <c r="C11" s="336" t="s">
        <v>316</v>
      </c>
      <c r="D11" s="250"/>
      <c r="E11" s="251">
        <f>(D11*0.0065)+20</f>
        <v>20</v>
      </c>
      <c r="F11" s="250"/>
      <c r="G11" s="251">
        <f>(F11*0.0065)+22</f>
        <v>22</v>
      </c>
      <c r="H11" s="250"/>
      <c r="I11" s="251">
        <f>(H11*0.0065)+25</f>
        <v>25</v>
      </c>
      <c r="J11" s="250"/>
      <c r="K11" s="251">
        <f>(J11*0.0065)+15</f>
        <v>15</v>
      </c>
      <c r="L11" s="250"/>
      <c r="M11" s="251">
        <f>(L11*0.0065)+25</f>
        <v>25</v>
      </c>
      <c r="N11" s="250"/>
      <c r="O11" s="251">
        <f>(N11*0.0065)+26</f>
        <v>26</v>
      </c>
      <c r="P11" s="250"/>
      <c r="Q11" s="251">
        <f>(P11*0.0065)+28</f>
        <v>28</v>
      </c>
      <c r="R11" s="250"/>
      <c r="S11" s="251">
        <f>(R11*0.0065)+24</f>
        <v>24</v>
      </c>
      <c r="T11" s="250"/>
      <c r="U11" s="251">
        <f>(T11*0.0065)+20</f>
        <v>20</v>
      </c>
      <c r="V11" s="250"/>
      <c r="W11" s="251">
        <f>(V11*0.0065)+38</f>
        <v>38</v>
      </c>
      <c r="X11" s="250"/>
      <c r="Y11" s="251"/>
      <c r="Z11" s="250"/>
      <c r="AA11" s="251">
        <f>(Z11*0.0065)+25</f>
        <v>25</v>
      </c>
      <c r="AB11" s="250"/>
      <c r="AC11" s="251">
        <f>(AB11*0.0065)+30</f>
        <v>30</v>
      </c>
      <c r="AD11" s="250"/>
      <c r="AE11" s="251">
        <f>(AD11*0.0065)+22</f>
        <v>22</v>
      </c>
      <c r="AF11" s="250"/>
      <c r="AG11" s="251">
        <f t="shared" si="11"/>
        <v>15</v>
      </c>
      <c r="AH11" s="250"/>
      <c r="AI11" s="251">
        <f>(AH11*0.0065)+22</f>
        <v>22</v>
      </c>
      <c r="AJ11" s="252">
        <f t="shared" si="1"/>
        <v>0</v>
      </c>
      <c r="AK11" s="253">
        <f t="shared" si="2"/>
        <v>357</v>
      </c>
      <c r="AL11" s="250"/>
      <c r="AM11" s="251">
        <f>(AL11*0.0065)+25</f>
        <v>25</v>
      </c>
      <c r="AN11" s="250"/>
      <c r="AO11" s="251">
        <f>(AN11*0.0065)/18+25</f>
        <v>25</v>
      </c>
      <c r="AP11" s="250"/>
      <c r="AQ11" s="251">
        <f>(AP11*0.0065)+25</f>
        <v>25</v>
      </c>
      <c r="AR11" s="250"/>
      <c r="AS11" s="251">
        <f>(AR11*0.0065)+16</f>
        <v>16</v>
      </c>
      <c r="AT11" s="250"/>
      <c r="AU11" s="251">
        <f>(AT11*0.0065)+22</f>
        <v>22</v>
      </c>
      <c r="AV11" s="250"/>
      <c r="AW11" s="251">
        <f>(AV11*0.0065)+18</f>
        <v>18</v>
      </c>
      <c r="AX11" s="250"/>
      <c r="AY11" s="251">
        <f>(AX11*0.0065)+22</f>
        <v>22</v>
      </c>
      <c r="AZ11" s="250"/>
      <c r="BA11" s="251">
        <f>(AZ11*0.0065)+20</f>
        <v>20</v>
      </c>
      <c r="BB11" s="250"/>
      <c r="BC11" s="251"/>
      <c r="BD11" s="250"/>
      <c r="BE11" s="251"/>
      <c r="BF11" s="250"/>
      <c r="BG11" s="251">
        <f>(BF11*0.0065)+24</f>
        <v>24</v>
      </c>
      <c r="BH11" s="250"/>
      <c r="BI11" s="251">
        <f>(BH11*0.0065)+24</f>
        <v>24</v>
      </c>
      <c r="BJ11" s="250"/>
      <c r="BK11" s="251"/>
      <c r="BL11" s="250"/>
      <c r="BM11" s="251"/>
      <c r="BN11" s="250"/>
      <c r="BO11" s="251"/>
      <c r="BP11" s="250"/>
      <c r="BQ11" s="251"/>
      <c r="BR11" s="250"/>
      <c r="BS11" s="251"/>
      <c r="BT11" s="252">
        <f t="shared" si="4"/>
        <v>0</v>
      </c>
      <c r="BU11" s="253">
        <f t="shared" si="5"/>
        <v>221</v>
      </c>
      <c r="BV11" s="260">
        <f t="shared" si="6"/>
        <v>578</v>
      </c>
      <c r="BW11" s="256">
        <f t="shared" si="7"/>
        <v>0</v>
      </c>
      <c r="BX11" s="257"/>
      <c r="BY11" s="256">
        <f t="shared" si="8"/>
        <v>0</v>
      </c>
      <c r="BZ11" s="256">
        <f t="shared" si="9"/>
        <v>0</v>
      </c>
    </row>
    <row r="12" spans="1:78" x14ac:dyDescent="0.25">
      <c r="A12" s="248">
        <v>6</v>
      </c>
      <c r="B12" s="249" t="s">
        <v>441</v>
      </c>
      <c r="C12" s="337" t="s">
        <v>318</v>
      </c>
      <c r="D12" s="250"/>
      <c r="E12" s="251">
        <f>(D12*0.0065)+24</f>
        <v>24</v>
      </c>
      <c r="F12" s="250"/>
      <c r="G12" s="251">
        <f>(F12*0.0065)+25</f>
        <v>25</v>
      </c>
      <c r="H12" s="250"/>
      <c r="I12" s="251">
        <f>(H12*0.0065)+40</f>
        <v>40</v>
      </c>
      <c r="J12" s="250"/>
      <c r="K12" s="251"/>
      <c r="L12" s="250"/>
      <c r="M12" s="251"/>
      <c r="N12" s="250"/>
      <c r="O12" s="251">
        <f>(N12*0.0065)+31</f>
        <v>31</v>
      </c>
      <c r="P12" s="250"/>
      <c r="Q12" s="251">
        <f>(P12*0.0065)+33</f>
        <v>33</v>
      </c>
      <c r="R12" s="250"/>
      <c r="S12" s="251">
        <f>(R12*0.0065)+26</f>
        <v>26</v>
      </c>
      <c r="T12" s="250"/>
      <c r="U12" s="251">
        <f>(T12*0.0065)+24</f>
        <v>24</v>
      </c>
      <c r="V12" s="250"/>
      <c r="W12" s="251">
        <f>(V12*0.0065)+44</f>
        <v>44</v>
      </c>
      <c r="X12" s="250"/>
      <c r="Y12" s="251"/>
      <c r="Z12" s="250"/>
      <c r="AA12" s="251"/>
      <c r="AB12" s="250"/>
      <c r="AC12" s="251">
        <f>(AB12*0.0065)+37</f>
        <v>37</v>
      </c>
      <c r="AD12" s="250"/>
      <c r="AE12" s="251">
        <f>(AD12*0.0065)+25</f>
        <v>25</v>
      </c>
      <c r="AF12" s="250"/>
      <c r="AG12" s="251">
        <f t="shared" si="11"/>
        <v>15</v>
      </c>
      <c r="AH12" s="250"/>
      <c r="AI12" s="251">
        <f>(AH12*0.0065)+27</f>
        <v>27</v>
      </c>
      <c r="AJ12" s="252">
        <f t="shared" si="1"/>
        <v>0</v>
      </c>
      <c r="AK12" s="253">
        <f t="shared" si="2"/>
        <v>351</v>
      </c>
      <c r="AL12" s="250"/>
      <c r="AM12" s="251">
        <f>(AL12*0.0065)+31</f>
        <v>31</v>
      </c>
      <c r="AN12" s="250"/>
      <c r="AO12" s="251">
        <f>(AN12*0.0065)/18+29</f>
        <v>29</v>
      </c>
      <c r="AP12" s="250"/>
      <c r="AQ12" s="251"/>
      <c r="AR12" s="250"/>
      <c r="AS12" s="251">
        <f>(AR12*0.0065)+20</f>
        <v>20</v>
      </c>
      <c r="AT12" s="250"/>
      <c r="AU12" s="251">
        <f>(AT12*0.0065)+26</f>
        <v>26</v>
      </c>
      <c r="AV12" s="250"/>
      <c r="AW12" s="251">
        <f>(AV12*0.0065)+22</f>
        <v>22</v>
      </c>
      <c r="AX12" s="250"/>
      <c r="AY12" s="251">
        <f>(AX12*0.0065)+25</f>
        <v>25</v>
      </c>
      <c r="AZ12" s="250"/>
      <c r="BA12" s="251">
        <f>(AZ12*0.0065)+22</f>
        <v>22</v>
      </c>
      <c r="BB12" s="250"/>
      <c r="BC12" s="251">
        <f>(BB12*0.0065)+10</f>
        <v>10</v>
      </c>
      <c r="BD12" s="250"/>
      <c r="BE12" s="251"/>
      <c r="BF12" s="250"/>
      <c r="BG12" s="251">
        <f>(BF12*0.0065)+28</f>
        <v>28</v>
      </c>
      <c r="BH12" s="250"/>
      <c r="BI12" s="251">
        <f>(BH12*0.0065)+32</f>
        <v>32</v>
      </c>
      <c r="BJ12" s="250"/>
      <c r="BK12" s="251"/>
      <c r="BL12" s="250"/>
      <c r="BM12" s="251">
        <f>(BL12*0.0065)+15</f>
        <v>15</v>
      </c>
      <c r="BN12" s="250"/>
      <c r="BO12" s="251"/>
      <c r="BP12" s="250"/>
      <c r="BQ12" s="251"/>
      <c r="BR12" s="250"/>
      <c r="BS12" s="251"/>
      <c r="BT12" s="252">
        <f t="shared" si="4"/>
        <v>0</v>
      </c>
      <c r="BU12" s="253">
        <f t="shared" si="5"/>
        <v>260</v>
      </c>
      <c r="BV12" s="255">
        <f t="shared" si="6"/>
        <v>611</v>
      </c>
      <c r="BW12" s="256">
        <f t="shared" si="7"/>
        <v>0</v>
      </c>
      <c r="BX12" s="257"/>
      <c r="BY12" s="256">
        <f t="shared" si="8"/>
        <v>0</v>
      </c>
      <c r="BZ12" s="256">
        <f t="shared" si="9"/>
        <v>0</v>
      </c>
    </row>
    <row r="13" spans="1:78" x14ac:dyDescent="0.25">
      <c r="A13" s="248">
        <v>8</v>
      </c>
      <c r="B13" s="249" t="s">
        <v>309</v>
      </c>
      <c r="C13" s="331" t="s">
        <v>320</v>
      </c>
      <c r="D13" s="250">
        <f>29352-768</f>
        <v>28584</v>
      </c>
      <c r="E13" s="251">
        <f>(D13*0.0065)/12+5</f>
        <v>20.482999999999997</v>
      </c>
      <c r="F13" s="250">
        <f>35256-768</f>
        <v>34488</v>
      </c>
      <c r="G13" s="251">
        <f>(F13*0.0065)/13+5</f>
        <v>22.244</v>
      </c>
      <c r="H13" s="250">
        <v>51696</v>
      </c>
      <c r="I13" s="251">
        <f>(H13*0.0065)/14+12</f>
        <v>36.001714285714286</v>
      </c>
      <c r="J13" s="250"/>
      <c r="K13" s="251">
        <f>(J13*0.0065)+15</f>
        <v>15</v>
      </c>
      <c r="L13" s="250"/>
      <c r="M13" s="251"/>
      <c r="N13" s="250"/>
      <c r="O13" s="333">
        <f>(N13*0.0065)/10+18</f>
        <v>18</v>
      </c>
      <c r="P13" s="250">
        <f>42864-768-768</f>
        <v>41328</v>
      </c>
      <c r="Q13" s="338">
        <f>(P13*0.0065)/11+2-5</f>
        <v>21.421090909090911</v>
      </c>
      <c r="R13" s="250">
        <f>30432-768-768</f>
        <v>28896</v>
      </c>
      <c r="S13" s="251">
        <f>(R13*0.0065)/11+2</f>
        <v>19.074909090909088</v>
      </c>
      <c r="T13" s="250">
        <f>29448-768-768</f>
        <v>27912</v>
      </c>
      <c r="U13" s="251">
        <f>(T13*0.0065)/12+3</f>
        <v>18.119</v>
      </c>
      <c r="V13" s="250">
        <f>66144-768-768</f>
        <v>64608</v>
      </c>
      <c r="W13" s="251">
        <f>(V13*0.0065)/16+14</f>
        <v>40.247</v>
      </c>
      <c r="X13" s="250"/>
      <c r="Y13" s="251"/>
      <c r="Z13" s="250"/>
      <c r="AA13" s="251"/>
      <c r="AB13" s="250"/>
      <c r="AC13" s="332">
        <f>(AB13*0.0065)/11+15</f>
        <v>15</v>
      </c>
      <c r="AD13" s="250">
        <f>29760-768-768</f>
        <v>28224</v>
      </c>
      <c r="AE13" s="251">
        <f>(AD13*0.0065)/11+2</f>
        <v>18.677818181818182</v>
      </c>
      <c r="AF13" s="250"/>
      <c r="AG13" s="332">
        <f t="shared" ref="AC13:AI15" si="13">(AF13*0.0065)/16</f>
        <v>0</v>
      </c>
      <c r="AH13" s="250"/>
      <c r="AI13" s="333">
        <f>(AH13*0.0065)/13+18</f>
        <v>18</v>
      </c>
      <c r="AJ13" s="252">
        <f t="shared" si="1"/>
        <v>305736</v>
      </c>
      <c r="AK13" s="253">
        <f t="shared" si="2"/>
        <v>262.26853246753245</v>
      </c>
      <c r="AL13" s="250">
        <f>43248-768-768</f>
        <v>41712</v>
      </c>
      <c r="AM13" s="251">
        <f>(AL13*0.0065)/13+4</f>
        <v>24.855999999999998</v>
      </c>
      <c r="AN13" s="250"/>
      <c r="AO13" s="251">
        <f>(AN13*0.0065)/18+25</f>
        <v>25</v>
      </c>
      <c r="AP13" s="250"/>
      <c r="AQ13" s="251"/>
      <c r="AR13" s="250">
        <f>8232-768-768</f>
        <v>6696</v>
      </c>
      <c r="AS13" s="251">
        <f>(AR13*0.0066)/6+6+1</f>
        <v>14.365600000000001</v>
      </c>
      <c r="AT13" s="250"/>
      <c r="AU13" s="251">
        <f>(AT13*0.0065)/8+19</f>
        <v>19</v>
      </c>
      <c r="AV13" s="250">
        <f>18144-768-768</f>
        <v>16608</v>
      </c>
      <c r="AW13" s="251">
        <f>(AV13*0.0065)/8+2</f>
        <v>15.494</v>
      </c>
      <c r="AX13" s="250">
        <f>23376-768-768</f>
        <v>21840</v>
      </c>
      <c r="AY13" s="251">
        <f>(AX13*0.0065)/8+2</f>
        <v>19.744999999999997</v>
      </c>
      <c r="AZ13" s="250"/>
      <c r="BA13" s="332">
        <f t="shared" ref="BA13" si="14">(AZ13*0.0065)/16</f>
        <v>0</v>
      </c>
      <c r="BB13" s="250"/>
      <c r="BC13" s="251"/>
      <c r="BD13" s="250"/>
      <c r="BE13" s="251"/>
      <c r="BF13" s="250"/>
      <c r="BG13" s="333">
        <f>(BF13*0.0065)/18+15</f>
        <v>15</v>
      </c>
      <c r="BH13" s="250">
        <f>27456-768-768</f>
        <v>25920</v>
      </c>
      <c r="BI13" s="251">
        <f>(BH13*0.0065)/11+10</f>
        <v>25.316363636363633</v>
      </c>
      <c r="BJ13" s="250"/>
      <c r="BK13" s="251">
        <f>(BJ13*0.0065)+15</f>
        <v>15</v>
      </c>
      <c r="BL13" s="250"/>
      <c r="BM13" s="251"/>
      <c r="BN13" s="250"/>
      <c r="BO13" s="251"/>
      <c r="BP13" s="250"/>
      <c r="BQ13" s="251"/>
      <c r="BR13" s="250"/>
      <c r="BS13" s="251"/>
      <c r="BT13" s="252">
        <f t="shared" si="4"/>
        <v>112776</v>
      </c>
      <c r="BU13" s="253">
        <f t="shared" si="5"/>
        <v>173.77696363636363</v>
      </c>
      <c r="BV13" s="255">
        <f t="shared" si="6"/>
        <v>436.04549610389608</v>
      </c>
      <c r="BW13" s="256">
        <f t="shared" si="7"/>
        <v>1</v>
      </c>
      <c r="BX13" s="257"/>
      <c r="BY13" s="256">
        <f t="shared" si="8"/>
        <v>1</v>
      </c>
      <c r="BZ13" s="256">
        <f t="shared" si="9"/>
        <v>2</v>
      </c>
    </row>
    <row r="14" spans="1:78" x14ac:dyDescent="0.25">
      <c r="A14" s="248">
        <v>9</v>
      </c>
      <c r="B14" s="249" t="s">
        <v>311</v>
      </c>
      <c r="C14" s="335" t="s">
        <v>321</v>
      </c>
      <c r="D14" s="250"/>
      <c r="E14" s="258">
        <f>(D14*0.0065)+18</f>
        <v>18</v>
      </c>
      <c r="F14" s="250"/>
      <c r="G14" s="258">
        <f>(F14*0.0065)+17</f>
        <v>17</v>
      </c>
      <c r="H14" s="250"/>
      <c r="I14" s="251">
        <f>(H14*0.0065)+38</f>
        <v>38</v>
      </c>
      <c r="J14" s="250"/>
      <c r="K14" s="251"/>
      <c r="L14" s="250"/>
      <c r="M14" s="251"/>
      <c r="N14" s="250"/>
      <c r="O14" s="251">
        <f>(N14*0.0065)+28</f>
        <v>28</v>
      </c>
      <c r="P14" s="250"/>
      <c r="Q14" s="251">
        <f>(P14*0.0065)+30</f>
        <v>30</v>
      </c>
      <c r="R14" s="250"/>
      <c r="S14" s="251">
        <f>(R14*0.0065)+24</f>
        <v>24</v>
      </c>
      <c r="T14" s="250"/>
      <c r="U14" s="251">
        <f>(T14*0.0065)+20</f>
        <v>20</v>
      </c>
      <c r="V14" s="250"/>
      <c r="W14" s="251">
        <f>(V14*0.0065)+46</f>
        <v>46</v>
      </c>
      <c r="X14" s="250"/>
      <c r="Y14" s="251"/>
      <c r="Z14" s="250"/>
      <c r="AA14" s="251"/>
      <c r="AB14" s="250"/>
      <c r="AC14" s="332">
        <f>(AB14*0.0065)+28</f>
        <v>28</v>
      </c>
      <c r="AD14" s="250"/>
      <c r="AE14" s="251">
        <f>(AD14*0.0065)+21</f>
        <v>21</v>
      </c>
      <c r="AF14" s="250"/>
      <c r="AG14" s="251">
        <f>(AF14*0.0065)+15</f>
        <v>15</v>
      </c>
      <c r="AH14" s="250"/>
      <c r="AI14" s="251">
        <f>(AH14*0.0065)+24</f>
        <v>24</v>
      </c>
      <c r="AJ14" s="252">
        <f t="shared" si="1"/>
        <v>0</v>
      </c>
      <c r="AK14" s="253">
        <f t="shared" si="2"/>
        <v>309</v>
      </c>
      <c r="AL14" s="250"/>
      <c r="AM14" s="251">
        <f>(AL14*0.0065)+26</f>
        <v>26</v>
      </c>
      <c r="AN14" s="250"/>
      <c r="AO14" s="251">
        <f>(AN14*0.0065)/18+25</f>
        <v>25</v>
      </c>
      <c r="AP14" s="250"/>
      <c r="AQ14" s="251"/>
      <c r="AR14" s="250"/>
      <c r="AS14" s="332">
        <f t="shared" ref="AS14:AU15" si="15">(AR14*0.0065)/16</f>
        <v>0</v>
      </c>
      <c r="AT14" s="250"/>
      <c r="AU14" s="251">
        <f>(AT14*0.0065)+22</f>
        <v>22</v>
      </c>
      <c r="AV14" s="250"/>
      <c r="AW14" s="251">
        <f>(AV14*0.0065)+20</f>
        <v>20</v>
      </c>
      <c r="AX14" s="250"/>
      <c r="AY14" s="251">
        <f>(AX14*0.0065)+22</f>
        <v>22</v>
      </c>
      <c r="AZ14" s="250"/>
      <c r="BA14" s="251">
        <f>(AZ14*0.0065)+18</f>
        <v>18</v>
      </c>
      <c r="BB14" s="250"/>
      <c r="BC14" s="251"/>
      <c r="BD14" s="250"/>
      <c r="BE14" s="251"/>
      <c r="BF14" s="250"/>
      <c r="BG14" s="251">
        <f>(BF14*0.0065)+24</f>
        <v>24</v>
      </c>
      <c r="BH14" s="250"/>
      <c r="BI14" s="251">
        <f>(BH14*0.0065)+28</f>
        <v>28</v>
      </c>
      <c r="BJ14" s="250"/>
      <c r="BK14" s="251"/>
      <c r="BL14" s="250"/>
      <c r="BM14" s="251"/>
      <c r="BN14" s="250"/>
      <c r="BO14" s="251"/>
      <c r="BP14" s="250"/>
      <c r="BQ14" s="251"/>
      <c r="BR14" s="250"/>
      <c r="BS14" s="251"/>
      <c r="BT14" s="252">
        <f t="shared" si="4"/>
        <v>0</v>
      </c>
      <c r="BU14" s="253">
        <f t="shared" si="5"/>
        <v>185</v>
      </c>
      <c r="BV14" s="255">
        <f t="shared" si="6"/>
        <v>494</v>
      </c>
      <c r="BW14" s="256">
        <f t="shared" si="7"/>
        <v>0</v>
      </c>
      <c r="BX14" s="257"/>
      <c r="BY14" s="256">
        <f t="shared" si="8"/>
        <v>1</v>
      </c>
      <c r="BZ14" s="256">
        <f t="shared" si="9"/>
        <v>1</v>
      </c>
    </row>
    <row r="15" spans="1:78" x14ac:dyDescent="0.25">
      <c r="A15" s="248">
        <v>10</v>
      </c>
      <c r="B15" s="249" t="s">
        <v>442</v>
      </c>
      <c r="C15" s="331" t="s">
        <v>322</v>
      </c>
      <c r="D15" s="250"/>
      <c r="E15" s="254">
        <f t="shared" ref="E15:K16" si="16">(D15*0.0065)/16</f>
        <v>0</v>
      </c>
      <c r="F15" s="250"/>
      <c r="G15" s="254">
        <f t="shared" si="16"/>
        <v>0</v>
      </c>
      <c r="H15" s="250"/>
      <c r="I15" s="254">
        <f t="shared" si="16"/>
        <v>0</v>
      </c>
      <c r="J15" s="250"/>
      <c r="K15" s="254">
        <f t="shared" si="16"/>
        <v>0</v>
      </c>
      <c r="L15" s="250"/>
      <c r="M15" s="251"/>
      <c r="N15" s="250"/>
      <c r="O15" s="254">
        <f t="shared" ref="O15:W15" si="17">(N15*0.0065)/16</f>
        <v>0</v>
      </c>
      <c r="P15" s="250"/>
      <c r="Q15" s="254">
        <f t="shared" si="17"/>
        <v>0</v>
      </c>
      <c r="R15" s="250"/>
      <c r="S15" s="254">
        <f t="shared" si="17"/>
        <v>0</v>
      </c>
      <c r="T15" s="250"/>
      <c r="U15" s="254">
        <f t="shared" si="17"/>
        <v>0</v>
      </c>
      <c r="V15" s="250"/>
      <c r="W15" s="254">
        <f t="shared" si="17"/>
        <v>0</v>
      </c>
      <c r="X15" s="250"/>
      <c r="Y15" s="251"/>
      <c r="Z15" s="250"/>
      <c r="AA15" s="251"/>
      <c r="AB15" s="250"/>
      <c r="AC15" s="254">
        <f t="shared" si="13"/>
        <v>0</v>
      </c>
      <c r="AD15" s="250"/>
      <c r="AE15" s="254">
        <f t="shared" si="13"/>
        <v>0</v>
      </c>
      <c r="AF15" s="250"/>
      <c r="AG15" s="254">
        <f t="shared" si="13"/>
        <v>0</v>
      </c>
      <c r="AH15" s="250"/>
      <c r="AI15" s="254">
        <f t="shared" si="13"/>
        <v>0</v>
      </c>
      <c r="AJ15" s="252">
        <f t="shared" si="1"/>
        <v>0</v>
      </c>
      <c r="AK15" s="253">
        <f t="shared" si="2"/>
        <v>0</v>
      </c>
      <c r="AL15" s="250"/>
      <c r="AM15" s="254">
        <f t="shared" ref="AM15:AO15" si="18">(AL15*0.0065)/16</f>
        <v>0</v>
      </c>
      <c r="AN15" s="250"/>
      <c r="AO15" s="254">
        <f t="shared" si="18"/>
        <v>0</v>
      </c>
      <c r="AP15" s="250"/>
      <c r="AQ15" s="251"/>
      <c r="AR15" s="250"/>
      <c r="AS15" s="254">
        <f t="shared" si="15"/>
        <v>0</v>
      </c>
      <c r="AT15" s="250"/>
      <c r="AU15" s="254">
        <f t="shared" si="15"/>
        <v>0</v>
      </c>
      <c r="AV15" s="250">
        <f>18144-768-768</f>
        <v>16608</v>
      </c>
      <c r="AW15" s="251">
        <f>(AV15*0.0065)/8+2</f>
        <v>15.494</v>
      </c>
      <c r="AX15" s="250"/>
      <c r="AY15" s="251">
        <f t="shared" ref="AY15" si="19">(AX15*0.0065)/16</f>
        <v>0</v>
      </c>
      <c r="AZ15" s="250"/>
      <c r="BA15" s="251">
        <f t="shared" ref="BA15" si="20">(AZ15*0.0065)/16</f>
        <v>0</v>
      </c>
      <c r="BB15" s="250"/>
      <c r="BC15" s="251">
        <f t="shared" ref="BC15" si="21">(BB15*0.0065)/16</f>
        <v>0</v>
      </c>
      <c r="BD15" s="250"/>
      <c r="BE15" s="251"/>
      <c r="BF15" s="250"/>
      <c r="BG15" s="251">
        <f t="shared" ref="BG15" si="22">(BF15*0.0065)/16</f>
        <v>0</v>
      </c>
      <c r="BH15" s="250"/>
      <c r="BI15" s="251">
        <f t="shared" ref="BI15" si="23">(BH15*0.0065)/16</f>
        <v>0</v>
      </c>
      <c r="BJ15" s="250"/>
      <c r="BK15" s="251">
        <f t="shared" ref="BK15" si="24">(BJ15*0.0065)/16</f>
        <v>0</v>
      </c>
      <c r="BL15" s="250"/>
      <c r="BM15" s="251">
        <f t="shared" ref="BM15" si="25">(BL15*0.0065)/16</f>
        <v>0</v>
      </c>
      <c r="BN15" s="250"/>
      <c r="BO15" s="251">
        <f t="shared" ref="BO15" si="26">(BN15*0.0065)/16</f>
        <v>0</v>
      </c>
      <c r="BP15" s="250"/>
      <c r="BQ15" s="251"/>
      <c r="BR15" s="250"/>
      <c r="BS15" s="251"/>
      <c r="BT15" s="252">
        <f t="shared" si="4"/>
        <v>16608</v>
      </c>
      <c r="BU15" s="253">
        <f t="shared" si="5"/>
        <v>15.494</v>
      </c>
      <c r="BV15" s="255">
        <f t="shared" si="6"/>
        <v>15.494</v>
      </c>
      <c r="BW15" s="256">
        <f t="shared" si="7"/>
        <v>13</v>
      </c>
      <c r="BX15" s="257"/>
      <c r="BY15" s="256">
        <f t="shared" si="8"/>
        <v>12</v>
      </c>
      <c r="BZ15" s="256">
        <f t="shared" si="9"/>
        <v>25</v>
      </c>
    </row>
    <row r="16" spans="1:78" x14ac:dyDescent="0.25">
      <c r="A16" s="248">
        <v>11</v>
      </c>
      <c r="B16" s="249" t="s">
        <v>443</v>
      </c>
      <c r="C16" s="339" t="s">
        <v>324</v>
      </c>
      <c r="D16" s="250"/>
      <c r="E16" s="251">
        <f>(D16*0.0065)+24</f>
        <v>24</v>
      </c>
      <c r="F16" s="250"/>
      <c r="G16" s="254">
        <f t="shared" si="16"/>
        <v>0</v>
      </c>
      <c r="H16" s="250"/>
      <c r="I16" s="254">
        <f t="shared" si="16"/>
        <v>0</v>
      </c>
      <c r="J16" s="250"/>
      <c r="K16" s="251">
        <f>(J16*0.0065)+10</f>
        <v>10</v>
      </c>
      <c r="L16" s="250"/>
      <c r="M16" s="251"/>
      <c r="N16" s="250">
        <v>768</v>
      </c>
      <c r="O16" s="251">
        <f>(N16*0.0065)+24</f>
        <v>28.992000000000001</v>
      </c>
      <c r="P16" s="250">
        <v>768</v>
      </c>
      <c r="Q16" s="251">
        <f>(P16*0.0065)+26</f>
        <v>30.992000000000001</v>
      </c>
      <c r="R16" s="250">
        <v>768</v>
      </c>
      <c r="S16" s="251">
        <f>(R16*0.0065)+19</f>
        <v>23.992000000000001</v>
      </c>
      <c r="T16" s="250">
        <v>768</v>
      </c>
      <c r="U16" s="251">
        <f>(T16*0.0065)+17</f>
        <v>21.992000000000001</v>
      </c>
      <c r="V16" s="250">
        <v>768</v>
      </c>
      <c r="W16" s="251">
        <f>(V16*0.0065)+39</f>
        <v>43.991999999999997</v>
      </c>
      <c r="X16" s="250"/>
      <c r="Y16" s="251"/>
      <c r="Z16" s="250"/>
      <c r="AA16" s="251"/>
      <c r="AB16" s="250">
        <v>768</v>
      </c>
      <c r="AC16" s="251">
        <f>(AB16*0.0065)+31</f>
        <v>35.991999999999997</v>
      </c>
      <c r="AD16" s="250">
        <v>768</v>
      </c>
      <c r="AE16" s="251">
        <f>(AD16*0.0065)+18</f>
        <v>22.992000000000001</v>
      </c>
      <c r="AF16" s="250"/>
      <c r="AG16" s="251">
        <f t="shared" ref="AG16:AG28" si="27">(AF16*0.0065)+15</f>
        <v>15</v>
      </c>
      <c r="AH16" s="250">
        <v>768</v>
      </c>
      <c r="AI16" s="251">
        <f>(AH16*0.0065)+20</f>
        <v>24.992000000000001</v>
      </c>
      <c r="AJ16" s="252">
        <f t="shared" si="1"/>
        <v>6144</v>
      </c>
      <c r="AK16" s="253">
        <f t="shared" si="2"/>
        <v>282.93599999999998</v>
      </c>
      <c r="AL16" s="250">
        <v>768</v>
      </c>
      <c r="AM16" s="251">
        <f>(AL16*0.0065)+24</f>
        <v>28.992000000000001</v>
      </c>
      <c r="AN16" s="250"/>
      <c r="AO16" s="251">
        <f>(AN16*0.0065)/18+27</f>
        <v>27</v>
      </c>
      <c r="AP16" s="250"/>
      <c r="AQ16" s="251"/>
      <c r="AR16" s="250">
        <v>768</v>
      </c>
      <c r="AS16" s="251">
        <f>(AR16*0.0065)+13</f>
        <v>17.992000000000001</v>
      </c>
      <c r="AT16" s="250">
        <v>768</v>
      </c>
      <c r="AU16" s="251">
        <f>(AT16*0.0065)+19</f>
        <v>23.992000000000001</v>
      </c>
      <c r="AV16" s="250">
        <v>768</v>
      </c>
      <c r="AW16" s="251">
        <f>(AV16*0.0065)+15</f>
        <v>19.992000000000001</v>
      </c>
      <c r="AX16" s="250">
        <v>768</v>
      </c>
      <c r="AY16" s="251">
        <f>(AX16*0.0065)+18</f>
        <v>22.992000000000001</v>
      </c>
      <c r="AZ16" s="250">
        <v>768</v>
      </c>
      <c r="BA16" s="251">
        <f>(AZ16*0.0065)+15</f>
        <v>19.992000000000001</v>
      </c>
      <c r="BB16" s="250"/>
      <c r="BC16" s="251">
        <f>(BB16*0.0065)+10</f>
        <v>10</v>
      </c>
      <c r="BD16" s="250"/>
      <c r="BE16" s="251"/>
      <c r="BF16" s="250">
        <v>768</v>
      </c>
      <c r="BG16" s="251">
        <f>(BF16*0.0065)+20</f>
        <v>24.992000000000001</v>
      </c>
      <c r="BH16" s="250">
        <v>768</v>
      </c>
      <c r="BI16" s="251">
        <f>(BH16*0.0065)+26</f>
        <v>30.992000000000001</v>
      </c>
      <c r="BJ16" s="250"/>
      <c r="BK16" s="251">
        <f>(BJ16*0.0065)+15</f>
        <v>15</v>
      </c>
      <c r="BL16" s="250"/>
      <c r="BM16" s="251">
        <f>(BL16*0.0065)+15</f>
        <v>15</v>
      </c>
      <c r="BN16" s="250"/>
      <c r="BO16" s="251"/>
      <c r="BP16" s="250"/>
      <c r="BQ16" s="251"/>
      <c r="BR16" s="250"/>
      <c r="BS16" s="251"/>
      <c r="BT16" s="252">
        <f t="shared" si="4"/>
        <v>6144</v>
      </c>
      <c r="BU16" s="253">
        <f t="shared" si="5"/>
        <v>256.93599999999998</v>
      </c>
      <c r="BV16" s="255">
        <f t="shared" si="6"/>
        <v>539.87199999999996</v>
      </c>
      <c r="BW16" s="256">
        <f t="shared" si="7"/>
        <v>2</v>
      </c>
      <c r="BX16" s="257"/>
      <c r="BY16" s="256">
        <f t="shared" si="8"/>
        <v>0</v>
      </c>
      <c r="BZ16" s="256">
        <f t="shared" si="9"/>
        <v>2</v>
      </c>
    </row>
    <row r="17" spans="1:78" x14ac:dyDescent="0.25">
      <c r="A17" s="248">
        <v>12</v>
      </c>
      <c r="B17" s="249" t="s">
        <v>311</v>
      </c>
      <c r="C17" s="335" t="s">
        <v>325</v>
      </c>
      <c r="D17" s="250"/>
      <c r="E17" s="251">
        <f>(D17*0.0065)+20+1</f>
        <v>21</v>
      </c>
      <c r="F17" s="250"/>
      <c r="G17" s="251">
        <f>(F17*0.0065)+21+1</f>
        <v>22</v>
      </c>
      <c r="H17" s="250"/>
      <c r="I17" s="251">
        <f>(H17*0.0065)+25+1</f>
        <v>26</v>
      </c>
      <c r="J17" s="250"/>
      <c r="K17" s="251">
        <f>(J17*0.0065)+17+1</f>
        <v>18</v>
      </c>
      <c r="L17" s="250"/>
      <c r="M17" s="251"/>
      <c r="N17" s="250"/>
      <c r="O17" s="251">
        <f>(N17*0.0065)+26+1</f>
        <v>27</v>
      </c>
      <c r="P17" s="250"/>
      <c r="Q17" s="251">
        <f>(P17*0.0065)+28+1</f>
        <v>29</v>
      </c>
      <c r="R17" s="250"/>
      <c r="S17" s="251">
        <f>(R17*0.0065)+22+1</f>
        <v>23</v>
      </c>
      <c r="T17" s="250"/>
      <c r="U17" s="251">
        <f>(T17*0.0065)+18+1</f>
        <v>19</v>
      </c>
      <c r="V17" s="250"/>
      <c r="W17" s="251">
        <f>(V17*0.0065)+40+1</f>
        <v>41</v>
      </c>
      <c r="X17" s="250"/>
      <c r="Y17" s="251"/>
      <c r="Z17" s="250"/>
      <c r="AA17" s="251"/>
      <c r="AB17" s="250"/>
      <c r="AC17" s="251">
        <f>(AB17*0.0065)+31+1</f>
        <v>32</v>
      </c>
      <c r="AD17" s="250"/>
      <c r="AE17" s="251">
        <f>(AD17*0.0065)+20</f>
        <v>20</v>
      </c>
      <c r="AF17" s="250"/>
      <c r="AG17" s="251">
        <f t="shared" si="27"/>
        <v>15</v>
      </c>
      <c r="AH17" s="250"/>
      <c r="AI17" s="251">
        <f>(AH17*0.0065)+22</f>
        <v>22</v>
      </c>
      <c r="AJ17" s="252">
        <f t="shared" si="1"/>
        <v>0</v>
      </c>
      <c r="AK17" s="253">
        <f t="shared" si="2"/>
        <v>315</v>
      </c>
      <c r="AL17" s="250"/>
      <c r="AM17" s="251">
        <f>(AL17*0.0065)+26</f>
        <v>26</v>
      </c>
      <c r="AN17" s="250"/>
      <c r="AO17" s="251">
        <f>(AN17*0.0065)/18+26</f>
        <v>26</v>
      </c>
      <c r="AP17" s="250"/>
      <c r="AQ17" s="251"/>
      <c r="AR17" s="250"/>
      <c r="AS17" s="251">
        <f>(AR17*0.0065)+15</f>
        <v>15</v>
      </c>
      <c r="AT17" s="250"/>
      <c r="AU17" s="251">
        <f>(AT17*0.0065)+20</f>
        <v>20</v>
      </c>
      <c r="AV17" s="250"/>
      <c r="AW17" s="251">
        <f>(AV17*0.0065)+18</f>
        <v>18</v>
      </c>
      <c r="AX17" s="250"/>
      <c r="AY17" s="251">
        <f>(AX17*0.0065)+20</f>
        <v>20</v>
      </c>
      <c r="AZ17" s="250"/>
      <c r="BA17" s="251">
        <f>(AZ17*0.0065)+16</f>
        <v>16</v>
      </c>
      <c r="BB17" s="250"/>
      <c r="BC17" s="251">
        <f>(BB17*0.0065)+10</f>
        <v>10</v>
      </c>
      <c r="BD17" s="250"/>
      <c r="BE17" s="251"/>
      <c r="BF17" s="250"/>
      <c r="BG17" s="251">
        <f>(BF17*0.0065)+20</f>
        <v>20</v>
      </c>
      <c r="BH17" s="250"/>
      <c r="BI17" s="251">
        <f>(BH17*0.0065)+26</f>
        <v>26</v>
      </c>
      <c r="BJ17" s="250"/>
      <c r="BK17" s="251">
        <f>(BJ17*0.0065)+15</f>
        <v>15</v>
      </c>
      <c r="BL17" s="250"/>
      <c r="BM17" s="251">
        <f>(BL17*0.0065)+15</f>
        <v>15</v>
      </c>
      <c r="BN17" s="250"/>
      <c r="BO17" s="251">
        <v>15</v>
      </c>
      <c r="BP17" s="250"/>
      <c r="BQ17" s="251"/>
      <c r="BR17" s="250"/>
      <c r="BS17" s="251"/>
      <c r="BT17" s="252">
        <f t="shared" si="4"/>
        <v>0</v>
      </c>
      <c r="BU17" s="253">
        <f t="shared" si="5"/>
        <v>242</v>
      </c>
      <c r="BV17" s="260">
        <f t="shared" si="6"/>
        <v>557</v>
      </c>
      <c r="BW17" s="256">
        <f t="shared" si="7"/>
        <v>0</v>
      </c>
      <c r="BX17" s="257"/>
      <c r="BY17" s="256">
        <f t="shared" si="8"/>
        <v>0</v>
      </c>
      <c r="BZ17" s="256">
        <f t="shared" si="9"/>
        <v>0</v>
      </c>
    </row>
    <row r="18" spans="1:78" x14ac:dyDescent="0.25">
      <c r="A18" s="248">
        <v>13</v>
      </c>
      <c r="B18" s="249" t="s">
        <v>309</v>
      </c>
      <c r="C18" s="331" t="s">
        <v>326</v>
      </c>
      <c r="D18" s="250">
        <f>29352-768</f>
        <v>28584</v>
      </c>
      <c r="E18" s="251">
        <f>(D18*0.0065)/12+5</f>
        <v>20.482999999999997</v>
      </c>
      <c r="F18" s="250">
        <f>35256-768</f>
        <v>34488</v>
      </c>
      <c r="G18" s="251">
        <f>(F18*0.0065)/13+5</f>
        <v>22.244</v>
      </c>
      <c r="H18" s="250">
        <v>51696</v>
      </c>
      <c r="I18" s="251">
        <f>(H18*0.0065)/14+12</f>
        <v>36.001714285714286</v>
      </c>
      <c r="J18" s="250"/>
      <c r="K18" s="332">
        <f t="shared" ref="K18" si="28">(J18*0.0065)/16</f>
        <v>0</v>
      </c>
      <c r="L18" s="250"/>
      <c r="M18" s="251"/>
      <c r="N18" s="250"/>
      <c r="O18" s="333">
        <f>(N18*0.0065)/10+18</f>
        <v>18</v>
      </c>
      <c r="P18" s="250">
        <f>42864-768-768</f>
        <v>41328</v>
      </c>
      <c r="Q18" s="251">
        <f>(P18*0.0065)/11+2</f>
        <v>26.421090909090911</v>
      </c>
      <c r="R18" s="250">
        <f>30432-768-768</f>
        <v>28896</v>
      </c>
      <c r="S18" s="251">
        <f>(R18*0.0065)/11+2</f>
        <v>19.074909090909088</v>
      </c>
      <c r="T18" s="250">
        <f>29448-768-768</f>
        <v>27912</v>
      </c>
      <c r="U18" s="251">
        <f>(T18*0.0065)/12+3</f>
        <v>18.119</v>
      </c>
      <c r="V18" s="250">
        <f>66144-768-768</f>
        <v>64608</v>
      </c>
      <c r="W18" s="251">
        <f>(V18*0.0065)/16+14</f>
        <v>40.247</v>
      </c>
      <c r="X18" s="250"/>
      <c r="Y18" s="251"/>
      <c r="Z18" s="250"/>
      <c r="AA18" s="251"/>
      <c r="AB18" s="250">
        <v>768</v>
      </c>
      <c r="AC18" s="251">
        <f>(AB18*0.0065)+31</f>
        <v>35.991999999999997</v>
      </c>
      <c r="AD18" s="250">
        <f>29760-768-768</f>
        <v>28224</v>
      </c>
      <c r="AE18" s="251">
        <f>(AD18*0.0065)/11+2</f>
        <v>18.677818181818182</v>
      </c>
      <c r="AF18" s="250"/>
      <c r="AG18" s="251">
        <f t="shared" si="27"/>
        <v>15</v>
      </c>
      <c r="AH18" s="250"/>
      <c r="AI18" s="333">
        <f>(AH18*0.0065)/13+18</f>
        <v>18</v>
      </c>
      <c r="AJ18" s="252">
        <f t="shared" si="1"/>
        <v>306504</v>
      </c>
      <c r="AK18" s="253">
        <f t="shared" si="2"/>
        <v>288.26053246753247</v>
      </c>
      <c r="AL18" s="250">
        <f>43248-768-768</f>
        <v>41712</v>
      </c>
      <c r="AM18" s="251">
        <f>(AL18*0.0065)/13+4</f>
        <v>24.855999999999998</v>
      </c>
      <c r="AN18" s="250"/>
      <c r="AO18" s="251">
        <f t="shared" ref="AO18:AO22" si="29">(AN18*0.0065)/18+25</f>
        <v>25</v>
      </c>
      <c r="AP18" s="250"/>
      <c r="AQ18" s="251"/>
      <c r="AR18" s="250"/>
      <c r="AS18" s="332">
        <f t="shared" ref="AS18" si="30">(AR18*0.0065)/16</f>
        <v>0</v>
      </c>
      <c r="AT18" s="250"/>
      <c r="AU18" s="251">
        <f>(AT18*0.0065)/8+19</f>
        <v>19</v>
      </c>
      <c r="AV18" s="250">
        <f>18144-768-768</f>
        <v>16608</v>
      </c>
      <c r="AW18" s="251">
        <f>(AV18*0.0065)/8+2</f>
        <v>15.494</v>
      </c>
      <c r="AX18" s="250">
        <f>23376-768-768</f>
        <v>21840</v>
      </c>
      <c r="AY18" s="251">
        <f>(AX18*0.0065)/8+2</f>
        <v>19.744999999999997</v>
      </c>
      <c r="AZ18" s="250"/>
      <c r="BA18" s="333">
        <f>(AZ18*0.0065)/18+15</f>
        <v>15</v>
      </c>
      <c r="BB18" s="250"/>
      <c r="BC18" s="251"/>
      <c r="BD18" s="250"/>
      <c r="BE18" s="251"/>
      <c r="BF18" s="250">
        <f>34944-768-768</f>
        <v>33408</v>
      </c>
      <c r="BG18" s="251">
        <f>(BF18*0.0065)/12+4</f>
        <v>22.096</v>
      </c>
      <c r="BH18" s="250">
        <f>27456-768-768</f>
        <v>25920</v>
      </c>
      <c r="BI18" s="251">
        <f>(BH18*0.0065)/11+10</f>
        <v>25.316363636363633</v>
      </c>
      <c r="BJ18" s="250"/>
      <c r="BK18" s="251"/>
      <c r="BL18" s="250"/>
      <c r="BM18" s="251"/>
      <c r="BN18" s="250"/>
      <c r="BO18" s="251"/>
      <c r="BP18" s="250"/>
      <c r="BQ18" s="251"/>
      <c r="BR18" s="250"/>
      <c r="BS18" s="251"/>
      <c r="BT18" s="252">
        <f t="shared" si="4"/>
        <v>139488</v>
      </c>
      <c r="BU18" s="253">
        <f t="shared" si="5"/>
        <v>166.50736363636364</v>
      </c>
      <c r="BV18" s="255">
        <f t="shared" si="6"/>
        <v>454.76789610389608</v>
      </c>
      <c r="BW18" s="256">
        <f t="shared" si="7"/>
        <v>1</v>
      </c>
      <c r="BX18" s="257"/>
      <c r="BY18" s="256">
        <f t="shared" si="8"/>
        <v>1</v>
      </c>
      <c r="BZ18" s="256">
        <f t="shared" si="9"/>
        <v>2</v>
      </c>
    </row>
    <row r="19" spans="1:78" x14ac:dyDescent="0.25">
      <c r="A19" s="248">
        <v>14</v>
      </c>
      <c r="B19" s="249" t="s">
        <v>309</v>
      </c>
      <c r="C19" s="331" t="s">
        <v>327</v>
      </c>
      <c r="D19" s="250"/>
      <c r="E19" s="258">
        <f>(D19*0.0065)/12+15</f>
        <v>15</v>
      </c>
      <c r="F19" s="250"/>
      <c r="G19" s="258">
        <f>(F19*0.0065)+18</f>
        <v>18</v>
      </c>
      <c r="H19" s="250">
        <v>51696</v>
      </c>
      <c r="I19" s="251">
        <f>(H19*0.0065)/14+12</f>
        <v>36.001714285714286</v>
      </c>
      <c r="J19" s="250"/>
      <c r="K19" s="251">
        <f>(J19*0.0065)+15</f>
        <v>15</v>
      </c>
      <c r="L19" s="250"/>
      <c r="M19" s="251"/>
      <c r="N19" s="250"/>
      <c r="O19" s="332">
        <f t="shared" ref="O19" si="31">(N19*0.0065)/16</f>
        <v>0</v>
      </c>
      <c r="P19" s="250">
        <f>42864-768-768</f>
        <v>41328</v>
      </c>
      <c r="Q19" s="251">
        <f>(P19*0.0065)/11+2</f>
        <v>26.421090909090911</v>
      </c>
      <c r="R19" s="250">
        <f>30432-768-768</f>
        <v>28896</v>
      </c>
      <c r="S19" s="251">
        <f>(R19*0.0065)/11+2</f>
        <v>19.074909090909088</v>
      </c>
      <c r="T19" s="250"/>
      <c r="U19" s="333">
        <f>(T19*0.0065)/11+15</f>
        <v>15</v>
      </c>
      <c r="V19" s="250">
        <f>66144-768-768</f>
        <v>64608</v>
      </c>
      <c r="W19" s="251">
        <f>(V19*0.0065)/16+14</f>
        <v>40.247</v>
      </c>
      <c r="X19" s="250"/>
      <c r="Y19" s="251"/>
      <c r="Z19" s="250"/>
      <c r="AA19" s="251"/>
      <c r="AB19" s="250">
        <f>47928-768-768</f>
        <v>46392</v>
      </c>
      <c r="AC19" s="251">
        <f>(AB19*0.0065)/11+4</f>
        <v>31.413454545454545</v>
      </c>
      <c r="AD19" s="250">
        <f>29760-768-768</f>
        <v>28224</v>
      </c>
      <c r="AE19" s="251">
        <f>(AD19*0.0065)/11+2</f>
        <v>18.677818181818182</v>
      </c>
      <c r="AF19" s="250"/>
      <c r="AG19" s="251">
        <f t="shared" si="27"/>
        <v>15</v>
      </c>
      <c r="AH19" s="250">
        <f>38736-768-768</f>
        <v>37200</v>
      </c>
      <c r="AI19" s="251">
        <f>(AH19*0.0065)/13+2</f>
        <v>20.599999999999998</v>
      </c>
      <c r="AJ19" s="252">
        <f t="shared" si="1"/>
        <v>298344</v>
      </c>
      <c r="AK19" s="253">
        <f t="shared" si="2"/>
        <v>270.43598701298703</v>
      </c>
      <c r="AL19" s="250"/>
      <c r="AM19" s="333">
        <f>(AL19*0.0065)/13+20</f>
        <v>20</v>
      </c>
      <c r="AN19" s="250"/>
      <c r="AO19" s="251">
        <f t="shared" si="29"/>
        <v>25</v>
      </c>
      <c r="AP19" s="250"/>
      <c r="AQ19" s="251"/>
      <c r="AR19" s="250"/>
      <c r="AS19" s="251">
        <f>(AR19*0.0065)/6+15</f>
        <v>15</v>
      </c>
      <c r="AT19" s="250"/>
      <c r="AU19" s="251">
        <f>(AT19*0.0065)/8+19</f>
        <v>19</v>
      </c>
      <c r="AV19" s="250">
        <f>18144-768-768</f>
        <v>16608</v>
      </c>
      <c r="AW19" s="251">
        <f>(AV19*0.0065)/8+2</f>
        <v>15.494</v>
      </c>
      <c r="AX19" s="250">
        <f>23376-768-768</f>
        <v>21840</v>
      </c>
      <c r="AY19" s="251">
        <f>(AX19*0.0065)/8+2</f>
        <v>19.744999999999997</v>
      </c>
      <c r="AZ19" s="250"/>
      <c r="BA19" s="333">
        <f>(AZ19*0.0065)/8+15</f>
        <v>15</v>
      </c>
      <c r="BB19" s="250"/>
      <c r="BC19" s="251"/>
      <c r="BD19" s="250"/>
      <c r="BE19" s="251"/>
      <c r="BF19" s="250">
        <f>34944-768-768</f>
        <v>33408</v>
      </c>
      <c r="BG19" s="251">
        <f>(BF19*0.0065)/12+4</f>
        <v>22.096</v>
      </c>
      <c r="BH19" s="250">
        <f>27456-768-768</f>
        <v>25920</v>
      </c>
      <c r="BI19" s="251">
        <f>(BH19*0.0065)/11+10</f>
        <v>25.316363636363633</v>
      </c>
      <c r="BJ19" s="250"/>
      <c r="BK19" s="251"/>
      <c r="BL19" s="250"/>
      <c r="BM19" s="251"/>
      <c r="BN19" s="250"/>
      <c r="BO19" s="251"/>
      <c r="BP19" s="250"/>
      <c r="BQ19" s="251"/>
      <c r="BR19" s="250"/>
      <c r="BS19" s="251"/>
      <c r="BT19" s="252">
        <f t="shared" si="4"/>
        <v>97776</v>
      </c>
      <c r="BU19" s="253">
        <f t="shared" si="5"/>
        <v>176.65136363636364</v>
      </c>
      <c r="BV19" s="255">
        <f t="shared" si="6"/>
        <v>447.0873506493507</v>
      </c>
      <c r="BW19" s="256">
        <f t="shared" si="7"/>
        <v>1</v>
      </c>
      <c r="BX19" s="257"/>
      <c r="BY19" s="256">
        <f t="shared" si="8"/>
        <v>0</v>
      </c>
      <c r="BZ19" s="256">
        <f t="shared" si="9"/>
        <v>1</v>
      </c>
    </row>
    <row r="20" spans="1:78" x14ac:dyDescent="0.25">
      <c r="A20" s="248">
        <v>15</v>
      </c>
      <c r="B20" s="249" t="s">
        <v>311</v>
      </c>
      <c r="C20" s="335" t="s">
        <v>328</v>
      </c>
      <c r="D20" s="250"/>
      <c r="E20" s="258">
        <f>(D20*0.0065)+18+1</f>
        <v>19</v>
      </c>
      <c r="F20" s="250"/>
      <c r="G20" s="258">
        <f>(F20*0.0065)+17+1</f>
        <v>18</v>
      </c>
      <c r="H20" s="250"/>
      <c r="I20" s="251">
        <f>(H20*0.0065)+38+1</f>
        <v>39</v>
      </c>
      <c r="J20" s="250"/>
      <c r="K20" s="251"/>
      <c r="L20" s="250"/>
      <c r="M20" s="251"/>
      <c r="N20" s="250"/>
      <c r="O20" s="251">
        <f>(N20*0.0065)+28+1</f>
        <v>29</v>
      </c>
      <c r="P20" s="250"/>
      <c r="Q20" s="251">
        <f>(P20*0.0065)+30+1</f>
        <v>31</v>
      </c>
      <c r="R20" s="250"/>
      <c r="S20" s="332">
        <f t="shared" ref="S20" si="32">(R20*0.0065)/16</f>
        <v>0</v>
      </c>
      <c r="T20" s="250"/>
      <c r="U20" s="251">
        <f>(T20*0.0065)+20+1</f>
        <v>21</v>
      </c>
      <c r="V20" s="250"/>
      <c r="W20" s="251">
        <f>(V20*0.0065)+42+1</f>
        <v>43</v>
      </c>
      <c r="X20" s="250"/>
      <c r="Y20" s="251"/>
      <c r="Z20" s="250"/>
      <c r="AA20" s="251"/>
      <c r="AB20" s="250"/>
      <c r="AC20" s="251">
        <f>(AB20*0.0065)+34+1</f>
        <v>35</v>
      </c>
      <c r="AD20" s="250"/>
      <c r="AE20" s="251">
        <f>(AD20*0.0065)+21+1</f>
        <v>22</v>
      </c>
      <c r="AF20" s="250"/>
      <c r="AG20" s="251">
        <f>(AF20*0.0065)+15+1</f>
        <v>16</v>
      </c>
      <c r="AH20" s="250"/>
      <c r="AI20" s="251">
        <f>(AH20*0.0065)+24</f>
        <v>24</v>
      </c>
      <c r="AJ20" s="252">
        <f t="shared" si="1"/>
        <v>0</v>
      </c>
      <c r="AK20" s="253">
        <f t="shared" si="2"/>
        <v>297</v>
      </c>
      <c r="AL20" s="250"/>
      <c r="AM20" s="251">
        <f>(AL20*0.0065)+26</f>
        <v>26</v>
      </c>
      <c r="AN20" s="250"/>
      <c r="AO20" s="251">
        <f t="shared" si="29"/>
        <v>25</v>
      </c>
      <c r="AP20" s="250"/>
      <c r="AQ20" s="251"/>
      <c r="AR20" s="250"/>
      <c r="AS20" s="251">
        <f>(AR20*0.0065)+16</f>
        <v>16</v>
      </c>
      <c r="AT20" s="250"/>
      <c r="AU20" s="251">
        <f>(AT20*0.0065)+22</f>
        <v>22</v>
      </c>
      <c r="AV20" s="250"/>
      <c r="AW20" s="251">
        <f>(AV20*0.0065)+20</f>
        <v>20</v>
      </c>
      <c r="AX20" s="250"/>
      <c r="AY20" s="251">
        <f>(AX20*0.0065)+22</f>
        <v>22</v>
      </c>
      <c r="AZ20" s="250"/>
      <c r="BA20" s="251">
        <f>(AZ20*0.0065)+18</f>
        <v>18</v>
      </c>
      <c r="BB20" s="250"/>
      <c r="BC20" s="251"/>
      <c r="BD20" s="250"/>
      <c r="BE20" s="251"/>
      <c r="BF20" s="250"/>
      <c r="BG20" s="251">
        <f>(BF20*0.0065)+22</f>
        <v>22</v>
      </c>
      <c r="BH20" s="250"/>
      <c r="BI20" s="251">
        <f>(BH20*0.0065)+28</f>
        <v>28</v>
      </c>
      <c r="BJ20" s="250"/>
      <c r="BK20" s="251"/>
      <c r="BL20" s="250"/>
      <c r="BM20" s="251"/>
      <c r="BN20" s="250"/>
      <c r="BO20" s="251"/>
      <c r="BP20" s="250"/>
      <c r="BQ20" s="251"/>
      <c r="BR20" s="250"/>
      <c r="BS20" s="251"/>
      <c r="BT20" s="252">
        <f t="shared" si="4"/>
        <v>0</v>
      </c>
      <c r="BU20" s="253">
        <f t="shared" si="5"/>
        <v>199</v>
      </c>
      <c r="BV20" s="255">
        <f t="shared" si="6"/>
        <v>496</v>
      </c>
      <c r="BW20" s="256">
        <f t="shared" si="7"/>
        <v>1</v>
      </c>
      <c r="BX20" s="257"/>
      <c r="BY20" s="256">
        <f t="shared" si="8"/>
        <v>0</v>
      </c>
      <c r="BZ20" s="256">
        <f t="shared" si="9"/>
        <v>1</v>
      </c>
    </row>
    <row r="21" spans="1:78" x14ac:dyDescent="0.25">
      <c r="A21" s="248">
        <v>16</v>
      </c>
      <c r="B21" s="249" t="s">
        <v>309</v>
      </c>
      <c r="C21" s="340" t="s">
        <v>329</v>
      </c>
      <c r="D21" s="250"/>
      <c r="E21" s="258">
        <f>(D21*0.0065)/12+15</f>
        <v>15</v>
      </c>
      <c r="F21" s="250"/>
      <c r="G21" s="258">
        <f>(F21*0.0065)+18</f>
        <v>18</v>
      </c>
      <c r="H21" s="250">
        <v>51696</v>
      </c>
      <c r="I21" s="251">
        <f>(H21*0.0065)/14+12</f>
        <v>36.001714285714286</v>
      </c>
      <c r="J21" s="250"/>
      <c r="K21" s="251">
        <f>(J21*0.0065)+15</f>
        <v>15</v>
      </c>
      <c r="L21" s="250"/>
      <c r="M21" s="251"/>
      <c r="N21" s="250">
        <f>39192-768-768</f>
        <v>37656</v>
      </c>
      <c r="O21" s="251">
        <f>(N21*0.0065)/11+2</f>
        <v>24.251272727272724</v>
      </c>
      <c r="P21" s="250">
        <f>42864-768-768</f>
        <v>41328</v>
      </c>
      <c r="Q21" s="251">
        <f>(P21*0.0065)/11+2</f>
        <v>26.421090909090911</v>
      </c>
      <c r="R21" s="250"/>
      <c r="S21" s="333">
        <f>(R21*0.0065)/11+15</f>
        <v>15</v>
      </c>
      <c r="T21" s="250">
        <f>29448-768-768</f>
        <v>27912</v>
      </c>
      <c r="U21" s="251">
        <f>(T21*0.0065)/12+3</f>
        <v>18.119</v>
      </c>
      <c r="V21" s="250">
        <f>66144-768-768</f>
        <v>64608</v>
      </c>
      <c r="W21" s="251">
        <f>(V21*0.0065)/16+14</f>
        <v>40.247</v>
      </c>
      <c r="X21" s="250"/>
      <c r="Y21" s="251"/>
      <c r="Z21" s="250"/>
      <c r="AA21" s="251"/>
      <c r="AB21" s="250">
        <f>47928-768-768</f>
        <v>46392</v>
      </c>
      <c r="AC21" s="251">
        <f>(AB21*0.0065)/11+4</f>
        <v>31.413454545454545</v>
      </c>
      <c r="AD21" s="250"/>
      <c r="AE21" s="333">
        <f>(AD21*0.0065)/11+15</f>
        <v>15</v>
      </c>
      <c r="AF21" s="250"/>
      <c r="AG21" s="251">
        <f t="shared" si="27"/>
        <v>15</v>
      </c>
      <c r="AH21" s="250">
        <f>38736-768-768</f>
        <v>37200</v>
      </c>
      <c r="AI21" s="251">
        <f>(AH21*0.0065)/13+2</f>
        <v>20.599999999999998</v>
      </c>
      <c r="AJ21" s="252">
        <f t="shared" si="1"/>
        <v>306792</v>
      </c>
      <c r="AK21" s="253">
        <f t="shared" si="2"/>
        <v>290.05353246753242</v>
      </c>
      <c r="AL21" s="250">
        <f>43248-768-768</f>
        <v>41712</v>
      </c>
      <c r="AM21" s="251">
        <f>(AL21*0.0065)/13+4</f>
        <v>24.855999999999998</v>
      </c>
      <c r="AN21" s="250"/>
      <c r="AO21" s="251">
        <f t="shared" si="29"/>
        <v>25</v>
      </c>
      <c r="AP21" s="250"/>
      <c r="AQ21" s="251"/>
      <c r="AR21" s="250">
        <f>8232-768-768</f>
        <v>6696</v>
      </c>
      <c r="AS21" s="251">
        <f>(AR21*0.0066)/6+6+1</f>
        <v>14.365600000000001</v>
      </c>
      <c r="AT21" s="250">
        <f>23184-768-768</f>
        <v>21648</v>
      </c>
      <c r="AU21" s="251">
        <f>(AT21*0.0065)/8+2+1</f>
        <v>20.588999999999999</v>
      </c>
      <c r="AV21" s="250"/>
      <c r="AW21" s="251">
        <f>(AV21*0.0065)/8+15</f>
        <v>15</v>
      </c>
      <c r="AX21" s="250">
        <f>23376-768-768</f>
        <v>21840</v>
      </c>
      <c r="AY21" s="251">
        <f>(AX21*0.0065)/8+2</f>
        <v>19.744999999999997</v>
      </c>
      <c r="AZ21" s="250"/>
      <c r="BA21" s="333">
        <f>(AZ21*0.0065)/8+15</f>
        <v>15</v>
      </c>
      <c r="BB21" s="250"/>
      <c r="BC21" s="251"/>
      <c r="BD21" s="250"/>
      <c r="BE21" s="251"/>
      <c r="BF21" s="250">
        <f>34944-768-768</f>
        <v>33408</v>
      </c>
      <c r="BG21" s="251">
        <f>(BF21*0.0065)/12+4</f>
        <v>22.096</v>
      </c>
      <c r="BH21" s="250">
        <f>27456-768-768</f>
        <v>25920</v>
      </c>
      <c r="BI21" s="251">
        <f>(BH21*0.0065)/11+10</f>
        <v>25.316363636363633</v>
      </c>
      <c r="BJ21" s="250"/>
      <c r="BK21" s="251"/>
      <c r="BL21" s="250"/>
      <c r="BM21" s="251"/>
      <c r="BN21" s="250"/>
      <c r="BO21" s="251"/>
      <c r="BP21" s="250"/>
      <c r="BQ21" s="251"/>
      <c r="BR21" s="250"/>
      <c r="BS21" s="251"/>
      <c r="BT21" s="252">
        <f t="shared" si="4"/>
        <v>151224</v>
      </c>
      <c r="BU21" s="253">
        <f t="shared" si="5"/>
        <v>181.96796363636363</v>
      </c>
      <c r="BV21" s="255">
        <f t="shared" si="6"/>
        <v>472.02149610389608</v>
      </c>
      <c r="BW21" s="256">
        <f t="shared" si="7"/>
        <v>0</v>
      </c>
      <c r="BX21" s="257"/>
      <c r="BY21" s="256">
        <f t="shared" si="8"/>
        <v>0</v>
      </c>
      <c r="BZ21" s="256">
        <f t="shared" si="9"/>
        <v>0</v>
      </c>
    </row>
    <row r="22" spans="1:78" x14ac:dyDescent="0.25">
      <c r="A22" s="248">
        <v>17</v>
      </c>
      <c r="B22" s="249" t="s">
        <v>309</v>
      </c>
      <c r="C22" s="340" t="s">
        <v>330</v>
      </c>
      <c r="D22" s="250">
        <f>29352-768</f>
        <v>28584</v>
      </c>
      <c r="E22" s="251">
        <f>(D22*0.0065)/12+5</f>
        <v>20.482999999999997</v>
      </c>
      <c r="F22" s="250">
        <f>35256-768</f>
        <v>34488</v>
      </c>
      <c r="G22" s="251">
        <f>(F22*0.0065)/13+5</f>
        <v>22.244</v>
      </c>
      <c r="H22" s="250"/>
      <c r="I22" s="251">
        <f>(H22*0.0065)/14+36</f>
        <v>36</v>
      </c>
      <c r="J22" s="250"/>
      <c r="K22" s="251">
        <f>(J22*0.0065)+15</f>
        <v>15</v>
      </c>
      <c r="L22" s="250"/>
      <c r="M22" s="251"/>
      <c r="N22" s="250">
        <f>39192-768-768</f>
        <v>37656</v>
      </c>
      <c r="O22" s="251">
        <f>(N22*0.0065)/11+2+1</f>
        <v>25.251272727272724</v>
      </c>
      <c r="P22" s="250">
        <f>42864-768-768</f>
        <v>41328</v>
      </c>
      <c r="Q22" s="251">
        <f>(P22*0.0065)/11+2+1</f>
        <v>27.421090909090911</v>
      </c>
      <c r="R22" s="250"/>
      <c r="S22" s="251">
        <f>(R22*0.0065)/12+20</f>
        <v>20</v>
      </c>
      <c r="T22" s="250"/>
      <c r="U22" s="251">
        <f>(T22*0.0065)/12+18</f>
        <v>18</v>
      </c>
      <c r="V22" s="250"/>
      <c r="W22" s="251">
        <f>(V22*0.0065)/14+40+1</f>
        <v>41</v>
      </c>
      <c r="X22" s="250"/>
      <c r="Y22" s="251"/>
      <c r="Z22" s="250"/>
      <c r="AA22" s="251"/>
      <c r="AB22" s="250"/>
      <c r="AC22" s="333">
        <f>(AB22*0.0065)/11+25</f>
        <v>25</v>
      </c>
      <c r="AD22" s="250">
        <f>29760-768-768</f>
        <v>28224</v>
      </c>
      <c r="AE22" s="251">
        <f>(AD22*0.0065)/11+2+1</f>
        <v>19.677818181818182</v>
      </c>
      <c r="AF22" s="250"/>
      <c r="AG22" s="251">
        <f t="shared" si="27"/>
        <v>15</v>
      </c>
      <c r="AH22" s="250"/>
      <c r="AI22" s="251">
        <f>(AH22*0.0065)/13+21</f>
        <v>21</v>
      </c>
      <c r="AJ22" s="252">
        <f t="shared" si="1"/>
        <v>170280</v>
      </c>
      <c r="AK22" s="253">
        <f t="shared" si="2"/>
        <v>306.07718181818183</v>
      </c>
      <c r="AL22" s="250">
        <f>43248-768-768</f>
        <v>41712</v>
      </c>
      <c r="AM22" s="251">
        <f>(AL22*0.0065)/13+4+1</f>
        <v>25.855999999999998</v>
      </c>
      <c r="AN22" s="250"/>
      <c r="AO22" s="251">
        <f t="shared" si="29"/>
        <v>25</v>
      </c>
      <c r="AP22" s="250"/>
      <c r="AQ22" s="251"/>
      <c r="AR22" s="250">
        <f>8232-768-768</f>
        <v>6696</v>
      </c>
      <c r="AS22" s="251">
        <f>(AR22*0.0066)/6+6+1</f>
        <v>14.365600000000001</v>
      </c>
      <c r="AT22" s="250"/>
      <c r="AU22" s="332">
        <f t="shared" ref="AU22" si="33">(AT22*0.0065)/16</f>
        <v>0</v>
      </c>
      <c r="AV22" s="250"/>
      <c r="AW22" s="333">
        <f>(AV22*0.0065)/18+15</f>
        <v>15</v>
      </c>
      <c r="AX22" s="250">
        <f>23376-768-768</f>
        <v>21840</v>
      </c>
      <c r="AY22" s="251">
        <f>(AX22*0.0065)/8+2+1</f>
        <v>20.744999999999997</v>
      </c>
      <c r="AZ22" s="250"/>
      <c r="BA22" s="333">
        <f>(AZ22*0.0065)/8+15</f>
        <v>15</v>
      </c>
      <c r="BB22" s="250"/>
      <c r="BC22" s="251">
        <f>(BB22*0.0065)+10</f>
        <v>10</v>
      </c>
      <c r="BD22" s="250"/>
      <c r="BE22" s="251"/>
      <c r="BF22" s="250">
        <f>34944-768-768</f>
        <v>33408</v>
      </c>
      <c r="BG22" s="251">
        <f>(BF22*0.0065)/12+4+1</f>
        <v>23.096</v>
      </c>
      <c r="BH22" s="250">
        <f>27456-768-768</f>
        <v>25920</v>
      </c>
      <c r="BI22" s="251">
        <f>(BH22*0.0065)/11+10+1</f>
        <v>26.316363636363633</v>
      </c>
      <c r="BJ22" s="250"/>
      <c r="BK22" s="251"/>
      <c r="BL22" s="250"/>
      <c r="BM22" s="251"/>
      <c r="BN22" s="250"/>
      <c r="BO22" s="251"/>
      <c r="BP22" s="250"/>
      <c r="BQ22" s="251"/>
      <c r="BR22" s="250"/>
      <c r="BS22" s="251"/>
      <c r="BT22" s="252">
        <f t="shared" si="4"/>
        <v>129576</v>
      </c>
      <c r="BU22" s="253">
        <f t="shared" si="5"/>
        <v>175.37896363636364</v>
      </c>
      <c r="BV22" s="255">
        <f t="shared" si="6"/>
        <v>481.45614545454544</v>
      </c>
      <c r="BW22" s="256">
        <f t="shared" si="7"/>
        <v>0</v>
      </c>
      <c r="BX22" s="257"/>
      <c r="BY22" s="256">
        <f t="shared" si="8"/>
        <v>1</v>
      </c>
      <c r="BZ22" s="256">
        <f t="shared" si="9"/>
        <v>1</v>
      </c>
    </row>
    <row r="23" spans="1:78" x14ac:dyDescent="0.25">
      <c r="A23" s="248">
        <v>19</v>
      </c>
      <c r="B23" s="249" t="s">
        <v>443</v>
      </c>
      <c r="C23" s="341" t="s">
        <v>332</v>
      </c>
      <c r="D23" s="250">
        <v>768</v>
      </c>
      <c r="E23" s="251">
        <f>(D23*0.0065)+19</f>
        <v>23.992000000000001</v>
      </c>
      <c r="F23" s="250">
        <v>768</v>
      </c>
      <c r="G23" s="251">
        <f>(F23*0.0065)+20</f>
        <v>24.992000000000001</v>
      </c>
      <c r="H23" s="250">
        <v>768</v>
      </c>
      <c r="I23" s="251">
        <f>(H23*0.0065)+34</f>
        <v>38.991999999999997</v>
      </c>
      <c r="J23" s="250"/>
      <c r="K23" s="251">
        <f>(J23*0.0065)+17</f>
        <v>17</v>
      </c>
      <c r="L23" s="250"/>
      <c r="M23" s="251"/>
      <c r="N23" s="250">
        <v>768</v>
      </c>
      <c r="O23" s="251">
        <f>(N23*0.0065)+23</f>
        <v>27.992000000000001</v>
      </c>
      <c r="P23" s="250">
        <v>768</v>
      </c>
      <c r="Q23" s="251">
        <f>(P23*0.0065)+25</f>
        <v>29.992000000000001</v>
      </c>
      <c r="R23" s="250">
        <v>768</v>
      </c>
      <c r="S23" s="251">
        <f>(R23*0.0065)+17</f>
        <v>21.992000000000001</v>
      </c>
      <c r="T23" s="250">
        <v>768</v>
      </c>
      <c r="U23" s="251">
        <f>(T23*0.0065)+16</f>
        <v>20.992000000000001</v>
      </c>
      <c r="V23" s="250">
        <v>768</v>
      </c>
      <c r="W23" s="251">
        <f>(V23*0.0065)+38</f>
        <v>42.991999999999997</v>
      </c>
      <c r="X23" s="250"/>
      <c r="Y23" s="251"/>
      <c r="Z23" s="250"/>
      <c r="AA23" s="251"/>
      <c r="AB23" s="250">
        <v>768</v>
      </c>
      <c r="AC23" s="251">
        <f>(AB23*0.0065)+30</f>
        <v>34.991999999999997</v>
      </c>
      <c r="AD23" s="250">
        <v>768</v>
      </c>
      <c r="AE23" s="251">
        <f>(AD23*0.0065)+17</f>
        <v>21.992000000000001</v>
      </c>
      <c r="AF23" s="250"/>
      <c r="AG23" s="251">
        <f t="shared" si="27"/>
        <v>15</v>
      </c>
      <c r="AH23" s="250">
        <v>768</v>
      </c>
      <c r="AI23" s="251">
        <f>(AH23*0.0065)+19</f>
        <v>23.992000000000001</v>
      </c>
      <c r="AJ23" s="252">
        <f t="shared" si="1"/>
        <v>8448</v>
      </c>
      <c r="AK23" s="253">
        <f t="shared" si="2"/>
        <v>344.91199999999998</v>
      </c>
      <c r="AL23" s="250">
        <v>768</v>
      </c>
      <c r="AM23" s="251">
        <f>(AL23*0.0065)+23</f>
        <v>27.992000000000001</v>
      </c>
      <c r="AN23" s="250"/>
      <c r="AO23" s="251">
        <f>(AN23*0.0065)/18+26</f>
        <v>26</v>
      </c>
      <c r="AP23" s="250"/>
      <c r="AQ23" s="251"/>
      <c r="AR23" s="250">
        <v>768</v>
      </c>
      <c r="AS23" s="251">
        <f>(AR23*0.0065)+12</f>
        <v>16.992000000000001</v>
      </c>
      <c r="AT23" s="250">
        <v>768</v>
      </c>
      <c r="AU23" s="251">
        <f>(AT23*0.0065)+18</f>
        <v>22.992000000000001</v>
      </c>
      <c r="AV23" s="250">
        <v>768</v>
      </c>
      <c r="AW23" s="251">
        <f>(AV23*0.0065)+14</f>
        <v>18.992000000000001</v>
      </c>
      <c r="AX23" s="250">
        <v>768</v>
      </c>
      <c r="AY23" s="251">
        <f>(AX23*0.0065)+17</f>
        <v>21.992000000000001</v>
      </c>
      <c r="AZ23" s="250">
        <v>768</v>
      </c>
      <c r="BA23" s="251">
        <f>(AZ23*0.0065)+14</f>
        <v>18.992000000000001</v>
      </c>
      <c r="BB23" s="250"/>
      <c r="BC23" s="251">
        <f>(BB23*0.0065)+10</f>
        <v>10</v>
      </c>
      <c r="BD23" s="250"/>
      <c r="BE23" s="251"/>
      <c r="BF23" s="250">
        <v>768</v>
      </c>
      <c r="BG23" s="251">
        <f>(BF23*0.0065)+19</f>
        <v>23.992000000000001</v>
      </c>
      <c r="BH23" s="250">
        <v>768</v>
      </c>
      <c r="BI23" s="251">
        <f>(BH23*0.0065)+25</f>
        <v>29.992000000000001</v>
      </c>
      <c r="BJ23" s="250"/>
      <c r="BK23" s="251">
        <f>(BJ23*0.0065)+15</f>
        <v>15</v>
      </c>
      <c r="BL23" s="250"/>
      <c r="BM23" s="251">
        <f>(BL23*0.0065)+15</f>
        <v>15</v>
      </c>
      <c r="BN23" s="250"/>
      <c r="BO23" s="251"/>
      <c r="BP23" s="250"/>
      <c r="BQ23" s="251"/>
      <c r="BR23" s="250"/>
      <c r="BS23" s="251"/>
      <c r="BT23" s="252">
        <f t="shared" si="4"/>
        <v>6144</v>
      </c>
      <c r="BU23" s="253">
        <f t="shared" si="5"/>
        <v>247.93599999999998</v>
      </c>
      <c r="BV23" s="255">
        <f t="shared" si="6"/>
        <v>592.84799999999996</v>
      </c>
      <c r="BW23" s="256">
        <f t="shared" si="7"/>
        <v>0</v>
      </c>
      <c r="BX23" s="257"/>
      <c r="BY23" s="256">
        <f t="shared" si="8"/>
        <v>0</v>
      </c>
      <c r="BZ23" s="256">
        <f t="shared" si="9"/>
        <v>0</v>
      </c>
    </row>
    <row r="24" spans="1:78" x14ac:dyDescent="0.25">
      <c r="A24" s="248">
        <v>20</v>
      </c>
      <c r="B24" s="249" t="s">
        <v>444</v>
      </c>
      <c r="C24" s="340" t="s">
        <v>333</v>
      </c>
      <c r="D24" s="250"/>
      <c r="E24" s="258">
        <f>(D24*0.0065)/12+15</f>
        <v>15</v>
      </c>
      <c r="F24" s="250">
        <f>35256-768</f>
        <v>34488</v>
      </c>
      <c r="G24" s="251">
        <f>(F24*0.0065)/13+5+2</f>
        <v>24.244</v>
      </c>
      <c r="H24" s="250">
        <v>51696</v>
      </c>
      <c r="I24" s="251">
        <f>(H24*0.0065)/14+12</f>
        <v>36.001714285714286</v>
      </c>
      <c r="J24" s="250"/>
      <c r="K24" s="332">
        <f t="shared" ref="K24" si="34">(J24*0.0065)/16</f>
        <v>0</v>
      </c>
      <c r="L24" s="250"/>
      <c r="M24" s="251"/>
      <c r="N24" s="250">
        <f>39192-768-768</f>
        <v>37656</v>
      </c>
      <c r="O24" s="251">
        <f>(N24*0.0065)/11+2+2</f>
        <v>26.251272727272724</v>
      </c>
      <c r="P24" s="250">
        <f>42864-768-768</f>
        <v>41328</v>
      </c>
      <c r="Q24" s="251">
        <f>(P24*0.0065)/11+2</f>
        <v>26.421090909090911</v>
      </c>
      <c r="R24" s="250">
        <f>30432-768-768</f>
        <v>28896</v>
      </c>
      <c r="S24" s="251">
        <f>(R24*0.0065)/11+2+2</f>
        <v>21.074909090909088</v>
      </c>
      <c r="T24" s="250">
        <f>29448-768-768</f>
        <v>27912</v>
      </c>
      <c r="U24" s="251">
        <f>(T24*0.0065)/12+3</f>
        <v>18.119</v>
      </c>
      <c r="V24" s="250">
        <f t="shared" ref="V24:V43" si="35">66144-768-768</f>
        <v>64608</v>
      </c>
      <c r="W24" s="251">
        <f>(V24*0.0065)/16+14+2</f>
        <v>42.247</v>
      </c>
      <c r="X24" s="250"/>
      <c r="Y24" s="251"/>
      <c r="Z24" s="250"/>
      <c r="AA24" s="251"/>
      <c r="AB24" s="250">
        <f>47928-768-768</f>
        <v>46392</v>
      </c>
      <c r="AC24" s="251">
        <f>(AB24*0.0065)/11+4</f>
        <v>31.413454545454545</v>
      </c>
      <c r="AD24" s="250">
        <f>29760-768-768</f>
        <v>28224</v>
      </c>
      <c r="AE24" s="251">
        <f>(AD24*0.0065)/11+2+2</f>
        <v>20.677818181818182</v>
      </c>
      <c r="AF24" s="250"/>
      <c r="AG24" s="251">
        <f t="shared" si="27"/>
        <v>15</v>
      </c>
      <c r="AH24" s="250">
        <f t="shared" ref="AH24:AH43" si="36">38736-768-768</f>
        <v>37200</v>
      </c>
      <c r="AI24" s="251">
        <f>(AH24*0.0065)/13+2</f>
        <v>20.599999999999998</v>
      </c>
      <c r="AJ24" s="252">
        <f t="shared" si="1"/>
        <v>398400</v>
      </c>
      <c r="AK24" s="253">
        <f t="shared" si="2"/>
        <v>297.05025974025966</v>
      </c>
      <c r="AL24" s="250">
        <f>43248-768-768</f>
        <v>41712</v>
      </c>
      <c r="AM24" s="251">
        <f>(AL24*0.0065)/13+4+2</f>
        <v>26.855999999999998</v>
      </c>
      <c r="AN24" s="250"/>
      <c r="AO24" s="251">
        <f t="shared" ref="AO24:AO28" si="37">(AN24*0.0065)/18+25</f>
        <v>25</v>
      </c>
      <c r="AP24" s="250"/>
      <c r="AQ24" s="251"/>
      <c r="AR24" s="250"/>
      <c r="AS24" s="251">
        <f>(AR24*0.0065)/6+15</f>
        <v>15</v>
      </c>
      <c r="AT24" s="250">
        <f>23184-768-768</f>
        <v>21648</v>
      </c>
      <c r="AU24" s="251">
        <f>(AT24*0.0065)/8+2+2</f>
        <v>21.588999999999999</v>
      </c>
      <c r="AV24" s="250"/>
      <c r="AW24" s="251">
        <f>(AV24*0.0065)/8+15</f>
        <v>15</v>
      </c>
      <c r="AX24" s="250">
        <f>23376-768-768</f>
        <v>21840</v>
      </c>
      <c r="AY24" s="251">
        <f>(AX24*0.0065)/8+2+2</f>
        <v>21.744999999999997</v>
      </c>
      <c r="AZ24" s="250">
        <f>13968-768-768</f>
        <v>12432</v>
      </c>
      <c r="BA24" s="251">
        <f>(AZ24*0.0065)/6+2</f>
        <v>15.467999999999998</v>
      </c>
      <c r="BB24" s="250"/>
      <c r="BC24" s="251"/>
      <c r="BD24" s="250"/>
      <c r="BE24" s="251"/>
      <c r="BF24" s="250">
        <f>34944-768-768</f>
        <v>33408</v>
      </c>
      <c r="BG24" s="251">
        <f>(BF24*0.0065)/12+4+2</f>
        <v>24.096</v>
      </c>
      <c r="BH24" s="250">
        <f>27456-768-768</f>
        <v>25920</v>
      </c>
      <c r="BI24" s="251">
        <f>(BH24*0.0065)/11+10</f>
        <v>25.316363636363633</v>
      </c>
      <c r="BJ24" s="250"/>
      <c r="BK24" s="251">
        <f>(BJ24*0.0065)+15</f>
        <v>15</v>
      </c>
      <c r="BL24" s="250"/>
      <c r="BM24" s="251"/>
      <c r="BN24" s="250"/>
      <c r="BO24" s="251"/>
      <c r="BP24" s="250"/>
      <c r="BQ24" s="251"/>
      <c r="BR24" s="250"/>
      <c r="BS24" s="251"/>
      <c r="BT24" s="252">
        <f t="shared" si="4"/>
        <v>156960</v>
      </c>
      <c r="BU24" s="253">
        <f t="shared" si="5"/>
        <v>205.07036363636362</v>
      </c>
      <c r="BV24" s="255">
        <f t="shared" si="6"/>
        <v>502.12062337662326</v>
      </c>
      <c r="BW24" s="256">
        <f t="shared" si="7"/>
        <v>1</v>
      </c>
      <c r="BX24" s="257"/>
      <c r="BY24" s="256">
        <f t="shared" si="8"/>
        <v>0</v>
      </c>
      <c r="BZ24" s="256">
        <f t="shared" si="9"/>
        <v>1</v>
      </c>
    </row>
    <row r="25" spans="1:78" x14ac:dyDescent="0.25">
      <c r="A25" s="248">
        <v>21</v>
      </c>
      <c r="B25" s="249" t="s">
        <v>309</v>
      </c>
      <c r="C25" s="340" t="s">
        <v>334</v>
      </c>
      <c r="D25" s="250"/>
      <c r="E25" s="258">
        <f>(D25*0.0065)/12+15</f>
        <v>15</v>
      </c>
      <c r="F25" s="250"/>
      <c r="G25" s="258">
        <f>(F25*0.0065)+18</f>
        <v>18</v>
      </c>
      <c r="H25" s="250">
        <v>51696</v>
      </c>
      <c r="I25" s="251">
        <f>(H25*0.0065)/14+12</f>
        <v>36.001714285714286</v>
      </c>
      <c r="J25" s="250"/>
      <c r="K25" s="251">
        <f t="shared" ref="K25:K28" si="38">(J25*0.0065)+15</f>
        <v>15</v>
      </c>
      <c r="L25" s="250"/>
      <c r="M25" s="251"/>
      <c r="N25" s="250">
        <f>39192-768-768</f>
        <v>37656</v>
      </c>
      <c r="O25" s="251">
        <f>(N25*0.0065)/11+2</f>
        <v>24.251272727272724</v>
      </c>
      <c r="P25" s="250">
        <f>42864-768-768</f>
        <v>41328</v>
      </c>
      <c r="Q25" s="251">
        <f>(P25*0.0065)/11+2</f>
        <v>26.421090909090911</v>
      </c>
      <c r="R25" s="250"/>
      <c r="S25" s="333">
        <f>(R25*0.0065)/11+15</f>
        <v>15</v>
      </c>
      <c r="T25" s="250">
        <f>29448-768-768</f>
        <v>27912</v>
      </c>
      <c r="U25" s="251">
        <f>(T25*0.0065)/12+3</f>
        <v>18.119</v>
      </c>
      <c r="V25" s="250">
        <f t="shared" si="35"/>
        <v>64608</v>
      </c>
      <c r="W25" s="251">
        <f t="shared" ref="W25:W28" si="39">(V25*0.0065)/16+14</f>
        <v>40.247</v>
      </c>
      <c r="X25" s="250"/>
      <c r="Y25" s="251"/>
      <c r="Z25" s="250"/>
      <c r="AA25" s="251"/>
      <c r="AB25" s="250">
        <f>47928-768-768</f>
        <v>46392</v>
      </c>
      <c r="AC25" s="251">
        <f>(AB25*0.0065)/11+4</f>
        <v>31.413454545454545</v>
      </c>
      <c r="AD25" s="250">
        <f>29760-768-768</f>
        <v>28224</v>
      </c>
      <c r="AE25" s="251">
        <f>(AD25*0.0065)/11+2</f>
        <v>18.677818181818182</v>
      </c>
      <c r="AF25" s="250"/>
      <c r="AG25" s="251">
        <f t="shared" si="27"/>
        <v>15</v>
      </c>
      <c r="AH25" s="250">
        <f t="shared" si="36"/>
        <v>37200</v>
      </c>
      <c r="AI25" s="251">
        <f>(AH25*0.0065)/13+2</f>
        <v>20.599999999999998</v>
      </c>
      <c r="AJ25" s="252">
        <f t="shared" si="1"/>
        <v>335016</v>
      </c>
      <c r="AK25" s="253">
        <f t="shared" si="2"/>
        <v>293.73135064935059</v>
      </c>
      <c r="AL25" s="250"/>
      <c r="AM25" s="333">
        <f>(AL25*0.0065)/13+20</f>
        <v>20</v>
      </c>
      <c r="AN25" s="250"/>
      <c r="AO25" s="251">
        <f t="shared" si="37"/>
        <v>25</v>
      </c>
      <c r="AP25" s="250"/>
      <c r="AQ25" s="251"/>
      <c r="AR25" s="250"/>
      <c r="AS25" s="251">
        <f>(AR25*0.0065)/6+15</f>
        <v>15</v>
      </c>
      <c r="AT25" s="250"/>
      <c r="AU25" s="251">
        <f>(AT25*0.0065)/8+19</f>
        <v>19</v>
      </c>
      <c r="AV25" s="250"/>
      <c r="AW25" s="251">
        <f>(AV25*0.0065)/8+15</f>
        <v>15</v>
      </c>
      <c r="AX25" s="250"/>
      <c r="AY25" s="332">
        <f t="shared" ref="AY25" si="40">(AX25*0.0065)/16</f>
        <v>0</v>
      </c>
      <c r="AZ25" s="250"/>
      <c r="BA25" s="251">
        <f>(AZ25*0.0065)/6+15</f>
        <v>15</v>
      </c>
      <c r="BB25" s="250"/>
      <c r="BC25" s="251"/>
      <c r="BD25" s="250"/>
      <c r="BE25" s="251"/>
      <c r="BF25" s="250">
        <f>34944-768-768</f>
        <v>33408</v>
      </c>
      <c r="BG25" s="251">
        <f>(BF25*0.0065)/12+4</f>
        <v>22.096</v>
      </c>
      <c r="BH25" s="250"/>
      <c r="BI25" s="333">
        <f>(BH25*0.0065)/11+20</f>
        <v>20</v>
      </c>
      <c r="BJ25" s="250"/>
      <c r="BK25" s="251"/>
      <c r="BL25" s="250"/>
      <c r="BM25" s="251"/>
      <c r="BN25" s="250"/>
      <c r="BO25" s="251"/>
      <c r="BP25" s="250"/>
      <c r="BQ25" s="251"/>
      <c r="BR25" s="250"/>
      <c r="BS25" s="251"/>
      <c r="BT25" s="252">
        <f t="shared" si="4"/>
        <v>33408</v>
      </c>
      <c r="BU25" s="253">
        <f t="shared" si="5"/>
        <v>151.096</v>
      </c>
      <c r="BV25" s="255">
        <f t="shared" si="6"/>
        <v>444.82735064935059</v>
      </c>
      <c r="BW25" s="256">
        <f t="shared" si="7"/>
        <v>0</v>
      </c>
      <c r="BX25" s="257"/>
      <c r="BY25" s="256">
        <f t="shared" si="8"/>
        <v>1</v>
      </c>
      <c r="BZ25" s="256">
        <f t="shared" si="9"/>
        <v>1</v>
      </c>
    </row>
    <row r="26" spans="1:78" x14ac:dyDescent="0.25">
      <c r="A26" s="248">
        <v>22</v>
      </c>
      <c r="B26" s="249" t="s">
        <v>309</v>
      </c>
      <c r="C26" s="340" t="s">
        <v>335</v>
      </c>
      <c r="D26" s="250">
        <v>28584</v>
      </c>
      <c r="E26" s="258">
        <f>(D26*0.0065)/12</f>
        <v>15.482999999999999</v>
      </c>
      <c r="F26" s="250">
        <v>34488</v>
      </c>
      <c r="G26" s="258">
        <f>(F26*0.0065)/13+1</f>
        <v>18.244</v>
      </c>
      <c r="H26" s="250">
        <v>51696</v>
      </c>
      <c r="I26" s="251">
        <f>(H26*0.0065)/14+12</f>
        <v>36.001714285714286</v>
      </c>
      <c r="J26" s="250"/>
      <c r="K26" s="251">
        <f t="shared" si="38"/>
        <v>15</v>
      </c>
      <c r="L26" s="250"/>
      <c r="M26" s="251"/>
      <c r="N26" s="250">
        <f>39192-768-768</f>
        <v>37656</v>
      </c>
      <c r="O26" s="251">
        <f>(N26*0.0065)/11+2</f>
        <v>24.251272727272724</v>
      </c>
      <c r="P26" s="250"/>
      <c r="Q26" s="332">
        <f t="shared" ref="Q26" si="41">(P26*0.0065)/16</f>
        <v>0</v>
      </c>
      <c r="R26" s="250">
        <f>30432-768-768</f>
        <v>28896</v>
      </c>
      <c r="S26" s="251">
        <f>(R26*0.0065)/11+2</f>
        <v>19.074909090909088</v>
      </c>
      <c r="T26" s="250">
        <f>29448-768-768</f>
        <v>27912</v>
      </c>
      <c r="U26" s="251">
        <f>(T26*0.0065)/12+3</f>
        <v>18.119</v>
      </c>
      <c r="V26" s="250">
        <f t="shared" si="35"/>
        <v>64608</v>
      </c>
      <c r="W26" s="251">
        <f t="shared" si="39"/>
        <v>40.247</v>
      </c>
      <c r="X26" s="250"/>
      <c r="Y26" s="251"/>
      <c r="Z26" s="250"/>
      <c r="AA26" s="251"/>
      <c r="AB26" s="250"/>
      <c r="AC26" s="333">
        <f>(AB26*0.0065)/11+25</f>
        <v>25</v>
      </c>
      <c r="AD26" s="250"/>
      <c r="AE26" s="251">
        <f>(AD26*0.0065)/11+18</f>
        <v>18</v>
      </c>
      <c r="AF26" s="250"/>
      <c r="AG26" s="251">
        <f t="shared" si="27"/>
        <v>15</v>
      </c>
      <c r="AH26" s="250">
        <f t="shared" si="36"/>
        <v>37200</v>
      </c>
      <c r="AI26" s="251">
        <f>(AH26*0.0065)/13+2</f>
        <v>20.599999999999998</v>
      </c>
      <c r="AJ26" s="252">
        <f t="shared" si="1"/>
        <v>311040</v>
      </c>
      <c r="AK26" s="253">
        <f t="shared" si="2"/>
        <v>265.02089610389612</v>
      </c>
      <c r="AL26" s="250"/>
      <c r="AM26" s="333">
        <f>(AL26*0.0065)/13+20</f>
        <v>20</v>
      </c>
      <c r="AN26" s="250"/>
      <c r="AO26" s="251">
        <f t="shared" si="37"/>
        <v>25</v>
      </c>
      <c r="AP26" s="250"/>
      <c r="AQ26" s="251"/>
      <c r="AR26" s="250"/>
      <c r="AS26" s="251">
        <f>(AR26*0.0065)/6+15</f>
        <v>15</v>
      </c>
      <c r="AT26" s="250">
        <f>23184-768-768</f>
        <v>21648</v>
      </c>
      <c r="AU26" s="251">
        <f>(AT26*0.0065)/8+2</f>
        <v>19.588999999999999</v>
      </c>
      <c r="AV26" s="250"/>
      <c r="AW26" s="251">
        <f>(AV26*0.0065)/8+15</f>
        <v>15</v>
      </c>
      <c r="AX26" s="250">
        <f>23376-768-768</f>
        <v>21840</v>
      </c>
      <c r="AY26" s="251">
        <f>(AX26*0.0065)/8+2</f>
        <v>19.744999999999997</v>
      </c>
      <c r="AZ26" s="250"/>
      <c r="BA26" s="251">
        <f>(AZ26*0.0065)/6+15</f>
        <v>15</v>
      </c>
      <c r="BB26" s="250"/>
      <c r="BC26" s="251"/>
      <c r="BD26" s="250"/>
      <c r="BE26" s="251"/>
      <c r="BF26" s="250"/>
      <c r="BG26" s="332">
        <f t="shared" ref="BG26" si="42">(BF26*0.0065)/16</f>
        <v>0</v>
      </c>
      <c r="BH26" s="250"/>
      <c r="BI26" s="333">
        <f>(BH26*0.0065)/11+20</f>
        <v>20</v>
      </c>
      <c r="BJ26" s="250"/>
      <c r="BK26" s="251"/>
      <c r="BL26" s="250"/>
      <c r="BM26" s="251"/>
      <c r="BN26" s="250"/>
      <c r="BO26" s="251"/>
      <c r="BP26" s="250"/>
      <c r="BQ26" s="251"/>
      <c r="BR26" s="250"/>
      <c r="BS26" s="251"/>
      <c r="BT26" s="252">
        <f t="shared" si="4"/>
        <v>43488</v>
      </c>
      <c r="BU26" s="253">
        <f t="shared" si="5"/>
        <v>149.334</v>
      </c>
      <c r="BV26" s="255">
        <f t="shared" si="6"/>
        <v>414.35489610389612</v>
      </c>
      <c r="BW26" s="256">
        <f t="shared" si="7"/>
        <v>1</v>
      </c>
      <c r="BX26" s="257"/>
      <c r="BY26" s="256">
        <f t="shared" si="8"/>
        <v>1</v>
      </c>
      <c r="BZ26" s="256">
        <f t="shared" si="9"/>
        <v>2</v>
      </c>
    </row>
    <row r="27" spans="1:78" x14ac:dyDescent="0.25">
      <c r="A27" s="248">
        <v>23</v>
      </c>
      <c r="B27" s="249" t="s">
        <v>444</v>
      </c>
      <c r="C27" s="340" t="s">
        <v>337</v>
      </c>
      <c r="D27" s="250">
        <f>29352-768</f>
        <v>28584</v>
      </c>
      <c r="E27" s="251">
        <f>(D27*0.0065)/12+5+2</f>
        <v>22.482999999999997</v>
      </c>
      <c r="F27" s="250">
        <f>35256-768</f>
        <v>34488</v>
      </c>
      <c r="G27" s="251">
        <f>(F27*0.0065)/13+5</f>
        <v>22.244</v>
      </c>
      <c r="H27" s="250">
        <v>51696</v>
      </c>
      <c r="I27" s="251">
        <f>(H27*0.0065)/14+2+12</f>
        <v>38.001714285714286</v>
      </c>
      <c r="J27" s="250"/>
      <c r="K27" s="251">
        <f t="shared" si="38"/>
        <v>15</v>
      </c>
      <c r="L27" s="250"/>
      <c r="M27" s="251"/>
      <c r="N27" s="250">
        <f>39192-768-768</f>
        <v>37656</v>
      </c>
      <c r="O27" s="251">
        <f>(N27*0.0065)/11+2</f>
        <v>24.251272727272724</v>
      </c>
      <c r="P27" s="250">
        <f>42864-768-768</f>
        <v>41328</v>
      </c>
      <c r="Q27" s="251">
        <f>(P27*0.0065)/11+2+2</f>
        <v>28.421090909090911</v>
      </c>
      <c r="R27" s="250">
        <f>30432-768-768</f>
        <v>28896</v>
      </c>
      <c r="S27" s="251">
        <f>(R27*0.0065)/11+2</f>
        <v>19.074909090909088</v>
      </c>
      <c r="T27" s="250">
        <f>29448-768-768</f>
        <v>27912</v>
      </c>
      <c r="U27" s="251">
        <f>(T27*0.0065)/12+3+2</f>
        <v>20.119</v>
      </c>
      <c r="V27" s="250">
        <f t="shared" si="35"/>
        <v>64608</v>
      </c>
      <c r="W27" s="251">
        <f t="shared" si="39"/>
        <v>40.247</v>
      </c>
      <c r="X27" s="250"/>
      <c r="Y27" s="251"/>
      <c r="Z27" s="250"/>
      <c r="AA27" s="251"/>
      <c r="AB27" s="250">
        <f>47928-768-768</f>
        <v>46392</v>
      </c>
      <c r="AC27" s="251">
        <f>(AB27*0.0065)/11+4+2</f>
        <v>33.413454545454542</v>
      </c>
      <c r="AD27" s="250">
        <f>29760-768-768</f>
        <v>28224</v>
      </c>
      <c r="AE27" s="251">
        <f>(AD27*0.0065)/11+2+2</f>
        <v>20.677818181818182</v>
      </c>
      <c r="AF27" s="250"/>
      <c r="AG27" s="251">
        <f t="shared" si="27"/>
        <v>15</v>
      </c>
      <c r="AH27" s="250">
        <f t="shared" si="36"/>
        <v>37200</v>
      </c>
      <c r="AI27" s="251">
        <f>(AH27*0.0065)/13+2+2</f>
        <v>22.599999999999998</v>
      </c>
      <c r="AJ27" s="252">
        <f t="shared" si="1"/>
        <v>426984</v>
      </c>
      <c r="AK27" s="253">
        <f t="shared" si="2"/>
        <v>321.53325974025967</v>
      </c>
      <c r="AL27" s="250">
        <f>43248-768-768</f>
        <v>41712</v>
      </c>
      <c r="AM27" s="251">
        <f>(AL27*0.0065)/13+4</f>
        <v>24.855999999999998</v>
      </c>
      <c r="AN27" s="250"/>
      <c r="AO27" s="251">
        <f t="shared" si="37"/>
        <v>25</v>
      </c>
      <c r="AP27" s="250"/>
      <c r="AQ27" s="251"/>
      <c r="AR27" s="250">
        <f>8232-768-768</f>
        <v>6696</v>
      </c>
      <c r="AS27" s="251">
        <f>(AR27*0.0066)/6+6+2</f>
        <v>15.365600000000001</v>
      </c>
      <c r="AT27" s="250"/>
      <c r="AU27" s="251">
        <f>(AT27*0.0065)/8+19</f>
        <v>19</v>
      </c>
      <c r="AV27" s="250">
        <f>18144-768-768</f>
        <v>16608</v>
      </c>
      <c r="AW27" s="251">
        <f>(AV27*0.0065)/8+2+2</f>
        <v>17.494</v>
      </c>
      <c r="AX27" s="250"/>
      <c r="AY27" s="251">
        <f>(AX27*0.0065)/8+19</f>
        <v>19</v>
      </c>
      <c r="AZ27" s="250">
        <f>13968-768-768</f>
        <v>12432</v>
      </c>
      <c r="BA27" s="251">
        <f>(AZ27*0.0065)/6+2+2</f>
        <v>17.467999999999996</v>
      </c>
      <c r="BB27" s="250"/>
      <c r="BC27" s="251"/>
      <c r="BD27" s="250"/>
      <c r="BE27" s="251"/>
      <c r="BF27" s="250">
        <f>34944-768-768</f>
        <v>33408</v>
      </c>
      <c r="BG27" s="251">
        <f>(BF27*0.0065)/12+4</f>
        <v>22.096</v>
      </c>
      <c r="BH27" s="250">
        <f>27456-768-768</f>
        <v>25920</v>
      </c>
      <c r="BI27" s="251">
        <f>(BH27*0.0065)/11+10+2</f>
        <v>27.316363636363633</v>
      </c>
      <c r="BJ27" s="250"/>
      <c r="BK27" s="251">
        <f>(BJ27*0.0065)+15</f>
        <v>15</v>
      </c>
      <c r="BL27" s="250"/>
      <c r="BM27" s="251"/>
      <c r="BN27" s="250"/>
      <c r="BO27" s="251"/>
      <c r="BP27" s="250"/>
      <c r="BQ27" s="251"/>
      <c r="BR27" s="250"/>
      <c r="BS27" s="251"/>
      <c r="BT27" s="252">
        <f t="shared" si="4"/>
        <v>136776</v>
      </c>
      <c r="BU27" s="253">
        <f t="shared" si="5"/>
        <v>202.59596363636362</v>
      </c>
      <c r="BV27" s="255">
        <f t="shared" si="6"/>
        <v>524.12922337662326</v>
      </c>
      <c r="BW27" s="256">
        <f t="shared" si="7"/>
        <v>0</v>
      </c>
      <c r="BX27" s="257"/>
      <c r="BY27" s="256">
        <f t="shared" si="8"/>
        <v>0</v>
      </c>
      <c r="BZ27" s="256">
        <f t="shared" si="9"/>
        <v>0</v>
      </c>
    </row>
    <row r="28" spans="1:78" x14ac:dyDescent="0.25">
      <c r="A28" s="248">
        <v>24</v>
      </c>
      <c r="B28" s="249" t="s">
        <v>309</v>
      </c>
      <c r="C28" s="340" t="s">
        <v>338</v>
      </c>
      <c r="D28" s="250">
        <f>29352-768</f>
        <v>28584</v>
      </c>
      <c r="E28" s="251">
        <f>(D28*0.0065)/12+5</f>
        <v>20.482999999999997</v>
      </c>
      <c r="F28" s="250">
        <f>35256-768</f>
        <v>34488</v>
      </c>
      <c r="G28" s="251">
        <f>(F28*0.0065)/13+5</f>
        <v>22.244</v>
      </c>
      <c r="H28" s="250"/>
      <c r="I28" s="251">
        <f>(H28*0.0065)/14+28</f>
        <v>28</v>
      </c>
      <c r="J28" s="250"/>
      <c r="K28" s="251">
        <f t="shared" si="38"/>
        <v>15</v>
      </c>
      <c r="L28" s="250"/>
      <c r="M28" s="251"/>
      <c r="N28" s="250">
        <f>39192-768-768</f>
        <v>37656</v>
      </c>
      <c r="O28" s="251">
        <f>(N28*0.0065)/11+2</f>
        <v>24.251272727272724</v>
      </c>
      <c r="P28" s="250"/>
      <c r="Q28" s="251">
        <f>(P28*0.0065)/11+26</f>
        <v>26</v>
      </c>
      <c r="R28" s="250">
        <f>30432-768-768</f>
        <v>28896</v>
      </c>
      <c r="S28" s="251">
        <f>(R28*0.0065)/11+2</f>
        <v>19.074909090909088</v>
      </c>
      <c r="T28" s="250"/>
      <c r="U28" s="333">
        <f>(T28*0.0065)/11+15</f>
        <v>15</v>
      </c>
      <c r="V28" s="250">
        <f t="shared" si="35"/>
        <v>64608</v>
      </c>
      <c r="W28" s="251">
        <f t="shared" si="39"/>
        <v>40.247</v>
      </c>
      <c r="X28" s="250"/>
      <c r="Y28" s="251"/>
      <c r="Z28" s="250"/>
      <c r="AA28" s="251"/>
      <c r="AB28" s="250"/>
      <c r="AC28" s="251">
        <f>(AB28*0.0065)/11+31</f>
        <v>31</v>
      </c>
      <c r="AD28" s="250"/>
      <c r="AE28" s="251">
        <f>(AD28*0.0065)/11+18</f>
        <v>18</v>
      </c>
      <c r="AF28" s="250"/>
      <c r="AG28" s="251">
        <f t="shared" si="27"/>
        <v>15</v>
      </c>
      <c r="AH28" s="250">
        <f t="shared" si="36"/>
        <v>37200</v>
      </c>
      <c r="AI28" s="251">
        <f>(AH28*0.0065)/13+2</f>
        <v>20.599999999999998</v>
      </c>
      <c r="AJ28" s="252">
        <f t="shared" si="1"/>
        <v>231432</v>
      </c>
      <c r="AK28" s="253">
        <f t="shared" si="2"/>
        <v>294.90018181818186</v>
      </c>
      <c r="AL28" s="250"/>
      <c r="AM28" s="333">
        <f>(AL28*0.0065)/13+20</f>
        <v>20</v>
      </c>
      <c r="AN28" s="250"/>
      <c r="AO28" s="251">
        <f t="shared" si="37"/>
        <v>25</v>
      </c>
      <c r="AP28" s="250"/>
      <c r="AQ28" s="251"/>
      <c r="AR28" s="250"/>
      <c r="AS28" s="251">
        <f>(AR28*0.0065)/6+15</f>
        <v>15</v>
      </c>
      <c r="AT28" s="250">
        <f>23184-768-768</f>
        <v>21648</v>
      </c>
      <c r="AU28" s="251">
        <f>(AT28*0.0065)/8+2</f>
        <v>19.588999999999999</v>
      </c>
      <c r="AV28" s="250"/>
      <c r="AW28" s="251">
        <f>(AV28*0.0065)/8+15</f>
        <v>15</v>
      </c>
      <c r="AX28" s="250">
        <f>23376-768-768</f>
        <v>21840</v>
      </c>
      <c r="AY28" s="251">
        <f>(AX28*0.0065)/8+2</f>
        <v>19.744999999999997</v>
      </c>
      <c r="AZ28" s="250"/>
      <c r="BA28" s="251">
        <f>(AZ28*0.0065)/6+15</f>
        <v>15</v>
      </c>
      <c r="BB28" s="250"/>
      <c r="BC28" s="251"/>
      <c r="BD28" s="250"/>
      <c r="BE28" s="251"/>
      <c r="BF28" s="250"/>
      <c r="BG28" s="333">
        <f>(BF28*0.0065)/8+15</f>
        <v>15</v>
      </c>
      <c r="BH28" s="250"/>
      <c r="BI28" s="332">
        <f t="shared" ref="BI28" si="43">(BH28*0.0065)/16</f>
        <v>0</v>
      </c>
      <c r="BJ28" s="250"/>
      <c r="BK28" s="251"/>
      <c r="BL28" s="250"/>
      <c r="BM28" s="251"/>
      <c r="BN28" s="250"/>
      <c r="BO28" s="251"/>
      <c r="BP28" s="250"/>
      <c r="BQ28" s="251"/>
      <c r="BR28" s="250"/>
      <c r="BS28" s="251"/>
      <c r="BT28" s="252">
        <f t="shared" si="4"/>
        <v>43488</v>
      </c>
      <c r="BU28" s="253">
        <f t="shared" si="5"/>
        <v>144.334</v>
      </c>
      <c r="BV28" s="255">
        <f t="shared" si="6"/>
        <v>439.23418181818187</v>
      </c>
      <c r="BW28" s="256">
        <f t="shared" si="7"/>
        <v>0</v>
      </c>
      <c r="BX28" s="257"/>
      <c r="BY28" s="256">
        <f t="shared" si="8"/>
        <v>1</v>
      </c>
      <c r="BZ28" s="256">
        <f t="shared" si="9"/>
        <v>1</v>
      </c>
    </row>
    <row r="29" spans="1:78" x14ac:dyDescent="0.25">
      <c r="A29" s="356">
        <v>26</v>
      </c>
      <c r="B29" s="356" t="s">
        <v>309</v>
      </c>
      <c r="C29" s="340" t="s">
        <v>445</v>
      </c>
      <c r="D29" s="250"/>
      <c r="E29" s="251"/>
      <c r="F29" s="250"/>
      <c r="G29" s="251"/>
      <c r="H29" s="250"/>
      <c r="I29" s="251"/>
      <c r="J29" s="250"/>
      <c r="K29" s="251"/>
      <c r="L29" s="250"/>
      <c r="M29" s="251"/>
      <c r="N29" s="250"/>
      <c r="O29" s="251"/>
      <c r="P29" s="250"/>
      <c r="Q29" s="251"/>
      <c r="R29" s="250"/>
      <c r="S29" s="251"/>
      <c r="T29" s="250"/>
      <c r="U29" s="251"/>
      <c r="V29" s="250"/>
      <c r="W29" s="251"/>
      <c r="X29" s="250"/>
      <c r="Y29" s="251"/>
      <c r="Z29" s="250"/>
      <c r="AA29" s="251"/>
      <c r="AB29" s="250"/>
      <c r="AC29" s="333">
        <f>(AB29*0.0065)/11+20</f>
        <v>20</v>
      </c>
      <c r="AD29" s="250"/>
      <c r="AE29" s="251">
        <f>(AD29*0.0065)/11+18</f>
        <v>18</v>
      </c>
      <c r="AF29" s="250"/>
      <c r="AG29" s="251">
        <f>(AF29*0.0065)+15</f>
        <v>15</v>
      </c>
      <c r="AH29" s="250"/>
      <c r="AI29" s="251">
        <f>(AH29*0.0065)/13+20</f>
        <v>20</v>
      </c>
      <c r="AJ29" s="252">
        <f t="shared" si="1"/>
        <v>0</v>
      </c>
      <c r="AK29" s="253">
        <f t="shared" si="2"/>
        <v>73</v>
      </c>
      <c r="AL29" s="250"/>
      <c r="AM29" s="251">
        <f>(AL29*0.0065)/13+24</f>
        <v>24</v>
      </c>
      <c r="AN29" s="250"/>
      <c r="AO29" s="251">
        <f>(AN29*0.0065)/18+25</f>
        <v>25</v>
      </c>
      <c r="AP29" s="250"/>
      <c r="AQ29" s="251"/>
      <c r="AR29" s="250"/>
      <c r="AS29" s="251">
        <f>(AR29*0.0065)/6+15</f>
        <v>15</v>
      </c>
      <c r="AT29" s="250">
        <f>23184-768-768</f>
        <v>21648</v>
      </c>
      <c r="AU29" s="251">
        <f>(AT29*0.0065)/8+2</f>
        <v>19.588999999999999</v>
      </c>
      <c r="AV29" s="250"/>
      <c r="AW29" s="333">
        <f>(AV29*0.0065)/8+15</f>
        <v>15</v>
      </c>
      <c r="AX29" s="250"/>
      <c r="AY29" s="251">
        <f>(AX29*0.0065)/8+19</f>
        <v>19</v>
      </c>
      <c r="AZ29" s="250"/>
      <c r="BA29" s="251">
        <f>(AZ29*0.0065)/6+15</f>
        <v>15</v>
      </c>
      <c r="BB29" s="250"/>
      <c r="BC29" s="251"/>
      <c r="BD29" s="250"/>
      <c r="BE29" s="251"/>
      <c r="BF29" s="250"/>
      <c r="BG29" s="333">
        <f>(BF29*0.0065)/8+15</f>
        <v>15</v>
      </c>
      <c r="BH29" s="250">
        <f>27456-768-768</f>
        <v>25920</v>
      </c>
      <c r="BI29" s="251">
        <f>(BH29*0.0065)/11+10</f>
        <v>25.316363636363633</v>
      </c>
      <c r="BJ29" s="250"/>
      <c r="BK29" s="251"/>
      <c r="BL29" s="250"/>
      <c r="BM29" s="251"/>
      <c r="BN29" s="250"/>
      <c r="BO29" s="251"/>
      <c r="BP29" s="250"/>
      <c r="BQ29" s="251"/>
      <c r="BR29" s="250"/>
      <c r="BS29" s="251"/>
      <c r="BT29" s="252">
        <f t="shared" si="4"/>
        <v>47568</v>
      </c>
      <c r="BU29" s="253">
        <f t="shared" si="5"/>
        <v>172.90536363636363</v>
      </c>
      <c r="BV29" s="255">
        <f t="shared" si="6"/>
        <v>245.90536363636363</v>
      </c>
      <c r="BW29" s="256">
        <f t="shared" si="7"/>
        <v>0</v>
      </c>
      <c r="BX29" s="257"/>
      <c r="BY29" s="256">
        <f t="shared" si="8"/>
        <v>0</v>
      </c>
      <c r="BZ29" s="256">
        <f t="shared" si="9"/>
        <v>0</v>
      </c>
    </row>
    <row r="30" spans="1:78" x14ac:dyDescent="0.25">
      <c r="A30" s="356">
        <v>27</v>
      </c>
      <c r="B30" s="356" t="s">
        <v>309</v>
      </c>
      <c r="C30" s="340" t="s">
        <v>446</v>
      </c>
      <c r="D30" s="250"/>
      <c r="E30" s="342"/>
      <c r="F30" s="250"/>
      <c r="G30" s="342"/>
      <c r="H30" s="250"/>
      <c r="I30" s="342"/>
      <c r="J30" s="250"/>
      <c r="K30" s="342"/>
      <c r="L30" s="250"/>
      <c r="M30" s="342"/>
      <c r="N30" s="250"/>
      <c r="O30" s="342"/>
      <c r="P30" s="250"/>
      <c r="Q30" s="342"/>
      <c r="R30" s="250"/>
      <c r="S30" s="342"/>
      <c r="T30" s="250"/>
      <c r="U30" s="342"/>
      <c r="V30" s="250"/>
      <c r="W30" s="342"/>
      <c r="X30" s="250"/>
      <c r="Y30" s="342"/>
      <c r="Z30" s="250"/>
      <c r="AA30" s="342"/>
      <c r="AB30" s="250"/>
      <c r="AC30" s="342"/>
      <c r="AD30" s="250"/>
      <c r="AE30" s="251"/>
      <c r="AF30" s="250"/>
      <c r="AG30" s="342"/>
      <c r="AH30" s="250"/>
      <c r="AI30" s="251"/>
      <c r="AJ30" s="252"/>
      <c r="AK30" s="253"/>
      <c r="AL30" s="250"/>
      <c r="AM30" s="342"/>
      <c r="AN30" s="250"/>
      <c r="AO30" s="342"/>
      <c r="AP30" s="250"/>
      <c r="AQ30" s="342"/>
      <c r="AR30" s="250"/>
      <c r="AS30" s="342"/>
      <c r="AT30" s="250"/>
      <c r="AU30" s="342"/>
      <c r="AV30" s="250"/>
      <c r="AW30" s="342"/>
      <c r="AX30" s="250"/>
      <c r="AY30" s="357">
        <f>(AX30*0.0065)/8+15</f>
        <v>15</v>
      </c>
      <c r="AZ30" s="250"/>
      <c r="BA30" s="251">
        <f>(AZ30*0.0065)/6+15</f>
        <v>15</v>
      </c>
      <c r="BB30" s="250"/>
      <c r="BC30" s="251"/>
      <c r="BD30" s="250"/>
      <c r="BE30" s="251"/>
      <c r="BF30" s="250">
        <f>34944-768-768</f>
        <v>33408</v>
      </c>
      <c r="BG30" s="251">
        <f>(BF30*0.0065)/12+4</f>
        <v>22.096</v>
      </c>
      <c r="BH30" s="250"/>
      <c r="BI30" s="333">
        <f>(BH30*0.0065)/11+20</f>
        <v>20</v>
      </c>
      <c r="BJ30" s="250"/>
      <c r="BK30" s="251"/>
      <c r="BL30" s="250"/>
      <c r="BM30" s="251"/>
      <c r="BN30" s="250"/>
      <c r="BO30" s="251"/>
      <c r="BP30" s="250"/>
      <c r="BQ30" s="251"/>
      <c r="BR30" s="250"/>
      <c r="BS30" s="251"/>
      <c r="BT30" s="252">
        <f t="shared" si="4"/>
        <v>33408</v>
      </c>
      <c r="BU30" s="253">
        <f t="shared" si="5"/>
        <v>72.096000000000004</v>
      </c>
      <c r="BV30" s="255">
        <f t="shared" si="6"/>
        <v>72.096000000000004</v>
      </c>
      <c r="BW30" s="256">
        <f t="shared" si="7"/>
        <v>0</v>
      </c>
      <c r="BX30" s="257"/>
      <c r="BY30" s="256">
        <f t="shared" si="8"/>
        <v>0</v>
      </c>
      <c r="BZ30" s="256">
        <f t="shared" si="9"/>
        <v>0</v>
      </c>
    </row>
    <row r="31" spans="1:78" x14ac:dyDescent="0.25">
      <c r="A31" s="356">
        <v>28</v>
      </c>
      <c r="B31" s="356" t="s">
        <v>309</v>
      </c>
      <c r="C31" s="340" t="s">
        <v>447</v>
      </c>
      <c r="D31" s="250"/>
      <c r="E31" s="342"/>
      <c r="F31" s="250"/>
      <c r="G31" s="342"/>
      <c r="H31" s="250"/>
      <c r="I31" s="342"/>
      <c r="J31" s="250"/>
      <c r="K31" s="342"/>
      <c r="L31" s="250"/>
      <c r="M31" s="342"/>
      <c r="N31" s="250"/>
      <c r="O31" s="342"/>
      <c r="P31" s="250"/>
      <c r="Q31" s="342"/>
      <c r="R31" s="250"/>
      <c r="S31" s="342"/>
      <c r="T31" s="250"/>
      <c r="U31" s="342"/>
      <c r="V31" s="250"/>
      <c r="W31" s="342"/>
      <c r="X31" s="250"/>
      <c r="Y31" s="342"/>
      <c r="Z31" s="250"/>
      <c r="AA31" s="342"/>
      <c r="AB31" s="250"/>
      <c r="AC31" s="342"/>
      <c r="AD31" s="250"/>
      <c r="AE31" s="251"/>
      <c r="AF31" s="250"/>
      <c r="AG31" s="342"/>
      <c r="AH31" s="250"/>
      <c r="AI31" s="251"/>
      <c r="AJ31" s="252"/>
      <c r="AK31" s="253"/>
      <c r="AL31" s="250"/>
      <c r="AM31" s="342"/>
      <c r="AN31" s="250"/>
      <c r="AO31" s="342"/>
      <c r="AP31" s="250"/>
      <c r="AQ31" s="342"/>
      <c r="AR31" s="250"/>
      <c r="AS31" s="342"/>
      <c r="AT31" s="250"/>
      <c r="AU31" s="342"/>
      <c r="AV31" s="250"/>
      <c r="AW31" s="342"/>
      <c r="AX31" s="250"/>
      <c r="AY31" s="357">
        <f t="shared" ref="AY31:AY33" si="44">(AX31*0.0065)/8+15</f>
        <v>15</v>
      </c>
      <c r="AZ31" s="250"/>
      <c r="BA31" s="251">
        <f>(AZ31*0.0065)/6+15</f>
        <v>15</v>
      </c>
      <c r="BB31" s="250"/>
      <c r="BC31" s="251"/>
      <c r="BD31" s="250"/>
      <c r="BE31" s="251"/>
      <c r="BF31" s="250"/>
      <c r="BG31" s="251">
        <f>(BF31*0.0065)/12+22</f>
        <v>22</v>
      </c>
      <c r="BH31" s="250">
        <f>27456-768-768</f>
        <v>25920</v>
      </c>
      <c r="BI31" s="251">
        <f>(BH31*0.0065)/11+10</f>
        <v>25.316363636363633</v>
      </c>
      <c r="BJ31" s="250"/>
      <c r="BK31" s="251"/>
      <c r="BL31" s="250"/>
      <c r="BM31" s="251"/>
      <c r="BN31" s="250"/>
      <c r="BO31" s="251"/>
      <c r="BP31" s="250"/>
      <c r="BQ31" s="251"/>
      <c r="BR31" s="250"/>
      <c r="BS31" s="251"/>
      <c r="BT31" s="252">
        <f t="shared" si="4"/>
        <v>25920</v>
      </c>
      <c r="BU31" s="253">
        <f t="shared" si="5"/>
        <v>77.316363636363633</v>
      </c>
      <c r="BV31" s="255">
        <f t="shared" si="6"/>
        <v>77.316363636363633</v>
      </c>
      <c r="BW31" s="256">
        <f t="shared" si="7"/>
        <v>0</v>
      </c>
      <c r="BX31" s="257"/>
      <c r="BY31" s="256">
        <f t="shared" si="8"/>
        <v>0</v>
      </c>
      <c r="BZ31" s="256">
        <f t="shared" si="9"/>
        <v>0</v>
      </c>
    </row>
    <row r="32" spans="1:78" x14ac:dyDescent="0.25">
      <c r="A32" s="355"/>
      <c r="B32" s="261" t="s">
        <v>308</v>
      </c>
      <c r="C32" s="340" t="s">
        <v>476</v>
      </c>
      <c r="D32" s="250"/>
      <c r="E32" s="251">
        <f>(D32*0.0065)/16</f>
        <v>0</v>
      </c>
      <c r="F32" s="250"/>
      <c r="G32" s="251">
        <f>(F32*0.0065)/16</f>
        <v>0</v>
      </c>
      <c r="H32" s="250"/>
      <c r="I32" s="251">
        <f t="shared" ref="I32" si="45">(H32*0.0065)/16</f>
        <v>0</v>
      </c>
      <c r="J32" s="250"/>
      <c r="K32" s="251">
        <f t="shared" ref="K32" si="46">(J32*0.0065)/16</f>
        <v>0</v>
      </c>
      <c r="L32" s="250"/>
      <c r="M32" s="251"/>
      <c r="N32" s="250"/>
      <c r="O32" s="251">
        <f t="shared" ref="O32" si="47">(N32*0.0065)/16</f>
        <v>0</v>
      </c>
      <c r="P32" s="250"/>
      <c r="Q32" s="251">
        <f>(P32*0.0065)/11+20</f>
        <v>20</v>
      </c>
      <c r="R32" s="250"/>
      <c r="S32" s="332">
        <f t="shared" ref="S32" si="48">(R32*0.0065)/16</f>
        <v>0</v>
      </c>
      <c r="T32" s="250"/>
      <c r="U32" s="251">
        <f t="shared" ref="U32" si="49">(T32*0.0065)/16</f>
        <v>0</v>
      </c>
      <c r="V32" s="250"/>
      <c r="W32" s="251">
        <f t="shared" ref="W32" si="50">(V32*0.0065)/16</f>
        <v>0</v>
      </c>
      <c r="X32" s="250"/>
      <c r="Y32" s="251">
        <f t="shared" ref="Y32" si="51">(X32*0.0065)/16</f>
        <v>0</v>
      </c>
      <c r="Z32" s="250"/>
      <c r="AA32" s="251"/>
      <c r="AB32" s="250"/>
      <c r="AC32" s="251">
        <f t="shared" ref="AC32" si="52">(AB32*0.0065)/16</f>
        <v>0</v>
      </c>
      <c r="AD32" s="250"/>
      <c r="AE32" s="251">
        <f t="shared" ref="AE32" si="53">(AD32*0.0065)/16</f>
        <v>0</v>
      </c>
      <c r="AF32" s="250"/>
      <c r="AG32" s="251">
        <f t="shared" ref="AG32" si="54">(AF32*0.0065)/16</f>
        <v>0</v>
      </c>
      <c r="AH32" s="250"/>
      <c r="AI32" s="251">
        <f t="shared" ref="AI32" si="55">(AH32*0.0065)/16</f>
        <v>0</v>
      </c>
      <c r="AJ32" s="252">
        <f>+D32+F32+H32+J32+N32+P32+R32+T32+V32+X32+Z32+AH32+L32+AB32+AD32+AF32</f>
        <v>0</v>
      </c>
      <c r="AK32" s="253">
        <f>E32+G32+I32+K32+M32+O32+Q32+S32+U32+W32+Y32+AA32+AI32+AC32+AE32+AG32</f>
        <v>20</v>
      </c>
      <c r="AL32" s="250"/>
      <c r="AM32" s="251">
        <f t="shared" ref="AM32" si="56">(AL32*0.0065)/16</f>
        <v>0</v>
      </c>
      <c r="AN32" s="250"/>
      <c r="AO32" s="251">
        <f t="shared" ref="AO32" si="57">(AN32*0.0065)/16</f>
        <v>0</v>
      </c>
      <c r="AP32" s="250"/>
      <c r="AQ32" s="251"/>
      <c r="AR32" s="250"/>
      <c r="AS32" s="251">
        <f t="shared" ref="AS32" si="58">(AR32*0.0065)/16</f>
        <v>0</v>
      </c>
      <c r="AT32" s="250"/>
      <c r="AU32" s="251">
        <f t="shared" ref="AU32" si="59">(AT32*0.0065)/16</f>
        <v>0</v>
      </c>
      <c r="AV32" s="250"/>
      <c r="AW32" s="251">
        <f t="shared" ref="AW32" si="60">(AV32*0.0065)/16</f>
        <v>0</v>
      </c>
      <c r="AX32" s="250"/>
      <c r="AY32" s="251">
        <f t="shared" ref="AY32" si="61">(AX32*0.0065)/16</f>
        <v>0</v>
      </c>
      <c r="AZ32" s="250"/>
      <c r="BA32" s="251">
        <f t="shared" ref="BA32" si="62">(AZ32*0.0065)/16</f>
        <v>0</v>
      </c>
      <c r="BB32" s="250"/>
      <c r="BC32" s="251">
        <f t="shared" ref="BC32" si="63">(BB32*0.0065)/16</f>
        <v>0</v>
      </c>
      <c r="BD32" s="250"/>
      <c r="BE32" s="251"/>
      <c r="BF32" s="250"/>
      <c r="BG32" s="251">
        <f t="shared" ref="BG32" si="64">(BF32*0.0065)/16</f>
        <v>0</v>
      </c>
      <c r="BH32" s="250"/>
      <c r="BI32" s="251">
        <f t="shared" ref="BI32" si="65">(BH32*0.0065)/16</f>
        <v>0</v>
      </c>
      <c r="BJ32" s="250"/>
      <c r="BK32" s="251">
        <f t="shared" ref="BK32" si="66">(BJ32*0.0065)/16</f>
        <v>0</v>
      </c>
      <c r="BL32" s="250"/>
      <c r="BM32" s="251">
        <f t="shared" ref="BM32" si="67">(BL32*0.0065)/16</f>
        <v>0</v>
      </c>
      <c r="BN32" s="250"/>
      <c r="BO32" s="251">
        <f t="shared" ref="BO32" si="68">(BN32*0.0065)/16</f>
        <v>0</v>
      </c>
      <c r="BP32" s="250"/>
      <c r="BQ32" s="251"/>
      <c r="BR32" s="250"/>
      <c r="BS32" s="251"/>
      <c r="BT32" s="252">
        <f>+AL32+AN32+AP32+AR32+AT32+AV32+AX32+AZ32+BB32+BD32+BJ32+BF32+BH32+BL32+BR32+BP32+BN32</f>
        <v>0</v>
      </c>
      <c r="BU32" s="253">
        <f>+AM32+AO32+AQ32+AS32+AU32+AW32+AY32+BA32+BC32+BE32+BK32+BI32+BG32+BM32+BS32+BQ32+BO32</f>
        <v>0</v>
      </c>
      <c r="BV32" s="255">
        <f>+AK32+BU32</f>
        <v>20</v>
      </c>
      <c r="BW32" s="256">
        <f>COUNTIF(D32:AI32,0)</f>
        <v>13</v>
      </c>
      <c r="BX32" s="257"/>
      <c r="BY32" s="256">
        <f>COUNTIF(AL32:BS32,0)</f>
        <v>13</v>
      </c>
      <c r="BZ32" s="256">
        <f>+BW32+BY32</f>
        <v>26</v>
      </c>
    </row>
    <row r="33" spans="1:78" x14ac:dyDescent="0.25">
      <c r="A33" s="356">
        <v>29</v>
      </c>
      <c r="B33" s="356" t="s">
        <v>308</v>
      </c>
      <c r="C33" s="340" t="s">
        <v>448</v>
      </c>
      <c r="D33" s="250"/>
      <c r="E33" s="342"/>
      <c r="F33" s="250"/>
      <c r="G33" s="342"/>
      <c r="H33" s="250"/>
      <c r="I33" s="342"/>
      <c r="J33" s="250"/>
      <c r="K33" s="342"/>
      <c r="L33" s="250"/>
      <c r="M33" s="342"/>
      <c r="N33" s="250"/>
      <c r="O33" s="342"/>
      <c r="P33" s="250"/>
      <c r="Q33" s="342"/>
      <c r="R33" s="250"/>
      <c r="S33" s="342"/>
      <c r="T33" s="250"/>
      <c r="U33" s="342"/>
      <c r="V33" s="250"/>
      <c r="W33" s="342"/>
      <c r="X33" s="250"/>
      <c r="Y33" s="342"/>
      <c r="Z33" s="250"/>
      <c r="AA33" s="342"/>
      <c r="AB33" s="250"/>
      <c r="AC33" s="342"/>
      <c r="AD33" s="250"/>
      <c r="AE33" s="251"/>
      <c r="AF33" s="250"/>
      <c r="AG33" s="342"/>
      <c r="AH33" s="250"/>
      <c r="AI33" s="251"/>
      <c r="AJ33" s="252"/>
      <c r="AK33" s="253"/>
      <c r="AL33" s="250"/>
      <c r="AM33" s="342"/>
      <c r="AN33" s="250"/>
      <c r="AO33" s="342"/>
      <c r="AP33" s="250"/>
      <c r="AQ33" s="342"/>
      <c r="AR33" s="250"/>
      <c r="AS33" s="342"/>
      <c r="AT33" s="250"/>
      <c r="AU33" s="342"/>
      <c r="AV33" s="250"/>
      <c r="AW33" s="342"/>
      <c r="AX33" s="250"/>
      <c r="AY33" s="357">
        <f t="shared" si="44"/>
        <v>15</v>
      </c>
      <c r="AZ33" s="250"/>
      <c r="BA33" s="251">
        <f>(AZ33*0.0065)/6+15</f>
        <v>15</v>
      </c>
      <c r="BB33" s="250"/>
      <c r="BC33" s="251"/>
      <c r="BD33" s="250"/>
      <c r="BE33" s="251"/>
      <c r="BF33" s="250"/>
      <c r="BG33" s="251">
        <f>(BF33*0.0065)/12+22</f>
        <v>22</v>
      </c>
      <c r="BH33" s="250"/>
      <c r="BI33" s="251">
        <f>(BH33*0.0065)/13+25</f>
        <v>25</v>
      </c>
      <c r="BJ33" s="250"/>
      <c r="BK33" s="251"/>
      <c r="BL33" s="250"/>
      <c r="BM33" s="251"/>
      <c r="BN33" s="250"/>
      <c r="BO33" s="251"/>
      <c r="BP33" s="250"/>
      <c r="BQ33" s="251"/>
      <c r="BR33" s="250"/>
      <c r="BS33" s="251"/>
      <c r="BT33" s="252">
        <f t="shared" si="4"/>
        <v>0</v>
      </c>
      <c r="BU33" s="253">
        <f t="shared" si="5"/>
        <v>77</v>
      </c>
      <c r="BV33" s="255">
        <f t="shared" si="6"/>
        <v>77</v>
      </c>
      <c r="BW33" s="256">
        <f t="shared" si="7"/>
        <v>0</v>
      </c>
      <c r="BX33" s="257"/>
      <c r="BY33" s="256">
        <f t="shared" si="8"/>
        <v>0</v>
      </c>
      <c r="BZ33" s="256">
        <f t="shared" si="9"/>
        <v>0</v>
      </c>
    </row>
    <row r="34" spans="1:78" x14ac:dyDescent="0.25">
      <c r="A34" s="248"/>
      <c r="B34" s="249" t="s">
        <v>308</v>
      </c>
      <c r="C34" s="331" t="s">
        <v>306</v>
      </c>
      <c r="D34" s="250">
        <f>29352-768</f>
        <v>28584</v>
      </c>
      <c r="E34" s="251">
        <f>(D34*0.0065)/12+5</f>
        <v>20.482999999999997</v>
      </c>
      <c r="F34" s="250">
        <f>35256-768</f>
        <v>34488</v>
      </c>
      <c r="G34" s="251">
        <f>(F34*0.0065)/13+5</f>
        <v>22.244</v>
      </c>
      <c r="H34" s="250"/>
      <c r="I34" s="332">
        <f>(H34*0.0065)/16</f>
        <v>0</v>
      </c>
      <c r="J34" s="250"/>
      <c r="K34" s="332">
        <f t="shared" ref="K34" si="69">(J34*0.0065)/16</f>
        <v>0</v>
      </c>
      <c r="L34" s="250"/>
      <c r="M34" s="251"/>
      <c r="N34" s="250"/>
      <c r="O34" s="332">
        <f>(N34*0.0065)/16</f>
        <v>0</v>
      </c>
      <c r="P34" s="250"/>
      <c r="Q34" s="332">
        <f>(P34*0.0065)/16</f>
        <v>0</v>
      </c>
      <c r="R34" s="250"/>
      <c r="S34" s="332">
        <f>(R34*0.0065)/16</f>
        <v>0</v>
      </c>
      <c r="T34" s="250"/>
      <c r="U34" s="251">
        <f>(T34*0.0065)/16</f>
        <v>0</v>
      </c>
      <c r="V34" s="250"/>
      <c r="W34" s="251">
        <f>(V34*0.0065)/16</f>
        <v>0</v>
      </c>
      <c r="X34" s="250"/>
      <c r="Y34" s="251">
        <f>(X34*0.0065)/16</f>
        <v>0</v>
      </c>
      <c r="Z34" s="250"/>
      <c r="AA34" s="251"/>
      <c r="AB34" s="250"/>
      <c r="AC34" s="251">
        <f>(AB34*0.0065)/16</f>
        <v>0</v>
      </c>
      <c r="AD34" s="250"/>
      <c r="AE34" s="251">
        <f>(AD34*0.0065)/16</f>
        <v>0</v>
      </c>
      <c r="AF34" s="250"/>
      <c r="AG34" s="251">
        <f>(AF34*0.0065)/16</f>
        <v>0</v>
      </c>
      <c r="AH34" s="250"/>
      <c r="AI34" s="251">
        <f>(AH34*0.0065)/16</f>
        <v>0</v>
      </c>
      <c r="AJ34" s="252">
        <f t="shared" ref="AJ34:AJ44" si="70">+D34+F34+H34+J34+N34+P34+R34+T34+V34+X34+Z34+AH34+L34+AB34+AD34+AF34</f>
        <v>63072</v>
      </c>
      <c r="AK34" s="253">
        <f t="shared" ref="AK34:AK44" si="71">E34+G34+I34+K34+M34+O34+Q34+S34+U34+W34+Y34+AA34+AI34+AC34+AE34+AG34</f>
        <v>42.726999999999997</v>
      </c>
      <c r="AL34" s="250"/>
      <c r="AM34" s="251">
        <f>(AL34*0.0065)/16</f>
        <v>0</v>
      </c>
      <c r="AN34" s="250"/>
      <c r="AO34" s="251">
        <f>(AN34*0.0065)/16</f>
        <v>0</v>
      </c>
      <c r="AP34" s="250"/>
      <c r="AQ34" s="251"/>
      <c r="AR34" s="250"/>
      <c r="AS34" s="251">
        <f>(AR34*0.0065)/16</f>
        <v>0</v>
      </c>
      <c r="AT34" s="250"/>
      <c r="AU34" s="251">
        <f>(AT34*0.0065)/16</f>
        <v>0</v>
      </c>
      <c r="AV34" s="250"/>
      <c r="AW34" s="251">
        <f>(AV34*0.0065)/16</f>
        <v>0</v>
      </c>
      <c r="AX34" s="250"/>
      <c r="AY34" s="251">
        <f>(AX34*0.0065)/16</f>
        <v>0</v>
      </c>
      <c r="AZ34" s="250"/>
      <c r="BA34" s="251">
        <f>(AZ34*0.0065)/16</f>
        <v>0</v>
      </c>
      <c r="BB34" s="250"/>
      <c r="BC34" s="251">
        <f>(BB34*0.0065)/16</f>
        <v>0</v>
      </c>
      <c r="BD34" s="250"/>
      <c r="BE34" s="251"/>
      <c r="BF34" s="250"/>
      <c r="BG34" s="251">
        <f>(BF34*0.0065)/16</f>
        <v>0</v>
      </c>
      <c r="BH34" s="250"/>
      <c r="BI34" s="251">
        <f>(BH34*0.0065)/16</f>
        <v>0</v>
      </c>
      <c r="BJ34" s="250"/>
      <c r="BK34" s="251">
        <f>(BJ34*0.0065)/16</f>
        <v>0</v>
      </c>
      <c r="BL34" s="250"/>
      <c r="BM34" s="251">
        <f>(BL34*0.0065)/16</f>
        <v>0</v>
      </c>
      <c r="BN34" s="250"/>
      <c r="BO34" s="251">
        <f>(BN34*0.0065)/16</f>
        <v>0</v>
      </c>
      <c r="BP34" s="250"/>
      <c r="BQ34" s="251"/>
      <c r="BR34" s="250"/>
      <c r="BS34" s="251"/>
      <c r="BT34" s="252">
        <f t="shared" ref="BT34:BT43" si="72">+AL34+AN34+AP34+AR34+AT34+AV34+AX34+AZ34+BB34+BD34+BJ34+BF34+BH34+BL34+BR34+BP34+BN34</f>
        <v>0</v>
      </c>
      <c r="BU34" s="253">
        <f t="shared" ref="BU34:BU43" si="73">+AM34+AO34+AQ34+AS34+AU34+AW34+AY34+BA34+BC34+BE34+BK34+BI34+BG34+BM34+BS34+BQ34+BO34</f>
        <v>0</v>
      </c>
      <c r="BV34" s="255">
        <f t="shared" ref="BV34:BV43" si="74">+AK34+BU34</f>
        <v>42.726999999999997</v>
      </c>
      <c r="BW34" s="256">
        <f t="shared" ref="BW34:BW43" si="75">COUNTIF(D34:AI34,0)</f>
        <v>12</v>
      </c>
      <c r="BX34" s="257"/>
      <c r="BY34" s="256">
        <f t="shared" ref="BY34:BY43" si="76">COUNTIF(AL34:BS34,0)</f>
        <v>13</v>
      </c>
      <c r="BZ34" s="256">
        <f t="shared" ref="BZ34:BZ43" si="77">+BW34+BY34</f>
        <v>25</v>
      </c>
    </row>
    <row r="35" spans="1:78" x14ac:dyDescent="0.25">
      <c r="A35" s="248"/>
      <c r="B35" s="249" t="s">
        <v>308</v>
      </c>
      <c r="C35" s="331" t="s">
        <v>310</v>
      </c>
      <c r="D35" s="250"/>
      <c r="E35" s="258">
        <f>(D35*0.0065)/12+15</f>
        <v>15</v>
      </c>
      <c r="F35" s="250"/>
      <c r="G35" s="258">
        <f>(F35*0.0065)+18</f>
        <v>18</v>
      </c>
      <c r="H35" s="250">
        <v>51696</v>
      </c>
      <c r="I35" s="251">
        <f>(H35*0.0065)/14+12</f>
        <v>36.001714285714286</v>
      </c>
      <c r="J35" s="250"/>
      <c r="K35" s="251">
        <f>(J35*0.0065)+15</f>
        <v>15</v>
      </c>
      <c r="L35" s="250"/>
      <c r="M35" s="251"/>
      <c r="N35" s="250">
        <f>39192-768-768</f>
        <v>37656</v>
      </c>
      <c r="O35" s="251">
        <f>(N35*0.0065)/11+2</f>
        <v>24.251272727272724</v>
      </c>
      <c r="P35" s="250"/>
      <c r="Q35" s="332">
        <f>(P35*0.0065)/16</f>
        <v>0</v>
      </c>
      <c r="R35" s="250"/>
      <c r="S35" s="332">
        <f>(R35*0.0065)/16</f>
        <v>0</v>
      </c>
      <c r="T35" s="250"/>
      <c r="U35" s="333">
        <f>(T35*0.0065)/11+15</f>
        <v>15</v>
      </c>
      <c r="V35" s="250">
        <f>66144-768-768</f>
        <v>64608</v>
      </c>
      <c r="W35" s="251">
        <f>(V35*0.0065)/16+14</f>
        <v>40.247</v>
      </c>
      <c r="X35" s="250"/>
      <c r="Y35" s="251"/>
      <c r="Z35" s="250"/>
      <c r="AA35" s="251"/>
      <c r="AB35" s="250">
        <f>47928-768-768</f>
        <v>46392</v>
      </c>
      <c r="AC35" s="251">
        <f>(AB35*0.0065)/11+4</f>
        <v>31.413454545454545</v>
      </c>
      <c r="AD35" s="250"/>
      <c r="AE35" s="333">
        <f>(AD35*0.0065)/11+15</f>
        <v>15</v>
      </c>
      <c r="AF35" s="250"/>
      <c r="AG35" s="251">
        <f>(AF35*0.0065)+15</f>
        <v>15</v>
      </c>
      <c r="AH35" s="250">
        <f>38736-768-768</f>
        <v>37200</v>
      </c>
      <c r="AI35" s="251">
        <f>(AH35*0.0065)/13+2</f>
        <v>20.599999999999998</v>
      </c>
      <c r="AJ35" s="252">
        <f t="shared" si="70"/>
        <v>237552</v>
      </c>
      <c r="AK35" s="253">
        <f t="shared" si="71"/>
        <v>245.51344155844154</v>
      </c>
      <c r="AL35" s="250">
        <f>43248-768-768</f>
        <v>41712</v>
      </c>
      <c r="AM35" s="251">
        <f>(AL35*0.0065)/13+4</f>
        <v>24.855999999999998</v>
      </c>
      <c r="AN35" s="250"/>
      <c r="AO35" s="251">
        <f>(AN35*0.0065)/18+25</f>
        <v>25</v>
      </c>
      <c r="AP35" s="334"/>
      <c r="AQ35" s="251"/>
      <c r="AR35" s="250"/>
      <c r="AS35" s="332">
        <f>(AR35*0.0065)/16</f>
        <v>0</v>
      </c>
      <c r="AT35" s="250"/>
      <c r="AU35" s="332">
        <f>(AT35*0.0065)/16</f>
        <v>0</v>
      </c>
      <c r="AV35" s="250"/>
      <c r="AW35" s="251">
        <f>(AV35*0.0065)/16</f>
        <v>0</v>
      </c>
      <c r="AX35" s="250"/>
      <c r="AY35" s="251">
        <f t="shared" ref="AY35" si="78">(AX35*0.0065)/16</f>
        <v>0</v>
      </c>
      <c r="AZ35" s="250"/>
      <c r="BA35" s="251">
        <f t="shared" ref="BA35" si="79">(AZ35*0.0065)/16</f>
        <v>0</v>
      </c>
      <c r="BB35" s="250"/>
      <c r="BC35" s="251">
        <f t="shared" ref="BC35" si="80">(BB35*0.0065)/16</f>
        <v>0</v>
      </c>
      <c r="BD35" s="250"/>
      <c r="BE35" s="251"/>
      <c r="BF35" s="250"/>
      <c r="BG35" s="251">
        <f t="shared" ref="BG35" si="81">(BF35*0.0065)/16</f>
        <v>0</v>
      </c>
      <c r="BH35" s="250"/>
      <c r="BI35" s="251">
        <f t="shared" ref="BI35" si="82">(BH35*0.0065)/16</f>
        <v>0</v>
      </c>
      <c r="BJ35" s="250"/>
      <c r="BK35" s="251">
        <f t="shared" ref="BK35" si="83">(BJ35*0.0065)/16</f>
        <v>0</v>
      </c>
      <c r="BL35" s="250"/>
      <c r="BM35" s="251">
        <f t="shared" ref="BM35" si="84">(BL35*0.0065)/16</f>
        <v>0</v>
      </c>
      <c r="BN35" s="250"/>
      <c r="BO35" s="251">
        <f t="shared" ref="BO35" si="85">(BN35*0.0065)/16</f>
        <v>0</v>
      </c>
      <c r="BP35" s="250"/>
      <c r="BQ35" s="251"/>
      <c r="BR35" s="250"/>
      <c r="BS35" s="251"/>
      <c r="BT35" s="252">
        <f t="shared" si="72"/>
        <v>41712</v>
      </c>
      <c r="BU35" s="253">
        <f t="shared" si="73"/>
        <v>49.855999999999995</v>
      </c>
      <c r="BV35" s="255">
        <f t="shared" si="74"/>
        <v>295.36944155844151</v>
      </c>
      <c r="BW35" s="256">
        <f t="shared" si="75"/>
        <v>2</v>
      </c>
      <c r="BX35" s="257"/>
      <c r="BY35" s="256">
        <f t="shared" si="76"/>
        <v>11</v>
      </c>
      <c r="BZ35" s="256">
        <f t="shared" si="77"/>
        <v>13</v>
      </c>
    </row>
    <row r="36" spans="1:78" x14ac:dyDescent="0.25">
      <c r="A36" s="248">
        <v>3</v>
      </c>
      <c r="B36" s="249" t="s">
        <v>308</v>
      </c>
      <c r="C36" s="331" t="s">
        <v>313</v>
      </c>
      <c r="D36" s="250"/>
      <c r="E36" s="258">
        <f>(D36*0.0065)/12+15</f>
        <v>15</v>
      </c>
      <c r="F36" s="250"/>
      <c r="G36" s="258">
        <f>(F36*0.0065)+18</f>
        <v>18</v>
      </c>
      <c r="H36" s="250">
        <v>51696</v>
      </c>
      <c r="I36" s="251">
        <f>(H36*0.0065)/14+12</f>
        <v>36.001714285714286</v>
      </c>
      <c r="J36" s="250"/>
      <c r="K36" s="251">
        <f>(J36*0.0065)+15</f>
        <v>15</v>
      </c>
      <c r="L36" s="250"/>
      <c r="M36" s="251"/>
      <c r="N36" s="250">
        <f>39192-768-768</f>
        <v>37656</v>
      </c>
      <c r="O36" s="251">
        <f>(N36*0.0065)/11+2</f>
        <v>24.251272727272724</v>
      </c>
      <c r="P36" s="250">
        <f>42864-768-768</f>
        <v>41328</v>
      </c>
      <c r="Q36" s="251">
        <f>(P36*0.0065)/11+2</f>
        <v>26.421090909090911</v>
      </c>
      <c r="R36" s="250"/>
      <c r="S36" s="333">
        <f>(R36*0.0065)/11+15</f>
        <v>15</v>
      </c>
      <c r="T36" s="250">
        <f>29448-768-768</f>
        <v>27912</v>
      </c>
      <c r="U36" s="251">
        <f>(T36*0.0065)/12+3</f>
        <v>18.119</v>
      </c>
      <c r="V36" s="250">
        <f>66144-768-768</f>
        <v>64608</v>
      </c>
      <c r="W36" s="251">
        <f>(V36*0.0065)/16+14</f>
        <v>40.247</v>
      </c>
      <c r="X36" s="250"/>
      <c r="Y36" s="251"/>
      <c r="Z36" s="250"/>
      <c r="AA36" s="251"/>
      <c r="AB36" s="250">
        <f>47928-768-768</f>
        <v>46392</v>
      </c>
      <c r="AC36" s="251">
        <f>(AB36*0.0065)/11+4</f>
        <v>31.413454545454545</v>
      </c>
      <c r="AD36" s="250">
        <f>29760-768-768</f>
        <v>28224</v>
      </c>
      <c r="AE36" s="251">
        <f>(AD36*0.0065)/11+2</f>
        <v>18.677818181818182</v>
      </c>
      <c r="AF36" s="250"/>
      <c r="AG36" s="251">
        <f>(AF36*0.0065)+15</f>
        <v>15</v>
      </c>
      <c r="AH36" s="250"/>
      <c r="AI36" s="333">
        <f>(AH36*0.0065)/13+18</f>
        <v>18</v>
      </c>
      <c r="AJ36" s="252">
        <f t="shared" si="70"/>
        <v>297816</v>
      </c>
      <c r="AK36" s="253">
        <f t="shared" si="71"/>
        <v>291.13135064935062</v>
      </c>
      <c r="AL36" s="250">
        <f>43248-768-768</f>
        <v>41712</v>
      </c>
      <c r="AM36" s="251">
        <f>(AL36*0.0065)/13+4</f>
        <v>24.855999999999998</v>
      </c>
      <c r="AN36" s="250"/>
      <c r="AO36" s="332">
        <f t="shared" ref="AO36" si="86">(AN36*0.0065)/16</f>
        <v>0</v>
      </c>
      <c r="AP36" s="250"/>
      <c r="AQ36" s="251"/>
      <c r="AR36" s="250">
        <f>8232-768-768</f>
        <v>6696</v>
      </c>
      <c r="AS36" s="251">
        <f>(AR36*0.0066)/6+6+1</f>
        <v>14.365600000000001</v>
      </c>
      <c r="AT36" s="250"/>
      <c r="AU36" s="251">
        <f>(AT36*0.0065)/8+19</f>
        <v>19</v>
      </c>
      <c r="AV36" s="250">
        <f>18144-768-768</f>
        <v>16608</v>
      </c>
      <c r="AW36" s="251">
        <f>(AV36*0.0065)/8+2</f>
        <v>15.494</v>
      </c>
      <c r="AX36" s="250"/>
      <c r="AY36" s="333">
        <f>(AX36*0.0065)/8+15</f>
        <v>15</v>
      </c>
      <c r="AZ36" s="250">
        <f>13968-768-768</f>
        <v>12432</v>
      </c>
      <c r="BA36" s="251">
        <f>(AZ36*0.0065)/6+2</f>
        <v>15.467999999999998</v>
      </c>
      <c r="BB36" s="250"/>
      <c r="BC36" s="251"/>
      <c r="BD36" s="250"/>
      <c r="BE36" s="251"/>
      <c r="BF36" s="250">
        <f>34944-768-768</f>
        <v>33408</v>
      </c>
      <c r="BG36" s="251">
        <f>(BF36*0.0065)/12+4</f>
        <v>22.096</v>
      </c>
      <c r="BH36" s="250">
        <f>27456-768-768</f>
        <v>25920</v>
      </c>
      <c r="BI36" s="251">
        <f>(BH36*0.0065)/11+10</f>
        <v>25.316363636363633</v>
      </c>
      <c r="BJ36" s="250"/>
      <c r="BK36" s="251"/>
      <c r="BL36" s="250"/>
      <c r="BM36" s="251"/>
      <c r="BN36" s="250"/>
      <c r="BO36" s="251"/>
      <c r="BP36" s="250"/>
      <c r="BQ36" s="251"/>
      <c r="BR36" s="250"/>
      <c r="BS36" s="251"/>
      <c r="BT36" s="252">
        <f t="shared" si="72"/>
        <v>136776</v>
      </c>
      <c r="BU36" s="253">
        <f t="shared" si="73"/>
        <v>151.59596363636365</v>
      </c>
      <c r="BV36" s="255">
        <f t="shared" si="74"/>
        <v>442.72731428571427</v>
      </c>
      <c r="BW36" s="256">
        <f t="shared" si="75"/>
        <v>0</v>
      </c>
      <c r="BX36" s="257"/>
      <c r="BY36" s="256">
        <f t="shared" si="76"/>
        <v>1</v>
      </c>
      <c r="BZ36" s="256">
        <f t="shared" si="77"/>
        <v>1</v>
      </c>
    </row>
    <row r="37" spans="1:78" x14ac:dyDescent="0.25">
      <c r="A37" s="248"/>
      <c r="B37" s="249" t="s">
        <v>308</v>
      </c>
      <c r="C37" s="331" t="s">
        <v>314</v>
      </c>
      <c r="D37" s="250">
        <f>29352-768</f>
        <v>28584</v>
      </c>
      <c r="E37" s="251">
        <f>(D37*0.0065)/12+5</f>
        <v>20.482999999999997</v>
      </c>
      <c r="F37" s="250">
        <f>35256-768</f>
        <v>34488</v>
      </c>
      <c r="G37" s="251">
        <f>(F37*0.0065)/13+5</f>
        <v>22.244</v>
      </c>
      <c r="H37" s="250">
        <v>51696</v>
      </c>
      <c r="I37" s="251">
        <f>(H37*0.0065)/14+12</f>
        <v>36.001714285714286</v>
      </c>
      <c r="J37" s="250"/>
      <c r="K37" s="251">
        <f>(J37*0.0065)+10</f>
        <v>10</v>
      </c>
      <c r="L37" s="250"/>
      <c r="M37" s="251"/>
      <c r="N37" s="250">
        <f>39192-768-768</f>
        <v>37656</v>
      </c>
      <c r="O37" s="251">
        <f>(N37*0.0065)/11+2</f>
        <v>24.251272727272724</v>
      </c>
      <c r="P37" s="250"/>
      <c r="Q37" s="333">
        <f>(P37*0.0065)/11+20</f>
        <v>20</v>
      </c>
      <c r="R37" s="250">
        <f>30432-768-768</f>
        <v>28896</v>
      </c>
      <c r="S37" s="251">
        <f>(R37*0.0065)/11+2</f>
        <v>19.074909090909088</v>
      </c>
      <c r="T37" s="250">
        <f>29448-768-768</f>
        <v>27912</v>
      </c>
      <c r="U37" s="251">
        <f>(T37*0.0065)/12+3</f>
        <v>18.119</v>
      </c>
      <c r="V37" s="250">
        <f>66144-768-768</f>
        <v>64608</v>
      </c>
      <c r="W37" s="251">
        <f>(V37*0.0065)/16+14</f>
        <v>40.247</v>
      </c>
      <c r="X37" s="250"/>
      <c r="Y37" s="251"/>
      <c r="Z37" s="250"/>
      <c r="AA37" s="251"/>
      <c r="AB37" s="250"/>
      <c r="AC37" s="332">
        <f t="shared" ref="AC37" si="87">(AB37*0.0065)/16</f>
        <v>0</v>
      </c>
      <c r="AD37" s="250">
        <f>29760-768-768</f>
        <v>28224</v>
      </c>
      <c r="AE37" s="251">
        <f>(AD37*0.0065)/11+2</f>
        <v>18.677818181818182</v>
      </c>
      <c r="AF37" s="250"/>
      <c r="AG37" s="251">
        <f>(AF37*0.0065)+15</f>
        <v>15</v>
      </c>
      <c r="AH37" s="250"/>
      <c r="AI37" s="333">
        <f>(AH37*0.0065)/13+18</f>
        <v>18</v>
      </c>
      <c r="AJ37" s="252">
        <f t="shared" si="70"/>
        <v>302064</v>
      </c>
      <c r="AK37" s="253">
        <f t="shared" si="71"/>
        <v>262.09871428571427</v>
      </c>
      <c r="AL37" s="250">
        <f>43248-768-768</f>
        <v>41712</v>
      </c>
      <c r="AM37" s="251">
        <f>(AL37*0.0065)/13+4</f>
        <v>24.855999999999998</v>
      </c>
      <c r="AN37" s="250"/>
      <c r="AO37" s="251">
        <f>(AN37*0.0065)/18+25</f>
        <v>25</v>
      </c>
      <c r="AP37" s="250"/>
      <c r="AQ37" s="251"/>
      <c r="AR37" s="250"/>
      <c r="AS37" s="332">
        <f t="shared" ref="AS37" si="88">(AR37*0.0065)/16</f>
        <v>0</v>
      </c>
      <c r="AT37" s="250"/>
      <c r="AU37" s="251">
        <f t="shared" ref="AU37" si="89">(AT37*0.0065)/16</f>
        <v>0</v>
      </c>
      <c r="AV37" s="250"/>
      <c r="AW37" s="251">
        <f t="shared" ref="AW37" si="90">(AV37*0.0065)/16</f>
        <v>0</v>
      </c>
      <c r="AX37" s="250"/>
      <c r="AY37" s="251">
        <f t="shared" ref="AY37" si="91">(AX37*0.0065)/16</f>
        <v>0</v>
      </c>
      <c r="AZ37" s="250"/>
      <c r="BA37" s="251">
        <f t="shared" ref="BA37" si="92">(AZ37*0.0065)/16</f>
        <v>0</v>
      </c>
      <c r="BB37" s="250"/>
      <c r="BC37" s="251">
        <f t="shared" ref="BC37" si="93">(BB37*0.0065)/16</f>
        <v>0</v>
      </c>
      <c r="BD37" s="250"/>
      <c r="BE37" s="251"/>
      <c r="BF37" s="250"/>
      <c r="BG37" s="251">
        <f t="shared" ref="BG37" si="94">(BF37*0.0065)/16</f>
        <v>0</v>
      </c>
      <c r="BH37" s="250"/>
      <c r="BI37" s="251">
        <f t="shared" ref="BI37" si="95">(BH37*0.0065)/16</f>
        <v>0</v>
      </c>
      <c r="BJ37" s="250"/>
      <c r="BK37" s="251">
        <f t="shared" ref="BK37" si="96">(BJ37*0.0065)/16</f>
        <v>0</v>
      </c>
      <c r="BL37" s="250"/>
      <c r="BM37" s="251">
        <f t="shared" ref="BM37" si="97">(BL37*0.0065)/16</f>
        <v>0</v>
      </c>
      <c r="BN37" s="250"/>
      <c r="BO37" s="251">
        <f t="shared" ref="BO37" si="98">(BN37*0.0065)/16</f>
        <v>0</v>
      </c>
      <c r="BP37" s="250"/>
      <c r="BQ37" s="251"/>
      <c r="BR37" s="250"/>
      <c r="BS37" s="251"/>
      <c r="BT37" s="252">
        <f t="shared" si="72"/>
        <v>41712</v>
      </c>
      <c r="BU37" s="253">
        <f t="shared" si="73"/>
        <v>49.855999999999995</v>
      </c>
      <c r="BV37" s="255">
        <f t="shared" si="74"/>
        <v>311.95471428571426</v>
      </c>
      <c r="BW37" s="256">
        <f t="shared" si="75"/>
        <v>1</v>
      </c>
      <c r="BX37" s="257"/>
      <c r="BY37" s="256">
        <f t="shared" si="76"/>
        <v>11</v>
      </c>
      <c r="BZ37" s="256">
        <f t="shared" si="77"/>
        <v>12</v>
      </c>
    </row>
    <row r="38" spans="1:78" x14ac:dyDescent="0.25">
      <c r="A38" s="248">
        <v>5</v>
      </c>
      <c r="B38" s="259" t="s">
        <v>308</v>
      </c>
      <c r="C38" s="335" t="s">
        <v>317</v>
      </c>
      <c r="D38" s="250"/>
      <c r="E38" s="251">
        <f>(D38*0.0065)+22</f>
        <v>22</v>
      </c>
      <c r="F38" s="250"/>
      <c r="G38" s="251">
        <f>(F38*0.0065)+23</f>
        <v>23</v>
      </c>
      <c r="H38" s="250"/>
      <c r="I38" s="251">
        <f>(H38*0.0065)+38</f>
        <v>38</v>
      </c>
      <c r="J38" s="250"/>
      <c r="K38" s="251"/>
      <c r="L38" s="250"/>
      <c r="M38" s="251"/>
      <c r="N38" s="250"/>
      <c r="O38" s="251">
        <f>(N38*0.0065)+28</f>
        <v>28</v>
      </c>
      <c r="P38" s="250"/>
      <c r="Q38" s="251">
        <f>(P38*0.0065)+30</f>
        <v>30</v>
      </c>
      <c r="R38" s="250">
        <f>30432-768-768</f>
        <v>28896</v>
      </c>
      <c r="S38" s="251">
        <f>(R38*0.0065)/11+2</f>
        <v>19.074909090909088</v>
      </c>
      <c r="T38" s="250">
        <f>29448-768-768</f>
        <v>27912</v>
      </c>
      <c r="U38" s="251">
        <f>(T38*0.0065)/12+3</f>
        <v>18.119</v>
      </c>
      <c r="V38" s="250">
        <f>66144-768-768</f>
        <v>64608</v>
      </c>
      <c r="W38" s="251">
        <f>(V38*0.0065)/16+14</f>
        <v>40.247</v>
      </c>
      <c r="X38" s="250"/>
      <c r="Y38" s="251"/>
      <c r="Z38" s="250"/>
      <c r="AA38" s="251"/>
      <c r="AB38" s="250">
        <f>47928-768-768</f>
        <v>46392</v>
      </c>
      <c r="AC38" s="251">
        <f>(AB38*0.0065)/11+4+1</f>
        <v>32.413454545454542</v>
      </c>
      <c r="AD38" s="250">
        <f>29760-768-768</f>
        <v>28224</v>
      </c>
      <c r="AE38" s="251">
        <f>(AD38*0.0065)/11+2+1</f>
        <v>19.677818181818182</v>
      </c>
      <c r="AF38" s="250"/>
      <c r="AG38" s="251">
        <f>(AF38*0.0065)+15</f>
        <v>15</v>
      </c>
      <c r="AH38" s="250">
        <f>38736-768-768</f>
        <v>37200</v>
      </c>
      <c r="AI38" s="251">
        <f>(AH38*0.0065)/13+2</f>
        <v>20.599999999999998</v>
      </c>
      <c r="AJ38" s="252">
        <f t="shared" si="70"/>
        <v>233232</v>
      </c>
      <c r="AK38" s="253">
        <f t="shared" si="71"/>
        <v>306.13218181818178</v>
      </c>
      <c r="AL38" s="250">
        <f>43248-768-768</f>
        <v>41712</v>
      </c>
      <c r="AM38" s="251">
        <f>(AL38*0.0065)/13+4</f>
        <v>24.855999999999998</v>
      </c>
      <c r="AN38" s="250"/>
      <c r="AO38" s="251">
        <f>(AN38*0.0065)/18+25</f>
        <v>25</v>
      </c>
      <c r="AP38" s="250"/>
      <c r="AQ38" s="251"/>
      <c r="AR38" s="250"/>
      <c r="AS38" s="332">
        <f t="shared" ref="AS38" si="99">(AR38*0.0065)/16</f>
        <v>0</v>
      </c>
      <c r="AT38" s="250">
        <f>23184-768-768</f>
        <v>21648</v>
      </c>
      <c r="AU38" s="251">
        <f>(AT38*0.0065)/8+2</f>
        <v>19.588999999999999</v>
      </c>
      <c r="AV38" s="250"/>
      <c r="AW38" s="333">
        <f>(AV38*0.0065)/8+15</f>
        <v>15</v>
      </c>
      <c r="AX38" s="250"/>
      <c r="AY38" s="333">
        <f>(AX38*0.0065)/8+15</f>
        <v>15</v>
      </c>
      <c r="AZ38" s="250">
        <f>13968-768-768</f>
        <v>12432</v>
      </c>
      <c r="BA38" s="251">
        <f>(AZ38*0.0065)/6+2</f>
        <v>15.467999999999998</v>
      </c>
      <c r="BB38" s="250"/>
      <c r="BC38" s="251"/>
      <c r="BD38" s="250"/>
      <c r="BE38" s="251"/>
      <c r="BF38" s="250">
        <f>34944-768-768</f>
        <v>33408</v>
      </c>
      <c r="BG38" s="251">
        <f>(BF38*0.0065)/12+4</f>
        <v>22.096</v>
      </c>
      <c r="BH38" s="250"/>
      <c r="BI38" s="333">
        <f>(BH38*0.0065)/11+20</f>
        <v>20</v>
      </c>
      <c r="BJ38" s="250"/>
      <c r="BK38" s="251"/>
      <c r="BL38" s="250"/>
      <c r="BM38" s="251"/>
      <c r="BN38" s="250"/>
      <c r="BO38" s="251"/>
      <c r="BP38" s="250"/>
      <c r="BQ38" s="251"/>
      <c r="BR38" s="250"/>
      <c r="BS38" s="251"/>
      <c r="BT38" s="252">
        <f t="shared" si="72"/>
        <v>109200</v>
      </c>
      <c r="BU38" s="253">
        <f t="shared" si="73"/>
        <v>157.00900000000001</v>
      </c>
      <c r="BV38" s="255">
        <f t="shared" si="74"/>
        <v>463.14118181818179</v>
      </c>
      <c r="BW38" s="256">
        <f t="shared" si="75"/>
        <v>0</v>
      </c>
      <c r="BX38" s="257"/>
      <c r="BY38" s="256">
        <f t="shared" si="76"/>
        <v>1</v>
      </c>
      <c r="BZ38" s="256">
        <f t="shared" si="77"/>
        <v>1</v>
      </c>
    </row>
    <row r="39" spans="1:78" x14ac:dyDescent="0.25">
      <c r="A39" s="248">
        <v>7</v>
      </c>
      <c r="B39" s="249" t="s">
        <v>308</v>
      </c>
      <c r="C39" s="331" t="s">
        <v>319</v>
      </c>
      <c r="D39" s="250">
        <f>29352-768</f>
        <v>28584</v>
      </c>
      <c r="E39" s="251">
        <f>(D39*0.0065)/12+5</f>
        <v>20.482999999999997</v>
      </c>
      <c r="F39" s="250">
        <f>35256-768</f>
        <v>34488</v>
      </c>
      <c r="G39" s="251">
        <f>(F39*0.0065)/13+5</f>
        <v>22.244</v>
      </c>
      <c r="H39" s="250">
        <v>51696</v>
      </c>
      <c r="I39" s="251">
        <f>(H39*0.0065)/14+12</f>
        <v>36.001714285714286</v>
      </c>
      <c r="J39" s="250"/>
      <c r="K39" s="332">
        <f t="shared" ref="K39" si="100">(J39*0.0065)/16</f>
        <v>0</v>
      </c>
      <c r="L39" s="250"/>
      <c r="M39" s="251"/>
      <c r="N39" s="250">
        <f>39192-768-768</f>
        <v>37656</v>
      </c>
      <c r="O39" s="251">
        <f>(N39*0.0065)/11+2</f>
        <v>24.251272727272724</v>
      </c>
      <c r="P39" s="250">
        <f>42864-768-768</f>
        <v>41328</v>
      </c>
      <c r="Q39" s="251">
        <f>(P39*0.0065)/11+2</f>
        <v>26.421090909090911</v>
      </c>
      <c r="R39" s="250"/>
      <c r="S39" s="333">
        <f>(R39*0.0065)/11+15</f>
        <v>15</v>
      </c>
      <c r="T39" s="250">
        <f>29448-768-768</f>
        <v>27912</v>
      </c>
      <c r="U39" s="251">
        <f>(T39*0.0065)/12+3</f>
        <v>18.119</v>
      </c>
      <c r="V39" s="250">
        <f>66144-768-768</f>
        <v>64608</v>
      </c>
      <c r="W39" s="251">
        <f>(V39*0.0065)/16+14</f>
        <v>40.247</v>
      </c>
      <c r="X39" s="250"/>
      <c r="Y39" s="251"/>
      <c r="Z39" s="250"/>
      <c r="AA39" s="251"/>
      <c r="AB39" s="250">
        <f>47928-768-768</f>
        <v>46392</v>
      </c>
      <c r="AC39" s="251">
        <f>(AB39*0.0065)/11+4</f>
        <v>31.413454545454545</v>
      </c>
      <c r="AD39" s="250"/>
      <c r="AE39" s="333">
        <f>(AD39*0.0065)/11+15</f>
        <v>15</v>
      </c>
      <c r="AF39" s="250"/>
      <c r="AG39" s="251">
        <f>(AF39*0.0065)+15</f>
        <v>15</v>
      </c>
      <c r="AH39" s="250">
        <f>38736-768-768</f>
        <v>37200</v>
      </c>
      <c r="AI39" s="251">
        <f>(AH39*0.0065)/13+2</f>
        <v>20.599999999999998</v>
      </c>
      <c r="AJ39" s="252">
        <f t="shared" si="70"/>
        <v>369864</v>
      </c>
      <c r="AK39" s="253">
        <f t="shared" si="71"/>
        <v>284.78053246753245</v>
      </c>
      <c r="AL39" s="250">
        <f>43248-768-768</f>
        <v>41712</v>
      </c>
      <c r="AM39" s="251">
        <f>(AL39*0.0065)/13+4</f>
        <v>24.855999999999998</v>
      </c>
      <c r="AN39" s="250"/>
      <c r="AO39" s="332">
        <f>(AN39*0.0065)/16</f>
        <v>0</v>
      </c>
      <c r="AP39" s="250"/>
      <c r="AQ39" s="251"/>
      <c r="AR39" s="250">
        <f>8232-768-768</f>
        <v>6696</v>
      </c>
      <c r="AS39" s="251">
        <f>(AR39*0.0066)/6+6+1</f>
        <v>14.365600000000001</v>
      </c>
      <c r="AT39" s="250"/>
      <c r="AU39" s="332">
        <f t="shared" ref="AU39" si="101">(AT39*0.0065)/16</f>
        <v>0</v>
      </c>
      <c r="AV39" s="250">
        <f>18144-768-768</f>
        <v>16608</v>
      </c>
      <c r="AW39" s="251">
        <f>(AV39*0.0065)/8+2</f>
        <v>15.494</v>
      </c>
      <c r="AX39" s="250"/>
      <c r="AY39" s="333">
        <f>(AX39*0.0065)/8+15</f>
        <v>15</v>
      </c>
      <c r="AZ39" s="250">
        <f>13968-768-768</f>
        <v>12432</v>
      </c>
      <c r="BA39" s="251">
        <f>(AZ39*0.0065)/6+2</f>
        <v>15.467999999999998</v>
      </c>
      <c r="BB39" s="250"/>
      <c r="BC39" s="251"/>
      <c r="BD39" s="250"/>
      <c r="BE39" s="251"/>
      <c r="BF39" s="250">
        <f>34944-768-768</f>
        <v>33408</v>
      </c>
      <c r="BG39" s="251">
        <f>(BF39*0.0065)/12+4</f>
        <v>22.096</v>
      </c>
      <c r="BH39" s="250">
        <f>27456-768-768</f>
        <v>25920</v>
      </c>
      <c r="BI39" s="251">
        <f>(BH39*0.0065)/11+10</f>
        <v>25.316363636363633</v>
      </c>
      <c r="BJ39" s="250"/>
      <c r="BK39" s="251"/>
      <c r="BL39" s="250"/>
      <c r="BM39" s="251"/>
      <c r="BN39" s="250"/>
      <c r="BO39" s="251"/>
      <c r="BP39" s="250"/>
      <c r="BQ39" s="251"/>
      <c r="BR39" s="250"/>
      <c r="BS39" s="251"/>
      <c r="BT39" s="252">
        <f t="shared" si="72"/>
        <v>136776</v>
      </c>
      <c r="BU39" s="253">
        <f t="shared" si="73"/>
        <v>132.59596363636362</v>
      </c>
      <c r="BV39" s="255">
        <f t="shared" si="74"/>
        <v>417.3764961038961</v>
      </c>
      <c r="BW39" s="256">
        <f t="shared" si="75"/>
        <v>1</v>
      </c>
      <c r="BX39" s="257"/>
      <c r="BY39" s="256">
        <f t="shared" si="76"/>
        <v>2</v>
      </c>
      <c r="BZ39" s="256">
        <f t="shared" si="77"/>
        <v>3</v>
      </c>
    </row>
    <row r="40" spans="1:78" x14ac:dyDescent="0.25">
      <c r="A40" s="248"/>
      <c r="B40" s="259" t="s">
        <v>308</v>
      </c>
      <c r="C40" s="331" t="s">
        <v>323</v>
      </c>
      <c r="D40" s="250"/>
      <c r="E40" s="251">
        <f>(D40*0.0065)+22</f>
        <v>22</v>
      </c>
      <c r="F40" s="250"/>
      <c r="G40" s="251">
        <f>(F40*0.0065)+23</f>
        <v>23</v>
      </c>
      <c r="H40" s="250"/>
      <c r="I40" s="332">
        <f>(H40*0.0065)/16</f>
        <v>0</v>
      </c>
      <c r="J40" s="250"/>
      <c r="K40" s="251">
        <f>(J40*0.0065)+10</f>
        <v>10</v>
      </c>
      <c r="L40" s="250"/>
      <c r="M40" s="251"/>
      <c r="N40" s="250"/>
      <c r="O40" s="251">
        <f>(N40*0.0065)/10+26</f>
        <v>26</v>
      </c>
      <c r="P40" s="250"/>
      <c r="Q40" s="333">
        <f>(P40*0.0065)/11+20</f>
        <v>20</v>
      </c>
      <c r="R40" s="250">
        <f>30432-768-768</f>
        <v>28896</v>
      </c>
      <c r="S40" s="251">
        <f>(R40*0.0065)/11+2</f>
        <v>19.074909090909088</v>
      </c>
      <c r="T40" s="250"/>
      <c r="U40" s="333">
        <f>(T40*0.0065)/11+15</f>
        <v>15</v>
      </c>
      <c r="V40" s="250"/>
      <c r="W40" s="251">
        <f>(V40*0.0065)/14+40</f>
        <v>40</v>
      </c>
      <c r="X40" s="250"/>
      <c r="Y40" s="251"/>
      <c r="Z40" s="250"/>
      <c r="AA40" s="251"/>
      <c r="AB40" s="250"/>
      <c r="AC40" s="332">
        <f>(AB40*0.0065)/16</f>
        <v>0</v>
      </c>
      <c r="AD40" s="250"/>
      <c r="AE40" s="332">
        <f>(AD40*0.0065)/16</f>
        <v>0</v>
      </c>
      <c r="AF40" s="250"/>
      <c r="AG40" s="332">
        <f>(AF40*0.0065)/16</f>
        <v>0</v>
      </c>
      <c r="AH40" s="250"/>
      <c r="AI40" s="332">
        <f>(AH40*0.0065)/16</f>
        <v>0</v>
      </c>
      <c r="AJ40" s="252">
        <f t="shared" si="70"/>
        <v>28896</v>
      </c>
      <c r="AK40" s="253">
        <f t="shared" si="71"/>
        <v>175.0749090909091</v>
      </c>
      <c r="AL40" s="250"/>
      <c r="AM40" s="332">
        <f>(AL40*0.0065)/16</f>
        <v>0</v>
      </c>
      <c r="AN40" s="250"/>
      <c r="AO40" s="332">
        <f>(AN40*0.0065)/16</f>
        <v>0</v>
      </c>
      <c r="AP40" s="250"/>
      <c r="AQ40" s="251"/>
      <c r="AR40" s="250"/>
      <c r="AS40" s="332">
        <f>(AR40*0.0065)/16</f>
        <v>0</v>
      </c>
      <c r="AT40" s="250"/>
      <c r="AU40" s="251">
        <f>(AT40*0.0065)/16</f>
        <v>0</v>
      </c>
      <c r="AV40" s="250"/>
      <c r="AW40" s="251">
        <f t="shared" ref="AW40" si="102">(AV40*0.0065)/16</f>
        <v>0</v>
      </c>
      <c r="AX40" s="250"/>
      <c r="AY40" s="251">
        <f>(AX40*0.0065)/16</f>
        <v>0</v>
      </c>
      <c r="AZ40" s="250"/>
      <c r="BA40" s="251">
        <f>(AZ40*0.0065)/16</f>
        <v>0</v>
      </c>
      <c r="BB40" s="250"/>
      <c r="BC40" s="251">
        <f>(BB40*0.0065)/16</f>
        <v>0</v>
      </c>
      <c r="BD40" s="250"/>
      <c r="BE40" s="251"/>
      <c r="BF40" s="250"/>
      <c r="BG40" s="251">
        <f>(BF40*0.0065)/16</f>
        <v>0</v>
      </c>
      <c r="BH40" s="250"/>
      <c r="BI40" s="251">
        <f>(BH40*0.0065)/16</f>
        <v>0</v>
      </c>
      <c r="BJ40" s="250"/>
      <c r="BK40" s="251">
        <f>(BJ40*0.0065)/16</f>
        <v>0</v>
      </c>
      <c r="BL40" s="250"/>
      <c r="BM40" s="251">
        <f>(BL40*0.0065)/16</f>
        <v>0</v>
      </c>
      <c r="BN40" s="250"/>
      <c r="BO40" s="251">
        <f>(BN40*0.0065)/16</f>
        <v>0</v>
      </c>
      <c r="BP40" s="250"/>
      <c r="BQ40" s="251"/>
      <c r="BR40" s="250"/>
      <c r="BS40" s="251"/>
      <c r="BT40" s="252">
        <f t="shared" si="72"/>
        <v>0</v>
      </c>
      <c r="BU40" s="253">
        <f t="shared" si="73"/>
        <v>0</v>
      </c>
      <c r="BV40" s="255">
        <f t="shared" si="74"/>
        <v>175.0749090909091</v>
      </c>
      <c r="BW40" s="256">
        <f t="shared" si="75"/>
        <v>5</v>
      </c>
      <c r="BX40" s="257"/>
      <c r="BY40" s="256">
        <f t="shared" si="76"/>
        <v>13</v>
      </c>
      <c r="BZ40" s="256">
        <f t="shared" si="77"/>
        <v>18</v>
      </c>
    </row>
    <row r="41" spans="1:78" x14ac:dyDescent="0.25">
      <c r="A41" s="248">
        <v>18</v>
      </c>
      <c r="B41" s="249" t="s">
        <v>308</v>
      </c>
      <c r="C41" s="340" t="s">
        <v>331</v>
      </c>
      <c r="D41" s="250">
        <f>29352-768</f>
        <v>28584</v>
      </c>
      <c r="E41" s="251">
        <f>(D41*0.0065)/12+5</f>
        <v>20.482999999999997</v>
      </c>
      <c r="F41" s="250">
        <f>35256-768</f>
        <v>34488</v>
      </c>
      <c r="G41" s="251">
        <f>(F41*0.0065)/13+5</f>
        <v>22.244</v>
      </c>
      <c r="H41" s="250">
        <v>51696</v>
      </c>
      <c r="I41" s="251">
        <f>(H41*0.0065)/14+12</f>
        <v>36.001714285714286</v>
      </c>
      <c r="J41" s="250"/>
      <c r="K41" s="332">
        <f t="shared" ref="K41" si="103">(J41*0.0065)/16</f>
        <v>0</v>
      </c>
      <c r="L41" s="250"/>
      <c r="M41" s="251"/>
      <c r="N41" s="250"/>
      <c r="O41" s="333">
        <f>(N41*0.0065)/10+18</f>
        <v>18</v>
      </c>
      <c r="P41" s="250">
        <f>42864-768-768</f>
        <v>41328</v>
      </c>
      <c r="Q41" s="251">
        <f>(P41*0.0065)/11+2</f>
        <v>26.421090909090911</v>
      </c>
      <c r="R41" s="250"/>
      <c r="S41" s="251">
        <f>(R41*0.0065)+24</f>
        <v>24</v>
      </c>
      <c r="T41" s="250"/>
      <c r="U41" s="251">
        <f>(T41*0.0065)+20</f>
        <v>20</v>
      </c>
      <c r="V41" s="250"/>
      <c r="W41" s="251">
        <f>(V41*0.0065)+42</f>
        <v>42</v>
      </c>
      <c r="X41" s="250"/>
      <c r="Y41" s="251"/>
      <c r="Z41" s="250"/>
      <c r="AA41" s="251"/>
      <c r="AB41" s="250"/>
      <c r="AC41" s="251">
        <f>(AB41*0.0065)+34</f>
        <v>34</v>
      </c>
      <c r="AD41" s="250"/>
      <c r="AE41" s="251">
        <f>(AD41*0.0065)+21</f>
        <v>21</v>
      </c>
      <c r="AF41" s="250"/>
      <c r="AG41" s="251">
        <f>(AF41*0.0065)+15</f>
        <v>15</v>
      </c>
      <c r="AH41" s="250"/>
      <c r="AI41" s="251">
        <f>(AH41*0.0065)+24</f>
        <v>24</v>
      </c>
      <c r="AJ41" s="252">
        <f t="shared" si="70"/>
        <v>156096</v>
      </c>
      <c r="AK41" s="253">
        <f t="shared" si="71"/>
        <v>303.1498051948052</v>
      </c>
      <c r="AL41" s="250"/>
      <c r="AM41" s="251">
        <f>(AL41*0.0065)+26</f>
        <v>26</v>
      </c>
      <c r="AN41" s="250"/>
      <c r="AO41" s="251">
        <f>(AN41*0.0065)/18+25</f>
        <v>25</v>
      </c>
      <c r="AP41" s="250"/>
      <c r="AQ41" s="251"/>
      <c r="AR41" s="250"/>
      <c r="AS41" s="332">
        <f t="shared" ref="AS41" si="104">(AR41*0.0065)/16</f>
        <v>0</v>
      </c>
      <c r="AT41" s="250"/>
      <c r="AU41" s="251">
        <f>(AT41*0.0065)+22</f>
        <v>22</v>
      </c>
      <c r="AV41" s="250"/>
      <c r="AW41" s="251">
        <f>(AV41*0.0065)+20</f>
        <v>20</v>
      </c>
      <c r="AX41" s="250"/>
      <c r="AY41" s="251">
        <f>(AX41*0.0065)+22</f>
        <v>22</v>
      </c>
      <c r="AZ41" s="250"/>
      <c r="BA41" s="251">
        <f>(AZ41*0.0065)+18</f>
        <v>18</v>
      </c>
      <c r="BB41" s="250"/>
      <c r="BC41" s="251"/>
      <c r="BD41" s="250"/>
      <c r="BE41" s="251"/>
      <c r="BF41" s="250"/>
      <c r="BG41" s="332">
        <f t="shared" ref="BG41" si="105">(BF41*0.0065)/16</f>
        <v>0</v>
      </c>
      <c r="BH41" s="250"/>
      <c r="BI41" s="251">
        <f>(BH41*0.0065)+28</f>
        <v>28</v>
      </c>
      <c r="BJ41" s="250"/>
      <c r="BK41" s="251"/>
      <c r="BL41" s="250"/>
      <c r="BM41" s="251"/>
      <c r="BN41" s="250"/>
      <c r="BO41" s="251"/>
      <c r="BP41" s="250"/>
      <c r="BQ41" s="251"/>
      <c r="BR41" s="250"/>
      <c r="BS41" s="251"/>
      <c r="BT41" s="252">
        <f t="shared" si="72"/>
        <v>0</v>
      </c>
      <c r="BU41" s="253">
        <f t="shared" si="73"/>
        <v>161</v>
      </c>
      <c r="BV41" s="255">
        <f t="shared" si="74"/>
        <v>464.1498051948052</v>
      </c>
      <c r="BW41" s="256">
        <f t="shared" si="75"/>
        <v>1</v>
      </c>
      <c r="BX41" s="257"/>
      <c r="BY41" s="256">
        <f t="shared" si="76"/>
        <v>2</v>
      </c>
      <c r="BZ41" s="256">
        <f t="shared" si="77"/>
        <v>3</v>
      </c>
    </row>
    <row r="42" spans="1:78" x14ac:dyDescent="0.25">
      <c r="A42" s="248"/>
      <c r="B42" s="249" t="s">
        <v>308</v>
      </c>
      <c r="C42" s="340" t="s">
        <v>336</v>
      </c>
      <c r="D42" s="250">
        <f>29352-768</f>
        <v>28584</v>
      </c>
      <c r="E42" s="251">
        <f>(D42*0.0065)/12+5</f>
        <v>20.482999999999997</v>
      </c>
      <c r="F42" s="250">
        <f>35256-768</f>
        <v>34488</v>
      </c>
      <c r="G42" s="251">
        <f>(F42*0.0065)/13+1</f>
        <v>18.244</v>
      </c>
      <c r="H42" s="250"/>
      <c r="I42" s="251">
        <f>(H42*0.0065)/14+36</f>
        <v>36</v>
      </c>
      <c r="J42" s="250"/>
      <c r="K42" s="251">
        <f>(J42*0.0065)+15</f>
        <v>15</v>
      </c>
      <c r="L42" s="250"/>
      <c r="M42" s="251"/>
      <c r="N42" s="250"/>
      <c r="O42" s="333">
        <f>(N42*0.0065)/10+18</f>
        <v>18</v>
      </c>
      <c r="P42" s="250"/>
      <c r="Q42" s="251">
        <f>(P42*0.0065)/11+26</f>
        <v>26</v>
      </c>
      <c r="R42" s="250"/>
      <c r="S42" s="332">
        <f>(R42*0.0065)/16</f>
        <v>0</v>
      </c>
      <c r="T42" s="250"/>
      <c r="U42" s="332">
        <f>(T42*0.0065)/16</f>
        <v>0</v>
      </c>
      <c r="V42" s="250">
        <f t="shared" si="35"/>
        <v>64608</v>
      </c>
      <c r="W42" s="251">
        <f>(V42*0.0065)/16+14</f>
        <v>40.247</v>
      </c>
      <c r="X42" s="250"/>
      <c r="Y42" s="251"/>
      <c r="Z42" s="250"/>
      <c r="AA42" s="251"/>
      <c r="AB42" s="250">
        <f>47928-768-768</f>
        <v>46392</v>
      </c>
      <c r="AC42" s="251">
        <f>(AB42*0.0065)/11+4</f>
        <v>31.413454545454545</v>
      </c>
      <c r="AD42" s="250"/>
      <c r="AE42" s="333">
        <f>(AD42*0.0065)/11+15</f>
        <v>15</v>
      </c>
      <c r="AF42" s="250"/>
      <c r="AG42" s="251">
        <f>(AF42*0.0065)+15</f>
        <v>15</v>
      </c>
      <c r="AH42" s="250">
        <f t="shared" si="36"/>
        <v>37200</v>
      </c>
      <c r="AI42" s="251">
        <f>(AH42*0.0065)/13+2</f>
        <v>20.599999999999998</v>
      </c>
      <c r="AJ42" s="252">
        <f t="shared" si="70"/>
        <v>211272</v>
      </c>
      <c r="AK42" s="253">
        <f t="shared" si="71"/>
        <v>255.98745454545454</v>
      </c>
      <c r="AL42" s="250">
        <f>43248-768-768</f>
        <v>41712</v>
      </c>
      <c r="AM42" s="251">
        <f>(AL42*0.0065)/13+4</f>
        <v>24.855999999999998</v>
      </c>
      <c r="AN42" s="250"/>
      <c r="AO42" s="251">
        <f>(AN42*0.0065)/18+25</f>
        <v>25</v>
      </c>
      <c r="AP42" s="250"/>
      <c r="AQ42" s="251"/>
      <c r="AR42" s="250"/>
      <c r="AS42" s="332">
        <f t="shared" ref="AS42" si="106">(AR42*0.0065)/16</f>
        <v>0</v>
      </c>
      <c r="AT42" s="250"/>
      <c r="AU42" s="332">
        <f t="shared" ref="AU42:AW42" si="107">(AT42*0.0065)/16</f>
        <v>0</v>
      </c>
      <c r="AV42" s="250"/>
      <c r="AW42" s="332">
        <f t="shared" si="107"/>
        <v>0</v>
      </c>
      <c r="AX42" s="250"/>
      <c r="AY42" s="251">
        <f t="shared" ref="AY42" si="108">(AX42*0.0065)/16</f>
        <v>0</v>
      </c>
      <c r="AZ42" s="250"/>
      <c r="BA42" s="251">
        <f t="shared" ref="BA42" si="109">(AZ42*0.0065)/16</f>
        <v>0</v>
      </c>
      <c r="BB42" s="250"/>
      <c r="BC42" s="251">
        <f t="shared" ref="BC42" si="110">(BB42*0.0065)/16</f>
        <v>0</v>
      </c>
      <c r="BD42" s="250"/>
      <c r="BE42" s="251"/>
      <c r="BF42" s="250"/>
      <c r="BG42" s="251">
        <f>(BF42*0.0065)/16</f>
        <v>0</v>
      </c>
      <c r="BH42" s="250"/>
      <c r="BI42" s="251">
        <f t="shared" ref="BI42" si="111">(BH42*0.0065)/16</f>
        <v>0</v>
      </c>
      <c r="BJ42" s="250"/>
      <c r="BK42" s="251">
        <f t="shared" ref="BK42" si="112">(BJ42*0.0065)/16</f>
        <v>0</v>
      </c>
      <c r="BL42" s="250"/>
      <c r="BM42" s="251">
        <f t="shared" ref="BM42" si="113">(BL42*0.0065)/16</f>
        <v>0</v>
      </c>
      <c r="BN42" s="250"/>
      <c r="BO42" s="251">
        <f t="shared" ref="BO42" si="114">(BN42*0.0065)/16</f>
        <v>0</v>
      </c>
      <c r="BP42" s="250"/>
      <c r="BQ42" s="251"/>
      <c r="BR42" s="250"/>
      <c r="BS42" s="251"/>
      <c r="BT42" s="252">
        <f t="shared" si="72"/>
        <v>41712</v>
      </c>
      <c r="BU42" s="253">
        <f t="shared" si="73"/>
        <v>49.855999999999995</v>
      </c>
      <c r="BV42" s="255">
        <f t="shared" si="74"/>
        <v>305.84345454545451</v>
      </c>
      <c r="BW42" s="256">
        <f t="shared" si="75"/>
        <v>2</v>
      </c>
      <c r="BX42" s="257"/>
      <c r="BY42" s="256">
        <f t="shared" si="76"/>
        <v>11</v>
      </c>
      <c r="BZ42" s="256">
        <f t="shared" si="77"/>
        <v>13</v>
      </c>
    </row>
    <row r="43" spans="1:78" x14ac:dyDescent="0.25">
      <c r="A43" s="248">
        <v>25</v>
      </c>
      <c r="B43" s="249" t="s">
        <v>308</v>
      </c>
      <c r="C43" s="340" t="s">
        <v>475</v>
      </c>
      <c r="D43" s="250">
        <f>29352-768</f>
        <v>28584</v>
      </c>
      <c r="E43" s="251">
        <f>(D43*0.0065)/12+5</f>
        <v>20.482999999999997</v>
      </c>
      <c r="F43" s="250">
        <f>35256-768</f>
        <v>34488</v>
      </c>
      <c r="G43" s="251">
        <f>(F43*0.0065)/13+5</f>
        <v>22.244</v>
      </c>
      <c r="H43" s="250"/>
      <c r="I43" s="251">
        <f>(H43*0.0065)/14+36</f>
        <v>36</v>
      </c>
      <c r="J43" s="250"/>
      <c r="K43" s="251">
        <f>(J43*0.0065)+15</f>
        <v>15</v>
      </c>
      <c r="L43" s="250"/>
      <c r="M43" s="251"/>
      <c r="N43" s="250"/>
      <c r="O43" s="251">
        <f>(N43*0.0065)/10+24</f>
        <v>24</v>
      </c>
      <c r="P43" s="250"/>
      <c r="Q43" s="333">
        <f>(P43*0.0065)/11+20</f>
        <v>20</v>
      </c>
      <c r="R43" s="250">
        <f>30432-768-768</f>
        <v>28896</v>
      </c>
      <c r="S43" s="251">
        <f>(R43*0.0065)/11+2</f>
        <v>19.074909090909088</v>
      </c>
      <c r="T43" s="250"/>
      <c r="U43" s="251">
        <f>(T43*0.0065)/12+18</f>
        <v>18</v>
      </c>
      <c r="V43" s="250">
        <f t="shared" si="35"/>
        <v>64608</v>
      </c>
      <c r="W43" s="251">
        <f>(V43*0.0065)/16+14</f>
        <v>40.247</v>
      </c>
      <c r="X43" s="250"/>
      <c r="Y43" s="251"/>
      <c r="Z43" s="250"/>
      <c r="AA43" s="251"/>
      <c r="AB43" s="250"/>
      <c r="AC43" s="251">
        <f>(AB43*0.0065)/11+31</f>
        <v>31</v>
      </c>
      <c r="AD43" s="250"/>
      <c r="AE43" s="251">
        <f>(AD43*0.0065)/11+18</f>
        <v>18</v>
      </c>
      <c r="AF43" s="250"/>
      <c r="AG43" s="251">
        <f>(AF43*0.0065)+15</f>
        <v>15</v>
      </c>
      <c r="AH43" s="250">
        <f t="shared" si="36"/>
        <v>37200</v>
      </c>
      <c r="AI43" s="251">
        <f>(AH43*0.0065)/13+2</f>
        <v>20.599999999999998</v>
      </c>
      <c r="AJ43" s="252">
        <f t="shared" si="70"/>
        <v>193776</v>
      </c>
      <c r="AK43" s="253">
        <f t="shared" si="71"/>
        <v>299.64890909090911</v>
      </c>
      <c r="AL43" s="250"/>
      <c r="AM43" s="251">
        <f>(AL43*0.0065)/13+24</f>
        <v>24</v>
      </c>
      <c r="AN43" s="250"/>
      <c r="AO43" s="251">
        <f>(AN43*0.0065)/18+25</f>
        <v>25</v>
      </c>
      <c r="AP43" s="250"/>
      <c r="AQ43" s="251"/>
      <c r="AR43" s="250"/>
      <c r="AS43" s="251">
        <f>(AR43*0.0065)/6+15</f>
        <v>15</v>
      </c>
      <c r="AT43" s="250">
        <f>23184-768-768</f>
        <v>21648</v>
      </c>
      <c r="AU43" s="251">
        <f>(AT43*0.0065)/8+2</f>
        <v>19.588999999999999</v>
      </c>
      <c r="AV43" s="250"/>
      <c r="AW43" s="333">
        <f>(AV43*0.0065)/8+15</f>
        <v>15</v>
      </c>
      <c r="AX43" s="250"/>
      <c r="AY43" s="251">
        <f>(AX43*0.0065)/8+19</f>
        <v>19</v>
      </c>
      <c r="AZ43" s="250"/>
      <c r="BA43" s="251">
        <f>(AZ43*0.0065)/6+15</f>
        <v>15</v>
      </c>
      <c r="BB43" s="250"/>
      <c r="BC43" s="251"/>
      <c r="BD43" s="250"/>
      <c r="BE43" s="251"/>
      <c r="BF43" s="250"/>
      <c r="BG43" s="333">
        <f>(BF43*0.0065)/8+15</f>
        <v>15</v>
      </c>
      <c r="BH43" s="250">
        <f>27456-768-768</f>
        <v>25920</v>
      </c>
      <c r="BI43" s="251">
        <f>(BH43*0.0065)/11+10</f>
        <v>25.316363636363633</v>
      </c>
      <c r="BJ43" s="250"/>
      <c r="BK43" s="251"/>
      <c r="BL43" s="250"/>
      <c r="BM43" s="251"/>
      <c r="BN43" s="250"/>
      <c r="BO43" s="251"/>
      <c r="BP43" s="250"/>
      <c r="BQ43" s="251"/>
      <c r="BR43" s="250"/>
      <c r="BS43" s="251"/>
      <c r="BT43" s="252">
        <f t="shared" si="72"/>
        <v>47568</v>
      </c>
      <c r="BU43" s="253">
        <f t="shared" si="73"/>
        <v>172.90536363636363</v>
      </c>
      <c r="BV43" s="255">
        <f t="shared" si="74"/>
        <v>472.55427272727275</v>
      </c>
      <c r="BW43" s="256">
        <f t="shared" si="75"/>
        <v>0</v>
      </c>
      <c r="BX43" s="257"/>
      <c r="BY43" s="256">
        <f t="shared" si="76"/>
        <v>0</v>
      </c>
      <c r="BZ43" s="256">
        <f t="shared" si="77"/>
        <v>0</v>
      </c>
    </row>
    <row r="44" spans="1:78" ht="15.75" thickBot="1" x14ac:dyDescent="0.3">
      <c r="D44" s="262">
        <f>+D27+D23</f>
        <v>29352</v>
      </c>
      <c r="E44" s="263">
        <f>SUM(E9:E43)</f>
        <v>563.7879999999999</v>
      </c>
      <c r="F44" s="262">
        <f>+F24+F23</f>
        <v>35256</v>
      </c>
      <c r="G44" s="263">
        <f>SUM(G9:G43)</f>
        <v>589.16400000000021</v>
      </c>
      <c r="H44" s="262">
        <f>+H27+H23</f>
        <v>52464</v>
      </c>
      <c r="I44" s="263">
        <f>SUM(I9:I43)</f>
        <v>887.0160000000003</v>
      </c>
      <c r="J44" s="262"/>
      <c r="K44" s="263">
        <f>SUM(K9:K43)</f>
        <v>290</v>
      </c>
      <c r="L44" s="262">
        <f>+L27+L23+L16</f>
        <v>0</v>
      </c>
      <c r="M44" s="263">
        <f>SUM(M9:M43)</f>
        <v>25</v>
      </c>
      <c r="N44" s="262">
        <f>+N16+N23+N24</f>
        <v>39192</v>
      </c>
      <c r="O44" s="263">
        <f>SUM(O9:O43)</f>
        <v>669.74800000000016</v>
      </c>
      <c r="P44" s="262">
        <f>+P27+P23+P16</f>
        <v>42864</v>
      </c>
      <c r="Q44" s="263">
        <f>SUM(Q9:Q43)</f>
        <v>712.61600000000021</v>
      </c>
      <c r="R44" s="262">
        <f>+R24+R23+R16</f>
        <v>30432</v>
      </c>
      <c r="S44" s="263">
        <f>SUM(S9:S43)</f>
        <v>501.88290909090921</v>
      </c>
      <c r="T44" s="262">
        <f>+T27+T23+T16</f>
        <v>29448</v>
      </c>
      <c r="U44" s="263">
        <f>SUM(U9:U43)</f>
        <v>502.41200000000015</v>
      </c>
      <c r="V44" s="262">
        <f>+V43+V23+V16</f>
        <v>66144</v>
      </c>
      <c r="W44" s="263">
        <f>SUM(W9:W43)</f>
        <v>1153.9359999999997</v>
      </c>
      <c r="X44" s="262"/>
      <c r="Y44" s="263">
        <f>SUM(Y9:Y43)</f>
        <v>0</v>
      </c>
      <c r="Z44" s="262">
        <f>+Z24+Z23+Z16</f>
        <v>0</v>
      </c>
      <c r="AA44" s="263">
        <f>SUM(AA9:AA43)</f>
        <v>25</v>
      </c>
      <c r="AB44" s="262">
        <f>+AB27+AB23+AB18</f>
        <v>47928</v>
      </c>
      <c r="AC44" s="263">
        <f>SUM(AC9:AC43)</f>
        <v>826.11054545454556</v>
      </c>
      <c r="AD44" s="262">
        <f>+AD27+AD23+AD16</f>
        <v>29760</v>
      </c>
      <c r="AE44" s="263">
        <f>SUM(AE9:AE43)</f>
        <v>540.43999999999983</v>
      </c>
      <c r="AF44" s="262"/>
      <c r="AG44" s="263">
        <f>SUM(AG9:AG43)</f>
        <v>391</v>
      </c>
      <c r="AH44" s="262">
        <f>+AH27+AH23+AH16</f>
        <v>38736</v>
      </c>
      <c r="AI44" s="263">
        <f>SUM(AI9:AI43)</f>
        <v>598.78400000000022</v>
      </c>
      <c r="AJ44" s="252">
        <f t="shared" si="70"/>
        <v>441576</v>
      </c>
      <c r="AK44" s="253">
        <f t="shared" si="71"/>
        <v>8276.8974545454566</v>
      </c>
      <c r="AL44" s="262">
        <f>+AL24+AL16+AL23</f>
        <v>43248</v>
      </c>
      <c r="AM44" s="263">
        <f>SUM(AM9:AM43)</f>
        <v>697.11199999999997</v>
      </c>
      <c r="AN44" s="262"/>
      <c r="AO44" s="263">
        <f>SUM(AO9:AO43)</f>
        <v>658</v>
      </c>
      <c r="AP44" s="262">
        <f>+AP24+AP23</f>
        <v>0</v>
      </c>
      <c r="AQ44" s="263">
        <f>SUM(AQ9:AQ43)</f>
        <v>25</v>
      </c>
      <c r="AR44" s="262">
        <f>+AR27+AR23+AR16</f>
        <v>8232</v>
      </c>
      <c r="AS44" s="263">
        <f>SUM(AS9:AS43)</f>
        <v>310.17759999999998</v>
      </c>
      <c r="AT44" s="262">
        <f>+AT24+AT23+AT16</f>
        <v>23184</v>
      </c>
      <c r="AU44" s="263">
        <f>SUM(AU9:AU43)</f>
        <v>476.69599999999997</v>
      </c>
      <c r="AV44" s="262">
        <f>+AV27+AV23+AV16</f>
        <v>18144</v>
      </c>
      <c r="AW44" s="263">
        <f>SUM(AW9:AW43)</f>
        <v>417.93600000000004</v>
      </c>
      <c r="AX44" s="262">
        <f>+AX24+AX23+AX16</f>
        <v>23376</v>
      </c>
      <c r="AY44" s="263">
        <f>SUM(AY9:AY43)</f>
        <v>522.94399999999996</v>
      </c>
      <c r="AZ44" s="262">
        <f>+AZ27+AZ23+AZ16</f>
        <v>13968</v>
      </c>
      <c r="BA44" s="263">
        <f>SUM(BA9:BA43)</f>
        <v>443.79200000000003</v>
      </c>
      <c r="BB44" s="262"/>
      <c r="BC44" s="263">
        <f>SUM(BC9:BC43)</f>
        <v>50</v>
      </c>
      <c r="BD44" s="262">
        <f>+BD24+BD23</f>
        <v>0</v>
      </c>
      <c r="BE44" s="263">
        <f>SUM(BE9:BE43)</f>
        <v>0</v>
      </c>
      <c r="BF44" s="262">
        <f>+BF24+BF23+BF16</f>
        <v>34944</v>
      </c>
      <c r="BG44" s="263">
        <f>SUM(BG9:BG43)</f>
        <v>563.13599999999997</v>
      </c>
      <c r="BH44" s="262">
        <f>+BH27+BH23+BH16</f>
        <v>27456</v>
      </c>
      <c r="BI44" s="263">
        <f>SUM(BI9:BI43)</f>
        <v>692.09672727272709</v>
      </c>
      <c r="BJ44" s="262"/>
      <c r="BK44" s="263">
        <f>SUM(BK9:BK43)</f>
        <v>105</v>
      </c>
      <c r="BL44" s="262"/>
      <c r="BM44" s="263">
        <f>SUM(BM9:BM43)</f>
        <v>60</v>
      </c>
      <c r="BN44" s="262"/>
      <c r="BO44" s="263">
        <f>SUM(BO9:BO43)</f>
        <v>15</v>
      </c>
      <c r="BP44" s="262"/>
      <c r="BQ44" s="263">
        <f>SUM(BQ9:BQ28)</f>
        <v>0</v>
      </c>
      <c r="BR44" s="262"/>
      <c r="BS44" s="263"/>
      <c r="BT44" s="264">
        <f>+BH44+BF44+BD44+BB44+AZ44+AX44+AV44+AT44+AR44+AP44+AN44+AL44+BJ44+BR44+BL44+BP44+BN44</f>
        <v>192552</v>
      </c>
      <c r="BU44" s="265">
        <f>+BS44+BM44+BK44+BI44+BG44+BE44+BC44+BA44+AY44+AW44+AU44+AS44+AQ44+AO44+AM44+BQ44+BO44</f>
        <v>5036.8903272727266</v>
      </c>
      <c r="BV44" s="265">
        <f>SUM(BV9:BV43)</f>
        <v>13313.787781818184</v>
      </c>
    </row>
    <row r="45" spans="1:78" ht="15" customHeight="1" thickBot="1" x14ac:dyDescent="0.3">
      <c r="Q45" s="266"/>
      <c r="U45" s="266"/>
      <c r="AC45" s="266"/>
      <c r="AJ45" s="264">
        <f>+Z44+X44+R44+P44+N44+L44+H44+D44+J44+T44+V44+AH44+AB44+AD44+AF44+F44</f>
        <v>441576</v>
      </c>
      <c r="AK45" s="265">
        <f>SUM(AK9:AK43)</f>
        <v>8276.8974545454548</v>
      </c>
      <c r="AM45" s="266"/>
      <c r="AN45" s="267">
        <f>3580+9675</f>
        <v>13255</v>
      </c>
      <c r="AO45" s="268"/>
      <c r="AP45" s="267">
        <v>3435</v>
      </c>
      <c r="AQ45" s="267"/>
      <c r="AR45" s="267">
        <v>2450</v>
      </c>
      <c r="AS45" s="267"/>
      <c r="AT45" s="267">
        <v>1859</v>
      </c>
      <c r="AU45" s="267"/>
      <c r="AV45" s="267"/>
      <c r="AW45" s="268"/>
      <c r="AX45" s="267"/>
      <c r="AY45" s="267"/>
      <c r="BB45" s="267"/>
      <c r="BC45" s="268"/>
      <c r="BD45" s="267"/>
      <c r="BE45" s="267"/>
      <c r="BF45" s="267">
        <v>8420</v>
      </c>
      <c r="BG45" s="267"/>
      <c r="BH45" s="267">
        <v>4689</v>
      </c>
      <c r="BI45" s="267"/>
      <c r="BJ45" s="267">
        <v>3620</v>
      </c>
      <c r="BT45" s="82">
        <f>+AJ45+BT44</f>
        <v>634128</v>
      </c>
      <c r="BU45" s="265">
        <f>SUM(BU9:BU43)</f>
        <v>5036.8903272727257</v>
      </c>
      <c r="BV45" s="265">
        <f>+AK45+BU44</f>
        <v>13313.787781818181</v>
      </c>
    </row>
    <row r="46" spans="1:78" ht="24.75" customHeight="1" x14ac:dyDescent="0.25"/>
    <row r="47" spans="1:78" x14ac:dyDescent="0.25">
      <c r="AI47" t="s">
        <v>449</v>
      </c>
      <c r="AM47" t="s">
        <v>450</v>
      </c>
      <c r="AN47" s="54"/>
      <c r="AS47" t="s">
        <v>451</v>
      </c>
      <c r="BG47" t="s">
        <v>452</v>
      </c>
    </row>
    <row r="48" spans="1:78" x14ac:dyDescent="0.25">
      <c r="P48" s="269" t="s">
        <v>453</v>
      </c>
      <c r="Q48" s="269"/>
      <c r="S48" t="s">
        <v>454</v>
      </c>
      <c r="AA48" t="s">
        <v>455</v>
      </c>
      <c r="AW48" t="s">
        <v>453</v>
      </c>
      <c r="BK48" t="s">
        <v>453</v>
      </c>
    </row>
    <row r="49" spans="3:77" x14ac:dyDescent="0.25">
      <c r="AF49" s="1436" t="s">
        <v>453</v>
      </c>
      <c r="AG49" s="1436"/>
      <c r="AI49" s="1444" t="s">
        <v>456</v>
      </c>
      <c r="AJ49" s="1445"/>
      <c r="AK49" s="358">
        <f>+AB44</f>
        <v>47928</v>
      </c>
      <c r="AS49" s="1440" t="s">
        <v>426</v>
      </c>
      <c r="AT49" s="1440"/>
      <c r="AU49" s="269">
        <f>+AR44</f>
        <v>8232</v>
      </c>
      <c r="AW49" s="269"/>
      <c r="BG49" s="1440" t="s">
        <v>433</v>
      </c>
      <c r="BH49" s="1440"/>
      <c r="BI49" s="269">
        <f>+BF44</f>
        <v>34944</v>
      </c>
      <c r="BK49" s="269"/>
    </row>
    <row r="50" spans="3:77" x14ac:dyDescent="0.25">
      <c r="C50" s="149" t="s">
        <v>457</v>
      </c>
      <c r="S50" s="1440" t="s">
        <v>407</v>
      </c>
      <c r="T50" s="1440"/>
      <c r="U50" s="269">
        <f>+D44</f>
        <v>29352</v>
      </c>
      <c r="Z50" s="359"/>
      <c r="AA50" s="1444" t="s">
        <v>412</v>
      </c>
      <c r="AB50" s="1445"/>
      <c r="AC50" s="358">
        <f>+N44</f>
        <v>39192</v>
      </c>
      <c r="AI50" s="1444" t="s">
        <v>458</v>
      </c>
      <c r="AJ50" s="1445"/>
      <c r="AK50" s="358">
        <f>+AD44</f>
        <v>29760</v>
      </c>
      <c r="AS50" s="1440" t="s">
        <v>427</v>
      </c>
      <c r="AT50" s="1440"/>
      <c r="AU50" s="269">
        <f>+AT44</f>
        <v>23184</v>
      </c>
      <c r="AW50" s="269"/>
      <c r="BG50" s="1440" t="s">
        <v>434</v>
      </c>
      <c r="BH50" s="1440"/>
      <c r="BI50" s="269">
        <f>+BH44</f>
        <v>27456</v>
      </c>
      <c r="BK50" s="269"/>
    </row>
    <row r="51" spans="3:77" x14ac:dyDescent="0.25">
      <c r="P51" s="1446">
        <v>8568</v>
      </c>
      <c r="Q51" s="1446"/>
      <c r="S51" s="1440" t="s">
        <v>408</v>
      </c>
      <c r="T51" s="1440"/>
      <c r="U51" s="269">
        <f>+F44</f>
        <v>35256</v>
      </c>
      <c r="Z51" s="359"/>
      <c r="AA51" s="1444" t="s">
        <v>413</v>
      </c>
      <c r="AB51" s="1445"/>
      <c r="AC51" s="358">
        <f>+P44</f>
        <v>42864</v>
      </c>
      <c r="AI51" s="1444" t="s">
        <v>459</v>
      </c>
      <c r="AJ51" s="1445"/>
      <c r="AK51" s="358">
        <f>+AF44</f>
        <v>0</v>
      </c>
      <c r="AS51" s="1440" t="s">
        <v>428</v>
      </c>
      <c r="AT51" s="1440"/>
      <c r="AU51" s="269">
        <f>+AV44</f>
        <v>18144</v>
      </c>
      <c r="AW51" s="269"/>
      <c r="BG51" s="1440" t="s">
        <v>435</v>
      </c>
      <c r="BH51" s="1440"/>
      <c r="BI51" s="269">
        <f>+BJ44</f>
        <v>0</v>
      </c>
      <c r="BK51" s="269"/>
    </row>
    <row r="52" spans="3:77" x14ac:dyDescent="0.25">
      <c r="S52" s="1440" t="s">
        <v>409</v>
      </c>
      <c r="T52" s="1440"/>
      <c r="U52" s="269">
        <f>+H44</f>
        <v>52464</v>
      </c>
      <c r="Z52" s="359"/>
      <c r="AA52" s="1444" t="s">
        <v>414</v>
      </c>
      <c r="AB52" s="1445"/>
      <c r="AC52" s="358">
        <f>+R44</f>
        <v>30432</v>
      </c>
      <c r="AI52" s="1444" t="s">
        <v>460</v>
      </c>
      <c r="AJ52" s="1445"/>
      <c r="AK52" s="358">
        <f>+AH44</f>
        <v>38736</v>
      </c>
      <c r="AS52" s="1440" t="s">
        <v>461</v>
      </c>
      <c r="AT52" s="1440"/>
      <c r="AU52" s="269">
        <f>+AX44</f>
        <v>23376</v>
      </c>
      <c r="AW52" s="269">
        <v>8256</v>
      </c>
      <c r="BG52" s="1440" t="s">
        <v>436</v>
      </c>
      <c r="BH52" s="1440"/>
      <c r="BI52" s="269">
        <f>+BL44</f>
        <v>0</v>
      </c>
      <c r="BK52" s="269">
        <v>8712</v>
      </c>
    </row>
    <row r="53" spans="3:77" x14ac:dyDescent="0.25">
      <c r="S53" s="1440" t="s">
        <v>410</v>
      </c>
      <c r="T53" s="1440"/>
      <c r="U53" s="269">
        <f>+J44</f>
        <v>0</v>
      </c>
      <c r="Z53" s="359"/>
      <c r="AA53" s="1444" t="s">
        <v>462</v>
      </c>
      <c r="AB53" s="1445"/>
      <c r="AC53" s="358">
        <f>+T44</f>
        <v>29448</v>
      </c>
      <c r="AI53" s="1444" t="s">
        <v>423</v>
      </c>
      <c r="AJ53" s="1445"/>
      <c r="AK53" s="358">
        <f>+AL44</f>
        <v>43248</v>
      </c>
      <c r="AS53" s="1440" t="s">
        <v>430</v>
      </c>
      <c r="AT53" s="1440"/>
      <c r="AU53" s="269">
        <f>+AZ44</f>
        <v>13968</v>
      </c>
      <c r="AW53" s="269"/>
      <c r="BG53" s="1440" t="s">
        <v>437</v>
      </c>
      <c r="BH53" s="1440"/>
      <c r="BI53" s="269">
        <f>+BN44</f>
        <v>0</v>
      </c>
      <c r="BK53" s="269"/>
    </row>
    <row r="54" spans="3:77" x14ac:dyDescent="0.25">
      <c r="P54" s="1446">
        <v>7824</v>
      </c>
      <c r="Q54" s="1446"/>
      <c r="S54" s="1440" t="s">
        <v>463</v>
      </c>
      <c r="T54" s="1440"/>
      <c r="U54" s="269">
        <f>+Z44</f>
        <v>0</v>
      </c>
      <c r="Z54" s="359"/>
      <c r="AA54" s="1444" t="s">
        <v>416</v>
      </c>
      <c r="AB54" s="1445"/>
      <c r="AC54" s="358">
        <f>+V44</f>
        <v>66144</v>
      </c>
      <c r="AI54" s="1444" t="s">
        <v>424</v>
      </c>
      <c r="AJ54" s="1445"/>
      <c r="AK54" s="269">
        <f>+AN44</f>
        <v>0</v>
      </c>
      <c r="AM54" s="269">
        <v>8592</v>
      </c>
      <c r="AS54" s="1440" t="s">
        <v>431</v>
      </c>
      <c r="AT54" s="1440"/>
      <c r="AU54" s="269">
        <f>+BB44</f>
        <v>0</v>
      </c>
      <c r="AW54" s="269"/>
      <c r="BG54" s="1440" t="s">
        <v>464</v>
      </c>
      <c r="BH54" s="1440"/>
      <c r="BI54" s="269">
        <f>+BP44</f>
        <v>0</v>
      </c>
      <c r="BK54" s="269"/>
    </row>
    <row r="55" spans="3:77" x14ac:dyDescent="0.25">
      <c r="O55" t="s">
        <v>247</v>
      </c>
      <c r="P55" s="1446">
        <f>+P51+P54</f>
        <v>16392</v>
      </c>
      <c r="Q55" s="1446"/>
      <c r="S55" s="1447" t="s">
        <v>247</v>
      </c>
      <c r="T55" s="1448"/>
      <c r="U55" s="269">
        <f>SUM(U50:U54)</f>
        <v>117072</v>
      </c>
      <c r="Z55" s="360"/>
      <c r="AA55" s="1444" t="s">
        <v>417</v>
      </c>
      <c r="AB55" s="1445"/>
      <c r="AC55" s="269">
        <f>+X44</f>
        <v>0</v>
      </c>
      <c r="AI55" s="1444" t="s">
        <v>425</v>
      </c>
      <c r="AJ55" s="1445"/>
      <c r="AK55" s="269">
        <f>+AP44</f>
        <v>0</v>
      </c>
      <c r="AS55" s="1440" t="s">
        <v>432</v>
      </c>
      <c r="AT55" s="1440"/>
      <c r="AU55" s="269">
        <f>+BD44</f>
        <v>0</v>
      </c>
      <c r="AW55" s="269"/>
      <c r="BG55" s="1440" t="s">
        <v>465</v>
      </c>
      <c r="BH55" s="1440"/>
      <c r="BI55" s="269">
        <f>+BR44</f>
        <v>0</v>
      </c>
      <c r="BK55" s="269"/>
    </row>
    <row r="56" spans="3:77" x14ac:dyDescent="0.25">
      <c r="Z56" s="360"/>
      <c r="AA56" s="1444" t="s">
        <v>418</v>
      </c>
      <c r="AB56" s="1445"/>
      <c r="AC56" s="269"/>
      <c r="AF56" s="1446">
        <v>8424</v>
      </c>
      <c r="AG56" s="1446"/>
      <c r="AI56" s="1444" t="s">
        <v>247</v>
      </c>
      <c r="AJ56" s="1445"/>
      <c r="AK56" s="358">
        <f>SUM(AK49:AK54)</f>
        <v>159672</v>
      </c>
      <c r="AS56" s="1440" t="s">
        <v>247</v>
      </c>
      <c r="AT56" s="1440"/>
      <c r="AU56" s="269">
        <f>SUBTOTAL(9,AU49:AU55)</f>
        <v>86904</v>
      </c>
      <c r="AW56" s="269">
        <f>SUBTOTAL(9,AW49:AW55)</f>
        <v>8256</v>
      </c>
      <c r="BG56" s="1440" t="s">
        <v>247</v>
      </c>
      <c r="BH56" s="1440"/>
      <c r="BI56" s="269">
        <f>SUBTOTAL(9,BI49:BI55)</f>
        <v>62400</v>
      </c>
      <c r="BK56" s="269">
        <f>SUBTOTAL(9,BK49:BK55)</f>
        <v>8712</v>
      </c>
    </row>
    <row r="57" spans="3:77" x14ac:dyDescent="0.25">
      <c r="Z57" s="359"/>
      <c r="AA57" s="1444" t="s">
        <v>247</v>
      </c>
      <c r="AB57" s="1445"/>
      <c r="AC57" s="358">
        <f>SUM(AC50:AC55)</f>
        <v>208080</v>
      </c>
    </row>
    <row r="60" spans="3:77" x14ac:dyDescent="0.25">
      <c r="T60" s="1437" t="s">
        <v>466</v>
      </c>
      <c r="U60" s="1438"/>
      <c r="V60" s="1438"/>
      <c r="W60" s="1438"/>
      <c r="X60" s="1438"/>
      <c r="Y60" s="1438"/>
      <c r="Z60" s="1438"/>
      <c r="AA60" s="1439"/>
      <c r="AB60" s="269">
        <f>+U55+AC57+AK56</f>
        <v>484824</v>
      </c>
      <c r="AW60" s="1440" t="s">
        <v>467</v>
      </c>
      <c r="AX60" s="1440"/>
      <c r="AY60" s="1440"/>
      <c r="AZ60" s="1440"/>
      <c r="BA60" s="1440"/>
      <c r="BB60" s="361"/>
      <c r="BC60" s="269">
        <f>+AU56+BI56</f>
        <v>149304</v>
      </c>
      <c r="BG60" s="1441"/>
      <c r="BH60" s="1441"/>
      <c r="BI60" s="1441"/>
      <c r="BJ60" s="1441"/>
      <c r="BK60" s="1441"/>
      <c r="BL60" s="362"/>
      <c r="BM60" s="1440" t="s">
        <v>468</v>
      </c>
      <c r="BN60" s="1440"/>
      <c r="BO60" s="1440"/>
      <c r="BP60" s="1438"/>
      <c r="BQ60" s="1438"/>
      <c r="BR60" s="1438"/>
      <c r="BS60" s="1438"/>
      <c r="BT60" s="1440"/>
      <c r="BU60" s="1440"/>
      <c r="BV60" s="363">
        <f>+AB60+BC60</f>
        <v>634128</v>
      </c>
      <c r="BW60">
        <v>642000</v>
      </c>
      <c r="BY60">
        <f>+BW60-BV60</f>
        <v>7872</v>
      </c>
    </row>
    <row r="61" spans="3:77" x14ac:dyDescent="0.25">
      <c r="AW61" s="361"/>
      <c r="AX61" s="361"/>
      <c r="AY61" s="361"/>
      <c r="AZ61" s="361"/>
      <c r="BA61" s="361"/>
      <c r="BB61" s="361"/>
      <c r="BG61" s="362"/>
      <c r="BH61" s="362"/>
      <c r="BI61" s="362"/>
      <c r="BJ61" s="362"/>
      <c r="BK61" s="362"/>
      <c r="BL61" s="362"/>
      <c r="BM61" s="362"/>
      <c r="BN61" s="364"/>
      <c r="BO61" s="364"/>
      <c r="BP61" s="364"/>
      <c r="BQ61" s="364"/>
      <c r="BT61" s="361"/>
      <c r="BU61" s="361"/>
      <c r="BV61" s="1"/>
    </row>
    <row r="62" spans="3:77" x14ac:dyDescent="0.25">
      <c r="T62" s="1437" t="s">
        <v>469</v>
      </c>
      <c r="U62" s="1438"/>
      <c r="V62" s="1438"/>
      <c r="W62" s="1438"/>
      <c r="X62" s="1438"/>
      <c r="Y62" s="1438"/>
      <c r="Z62" s="1438"/>
      <c r="AA62" s="1439"/>
      <c r="AB62" s="269">
        <f>+P55+AF56+AM54</f>
        <v>33408</v>
      </c>
      <c r="AW62" s="1440" t="s">
        <v>470</v>
      </c>
      <c r="AX62" s="1440"/>
      <c r="AY62" s="1440"/>
      <c r="AZ62" s="1440"/>
      <c r="BA62" s="1440"/>
      <c r="BB62" s="361"/>
      <c r="BC62" s="269">
        <f>+AW56+BK56</f>
        <v>16968</v>
      </c>
      <c r="BG62" s="1441"/>
      <c r="BH62" s="1441"/>
      <c r="BI62" s="1441"/>
      <c r="BJ62" s="1441"/>
      <c r="BK62" s="1441"/>
      <c r="BL62" s="362"/>
      <c r="BM62" s="1440" t="s">
        <v>471</v>
      </c>
      <c r="BN62" s="1440"/>
      <c r="BO62" s="1440"/>
      <c r="BP62" s="1438"/>
      <c r="BQ62" s="1438"/>
      <c r="BR62" s="1438"/>
      <c r="BS62" s="1438"/>
      <c r="BT62" s="1440"/>
      <c r="BU62" s="1440"/>
      <c r="BV62" s="363">
        <f>+AB62+BC62</f>
        <v>50376</v>
      </c>
    </row>
    <row r="63" spans="3:77" x14ac:dyDescent="0.25">
      <c r="AW63" s="361"/>
      <c r="AX63" s="361"/>
      <c r="AY63" s="361"/>
      <c r="AZ63" s="361"/>
      <c r="BA63" s="361"/>
      <c r="BB63" s="361"/>
      <c r="BG63" s="362"/>
      <c r="BH63" s="362"/>
      <c r="BI63" s="362"/>
      <c r="BJ63" s="362"/>
      <c r="BK63" s="362"/>
      <c r="BL63" s="362"/>
      <c r="BM63" s="362"/>
      <c r="BN63" s="364"/>
      <c r="BO63" s="364"/>
      <c r="BP63" s="364"/>
      <c r="BQ63" s="364"/>
      <c r="BT63" s="361"/>
      <c r="BU63" s="361"/>
      <c r="BV63" s="1"/>
    </row>
    <row r="64" spans="3:77" x14ac:dyDescent="0.25">
      <c r="AW64" s="361"/>
      <c r="AX64" s="361"/>
      <c r="AY64" s="361"/>
      <c r="AZ64" s="361"/>
      <c r="BA64" s="361"/>
      <c r="BB64" s="361"/>
      <c r="BG64" s="362"/>
      <c r="BH64" s="362"/>
      <c r="BI64" s="362"/>
      <c r="BJ64" s="362"/>
      <c r="BK64" s="362"/>
      <c r="BL64" s="362"/>
      <c r="BM64" s="362"/>
      <c r="BN64" s="364"/>
      <c r="BO64" s="364"/>
      <c r="BP64" s="364"/>
      <c r="BQ64" s="364"/>
      <c r="BT64" s="361"/>
      <c r="BU64" s="361"/>
      <c r="BV64" s="1"/>
    </row>
    <row r="65" spans="20:74" x14ac:dyDescent="0.25">
      <c r="T65" t="s">
        <v>472</v>
      </c>
      <c r="X65" t="s">
        <v>247</v>
      </c>
      <c r="AB65" s="269">
        <f>+AB60+AB62</f>
        <v>518232</v>
      </c>
      <c r="AW65" s="1440" t="s">
        <v>473</v>
      </c>
      <c r="AX65" s="1440"/>
      <c r="AY65" s="1440"/>
      <c r="AZ65" s="1440"/>
      <c r="BA65" s="1440"/>
      <c r="BB65" s="1440"/>
      <c r="BC65" s="269">
        <f>+BC60+BC62</f>
        <v>166272</v>
      </c>
      <c r="BG65" s="1441"/>
      <c r="BH65" s="1441"/>
      <c r="BI65" s="1441"/>
      <c r="BJ65" s="1441"/>
      <c r="BK65" s="1441"/>
      <c r="BL65" s="1441"/>
      <c r="BM65" s="1442" t="s">
        <v>474</v>
      </c>
      <c r="BN65" s="1442"/>
      <c r="BO65" s="1442"/>
      <c r="BP65" s="1443"/>
      <c r="BQ65" s="1443"/>
      <c r="BR65" s="1443"/>
      <c r="BS65" s="1443"/>
      <c r="BT65" s="1442"/>
      <c r="BU65" s="1442"/>
      <c r="BV65" s="363">
        <f>+BV60+BV62</f>
        <v>684504</v>
      </c>
    </row>
    <row r="118622" spans="34:36" x14ac:dyDescent="0.25">
      <c r="AH118622" s="1436"/>
      <c r="AI118622" s="1436"/>
      <c r="AJ118622" s="1436"/>
    </row>
    <row r="1048335" spans="39:39" x14ac:dyDescent="0.25">
      <c r="AM1048335" s="251">
        <f>(AL1048335*0.0065)+14</f>
        <v>14</v>
      </c>
    </row>
  </sheetData>
  <autoFilter ref="B6:B43"/>
  <mergeCells count="101">
    <mergeCell ref="BY5:BY6"/>
    <mergeCell ref="A6:A7"/>
    <mergeCell ref="B6:B7"/>
    <mergeCell ref="C6:C7"/>
    <mergeCell ref="D6:E6"/>
    <mergeCell ref="F6:G6"/>
    <mergeCell ref="H6:I6"/>
    <mergeCell ref="J6:K6"/>
    <mergeCell ref="L6:M6"/>
    <mergeCell ref="N6:O6"/>
    <mergeCell ref="P6:Q6"/>
    <mergeCell ref="R6:S6"/>
    <mergeCell ref="BB6:BC6"/>
    <mergeCell ref="BD6:BE6"/>
    <mergeCell ref="BF6:BG6"/>
    <mergeCell ref="BH6:BI6"/>
    <mergeCell ref="AD6:AE6"/>
    <mergeCell ref="AF6:AG6"/>
    <mergeCell ref="AH6:AI6"/>
    <mergeCell ref="T6:U6"/>
    <mergeCell ref="V6:W6"/>
    <mergeCell ref="X6:Y6"/>
    <mergeCell ref="Z6:AA6"/>
    <mergeCell ref="AB6:AC6"/>
    <mergeCell ref="A2:C3"/>
    <mergeCell ref="AL2:BT3"/>
    <mergeCell ref="E3:K3"/>
    <mergeCell ref="BW5:BW6"/>
    <mergeCell ref="BG50:BH50"/>
    <mergeCell ref="BT6:BT7"/>
    <mergeCell ref="BU6:BU7"/>
    <mergeCell ref="BV6:BV7"/>
    <mergeCell ref="AF49:AG49"/>
    <mergeCell ref="AI49:AJ49"/>
    <mergeCell ref="AS49:AT49"/>
    <mergeCell ref="BG49:BH49"/>
    <mergeCell ref="BJ6:BK6"/>
    <mergeCell ref="BL6:BM6"/>
    <mergeCell ref="BN6:BO6"/>
    <mergeCell ref="BP6:BQ6"/>
    <mergeCell ref="BR6:BS6"/>
    <mergeCell ref="AR6:AS6"/>
    <mergeCell ref="AT6:AU6"/>
    <mergeCell ref="AV6:AW6"/>
    <mergeCell ref="AX6:AY6"/>
    <mergeCell ref="AZ6:BA6"/>
    <mergeCell ref="AJ6:AJ7"/>
    <mergeCell ref="AK6:AK7"/>
    <mergeCell ref="AL6:AM6"/>
    <mergeCell ref="AN6:AO6"/>
    <mergeCell ref="AP6:AQ6"/>
    <mergeCell ref="P51:Q51"/>
    <mergeCell ref="S51:T51"/>
    <mergeCell ref="AA51:AB51"/>
    <mergeCell ref="AI51:AJ51"/>
    <mergeCell ref="AS51:AT51"/>
    <mergeCell ref="S50:T50"/>
    <mergeCell ref="AA50:AB50"/>
    <mergeCell ref="AI50:AJ50"/>
    <mergeCell ref="AS50:AT50"/>
    <mergeCell ref="S53:T53"/>
    <mergeCell ref="AA53:AB53"/>
    <mergeCell ref="AI53:AJ53"/>
    <mergeCell ref="AS53:AT53"/>
    <mergeCell ref="BG53:BH53"/>
    <mergeCell ref="BG51:BH51"/>
    <mergeCell ref="S52:T52"/>
    <mergeCell ref="AA52:AB52"/>
    <mergeCell ref="AI52:AJ52"/>
    <mergeCell ref="AS52:AT52"/>
    <mergeCell ref="BG52:BH52"/>
    <mergeCell ref="AA56:AB56"/>
    <mergeCell ref="AF56:AG56"/>
    <mergeCell ref="AI56:AJ56"/>
    <mergeCell ref="AS56:AT56"/>
    <mergeCell ref="BG56:BH56"/>
    <mergeCell ref="BG54:BH54"/>
    <mergeCell ref="P55:Q55"/>
    <mergeCell ref="S55:T55"/>
    <mergeCell ref="AA55:AB55"/>
    <mergeCell ref="AI55:AJ55"/>
    <mergeCell ref="AS55:AT55"/>
    <mergeCell ref="BG55:BH55"/>
    <mergeCell ref="P54:Q54"/>
    <mergeCell ref="S54:T54"/>
    <mergeCell ref="AA54:AB54"/>
    <mergeCell ref="AI54:AJ54"/>
    <mergeCell ref="AS54:AT54"/>
    <mergeCell ref="AH118622:AJ118622"/>
    <mergeCell ref="T62:AA62"/>
    <mergeCell ref="AW62:BA62"/>
    <mergeCell ref="BG62:BK62"/>
    <mergeCell ref="BM62:BU62"/>
    <mergeCell ref="AW65:BB65"/>
    <mergeCell ref="BG65:BL65"/>
    <mergeCell ref="BM65:BU65"/>
    <mergeCell ref="AA57:AB57"/>
    <mergeCell ref="T60:AA60"/>
    <mergeCell ref="AW60:BA60"/>
    <mergeCell ref="BG60:BK60"/>
    <mergeCell ref="BM60:BU6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" sqref="L1:S1"/>
    </sheetView>
  </sheetViews>
  <sheetFormatPr baseColWidth="10" defaultRowHeight="15" x14ac:dyDescent="0.25"/>
  <cols>
    <col min="1" max="1" width="7.5703125" customWidth="1"/>
    <col min="2" max="2" width="38.5703125" customWidth="1"/>
    <col min="3" max="3" width="7.140625" customWidth="1"/>
    <col min="4" max="10" width="8.7109375" customWidth="1"/>
    <col min="11" max="11" width="9" customWidth="1"/>
  </cols>
  <sheetData>
    <row r="1" spans="1:21" ht="58.5" thickBot="1" x14ac:dyDescent="0.3">
      <c r="A1" s="212" t="s">
        <v>255</v>
      </c>
      <c r="B1" s="320" t="s">
        <v>398</v>
      </c>
      <c r="C1" s="1482" t="s">
        <v>275</v>
      </c>
      <c r="D1" s="1483" t="s">
        <v>399</v>
      </c>
      <c r="E1" s="1484" t="s">
        <v>9</v>
      </c>
      <c r="F1" s="1484" t="s">
        <v>276</v>
      </c>
      <c r="G1" s="1484" t="s">
        <v>277</v>
      </c>
      <c r="H1" s="1484" t="s">
        <v>22</v>
      </c>
      <c r="I1" s="1484" t="s">
        <v>278</v>
      </c>
      <c r="J1" s="1484" t="s">
        <v>279</v>
      </c>
      <c r="K1" s="321" t="s">
        <v>280</v>
      </c>
      <c r="L1" s="1482" t="s">
        <v>275</v>
      </c>
      <c r="M1" s="1483" t="s">
        <v>399</v>
      </c>
      <c r="N1" s="1484" t="s">
        <v>9</v>
      </c>
      <c r="O1" s="1484" t="s">
        <v>276</v>
      </c>
      <c r="P1" s="1484" t="s">
        <v>277</v>
      </c>
      <c r="Q1" s="1484" t="s">
        <v>22</v>
      </c>
      <c r="R1" s="1484" t="s">
        <v>278</v>
      </c>
      <c r="S1" s="1484" t="s">
        <v>279</v>
      </c>
      <c r="T1" s="321" t="s">
        <v>280</v>
      </c>
      <c r="U1" s="343" t="s">
        <v>281</v>
      </c>
    </row>
    <row r="2" spans="1:21" ht="16.5" thickBot="1" x14ac:dyDescent="0.3">
      <c r="A2" s="272">
        <v>1</v>
      </c>
      <c r="B2" s="273" t="s">
        <v>221</v>
      </c>
      <c r="C2" s="214">
        <v>15</v>
      </c>
      <c r="D2" s="215">
        <v>0</v>
      </c>
      <c r="E2" s="215">
        <v>0</v>
      </c>
      <c r="F2" s="215">
        <v>0</v>
      </c>
      <c r="G2" s="215">
        <v>0</v>
      </c>
      <c r="H2" s="216">
        <v>0</v>
      </c>
      <c r="I2" s="216">
        <v>0</v>
      </c>
      <c r="J2" s="216">
        <v>0</v>
      </c>
      <c r="K2" s="271">
        <f>(C2*15)-H2-I2+J2</f>
        <v>225</v>
      </c>
      <c r="L2" s="214">
        <v>12</v>
      </c>
      <c r="M2" s="215">
        <v>3</v>
      </c>
      <c r="N2" s="215">
        <v>0</v>
      </c>
      <c r="O2" s="215">
        <v>0</v>
      </c>
      <c r="P2" s="215">
        <v>0</v>
      </c>
      <c r="Q2" s="216">
        <v>0</v>
      </c>
      <c r="R2" s="216">
        <v>0</v>
      </c>
      <c r="S2" s="216">
        <v>0</v>
      </c>
      <c r="T2" s="271">
        <f>(L2*15)-Q2-R2+S2</f>
        <v>180</v>
      </c>
      <c r="U2" s="227"/>
    </row>
    <row r="3" spans="1:21" ht="16.5" thickBot="1" x14ac:dyDescent="0.3">
      <c r="A3" s="272">
        <v>2</v>
      </c>
      <c r="B3" s="220" t="s">
        <v>352</v>
      </c>
      <c r="C3" s="214">
        <v>11</v>
      </c>
      <c r="D3" s="215">
        <v>3</v>
      </c>
      <c r="E3" s="215">
        <v>0</v>
      </c>
      <c r="F3" s="215">
        <v>1</v>
      </c>
      <c r="G3" s="215">
        <v>0</v>
      </c>
      <c r="H3" s="216">
        <v>0</v>
      </c>
      <c r="I3" s="216">
        <v>0</v>
      </c>
      <c r="J3" s="216">
        <v>0</v>
      </c>
      <c r="K3" s="271">
        <f t="shared" ref="K3:K12" si="0">(C3*15)-H3-I3+J3</f>
        <v>165</v>
      </c>
      <c r="L3" s="214">
        <v>11</v>
      </c>
      <c r="M3" s="215">
        <v>4</v>
      </c>
      <c r="N3" s="215">
        <v>0</v>
      </c>
      <c r="O3" s="215">
        <v>0</v>
      </c>
      <c r="P3" s="215">
        <v>0</v>
      </c>
      <c r="Q3" s="216">
        <v>0</v>
      </c>
      <c r="R3" s="216">
        <v>0</v>
      </c>
      <c r="S3" s="216">
        <v>0</v>
      </c>
      <c r="T3" s="271">
        <f t="shared" ref="T3:T13" si="1">(L3*15)-Q3-R3+S3</f>
        <v>165</v>
      </c>
      <c r="U3" s="217"/>
    </row>
    <row r="4" spans="1:21" ht="16.5" thickBot="1" x14ac:dyDescent="0.3">
      <c r="A4" s="272">
        <v>3</v>
      </c>
      <c r="B4" s="220" t="s">
        <v>353</v>
      </c>
      <c r="C4" s="214">
        <v>10</v>
      </c>
      <c r="D4" s="215">
        <v>5</v>
      </c>
      <c r="E4" s="215">
        <v>0</v>
      </c>
      <c r="F4" s="215">
        <v>0</v>
      </c>
      <c r="G4" s="215">
        <v>0</v>
      </c>
      <c r="H4" s="216">
        <v>0</v>
      </c>
      <c r="I4" s="216">
        <v>0</v>
      </c>
      <c r="J4" s="216">
        <v>0</v>
      </c>
      <c r="K4" s="271">
        <f t="shared" si="0"/>
        <v>150</v>
      </c>
      <c r="L4" s="214">
        <v>8</v>
      </c>
      <c r="M4" s="215">
        <v>7</v>
      </c>
      <c r="N4" s="215">
        <v>0</v>
      </c>
      <c r="O4" s="215">
        <v>0</v>
      </c>
      <c r="P4" s="215">
        <v>0</v>
      </c>
      <c r="Q4" s="216">
        <v>0</v>
      </c>
      <c r="R4" s="216">
        <v>0</v>
      </c>
      <c r="S4" s="216">
        <v>0</v>
      </c>
      <c r="T4" s="271">
        <f t="shared" si="1"/>
        <v>120</v>
      </c>
      <c r="U4" s="217"/>
    </row>
    <row r="5" spans="1:21" ht="16.5" thickBot="1" x14ac:dyDescent="0.3">
      <c r="A5" s="272">
        <v>4</v>
      </c>
      <c r="B5" s="220" t="s">
        <v>354</v>
      </c>
      <c r="C5" s="214">
        <v>14</v>
      </c>
      <c r="D5" s="215">
        <v>0</v>
      </c>
      <c r="E5" s="215">
        <v>0</v>
      </c>
      <c r="F5" s="215">
        <v>0</v>
      </c>
      <c r="G5" s="215">
        <v>1</v>
      </c>
      <c r="H5" s="216">
        <v>0</v>
      </c>
      <c r="I5" s="216">
        <v>0</v>
      </c>
      <c r="J5" s="216">
        <v>0</v>
      </c>
      <c r="K5" s="271">
        <f t="shared" si="0"/>
        <v>210</v>
      </c>
      <c r="L5" s="214">
        <v>10</v>
      </c>
      <c r="M5" s="215">
        <v>5</v>
      </c>
      <c r="N5" s="215">
        <v>0</v>
      </c>
      <c r="O5" s="215">
        <v>0</v>
      </c>
      <c r="P5" s="215">
        <v>0</v>
      </c>
      <c r="Q5" s="216">
        <v>0</v>
      </c>
      <c r="R5" s="216">
        <v>0</v>
      </c>
      <c r="S5" s="216">
        <v>0</v>
      </c>
      <c r="T5" s="271">
        <f t="shared" si="1"/>
        <v>150</v>
      </c>
      <c r="U5" s="217"/>
    </row>
    <row r="6" spans="1:21" ht="16.5" thickBot="1" x14ac:dyDescent="0.3">
      <c r="A6" s="272">
        <v>5</v>
      </c>
      <c r="B6" s="220" t="s">
        <v>229</v>
      </c>
      <c r="C6" s="214">
        <v>15</v>
      </c>
      <c r="D6" s="215">
        <v>0</v>
      </c>
      <c r="E6" s="215">
        <v>0</v>
      </c>
      <c r="F6" s="215">
        <v>0</v>
      </c>
      <c r="G6" s="215">
        <v>0</v>
      </c>
      <c r="H6" s="216">
        <v>0</v>
      </c>
      <c r="I6" s="216">
        <v>0</v>
      </c>
      <c r="J6" s="216">
        <v>0</v>
      </c>
      <c r="K6" s="271">
        <f t="shared" si="0"/>
        <v>225</v>
      </c>
      <c r="L6" s="214">
        <v>12</v>
      </c>
      <c r="M6" s="215">
        <v>3</v>
      </c>
      <c r="N6" s="215">
        <v>0</v>
      </c>
      <c r="O6" s="215">
        <v>0</v>
      </c>
      <c r="P6" s="215">
        <v>0</v>
      </c>
      <c r="Q6" s="216">
        <v>0</v>
      </c>
      <c r="R6" s="216">
        <v>0</v>
      </c>
      <c r="S6" s="216">
        <v>0</v>
      </c>
      <c r="T6" s="271">
        <f t="shared" si="1"/>
        <v>180</v>
      </c>
      <c r="U6" s="217"/>
    </row>
    <row r="7" spans="1:21" ht="16.5" thickBot="1" x14ac:dyDescent="0.3">
      <c r="A7" s="272">
        <v>6</v>
      </c>
      <c r="B7" s="220" t="s">
        <v>232</v>
      </c>
      <c r="C7" s="214">
        <v>13</v>
      </c>
      <c r="D7" s="215">
        <v>0</v>
      </c>
      <c r="E7" s="215">
        <v>0</v>
      </c>
      <c r="F7" s="215">
        <v>2</v>
      </c>
      <c r="G7" s="215">
        <v>0</v>
      </c>
      <c r="H7" s="216">
        <v>0</v>
      </c>
      <c r="I7" s="216">
        <v>0</v>
      </c>
      <c r="J7" s="216">
        <v>0</v>
      </c>
      <c r="K7" s="271">
        <f t="shared" si="0"/>
        <v>195</v>
      </c>
      <c r="L7" s="214">
        <v>7</v>
      </c>
      <c r="M7" s="215">
        <v>8</v>
      </c>
      <c r="N7" s="215">
        <v>0</v>
      </c>
      <c r="O7" s="215">
        <v>0</v>
      </c>
      <c r="P7" s="215">
        <v>0</v>
      </c>
      <c r="Q7" s="216">
        <v>0</v>
      </c>
      <c r="R7" s="216">
        <v>0</v>
      </c>
      <c r="S7" s="216">
        <v>0</v>
      </c>
      <c r="T7" s="271">
        <f t="shared" si="1"/>
        <v>105</v>
      </c>
      <c r="U7" s="217"/>
    </row>
    <row r="8" spans="1:21" ht="16.5" thickBot="1" x14ac:dyDescent="0.3">
      <c r="A8" s="272">
        <v>7</v>
      </c>
      <c r="B8" s="220" t="s">
        <v>234</v>
      </c>
      <c r="C8" s="214">
        <v>13</v>
      </c>
      <c r="D8" s="215">
        <v>0</v>
      </c>
      <c r="E8" s="322">
        <v>2</v>
      </c>
      <c r="F8" s="215">
        <v>0</v>
      </c>
      <c r="G8" s="215">
        <v>0</v>
      </c>
      <c r="H8" s="216">
        <v>0</v>
      </c>
      <c r="I8" s="216">
        <v>0</v>
      </c>
      <c r="J8" s="216">
        <v>0</v>
      </c>
      <c r="K8" s="271">
        <f t="shared" si="0"/>
        <v>195</v>
      </c>
      <c r="L8" s="214">
        <v>8</v>
      </c>
      <c r="M8" s="215">
        <v>5</v>
      </c>
      <c r="N8" s="322">
        <v>2</v>
      </c>
      <c r="O8" s="215">
        <v>0</v>
      </c>
      <c r="P8" s="215">
        <v>0</v>
      </c>
      <c r="Q8" s="216">
        <v>0</v>
      </c>
      <c r="R8" s="216">
        <v>0</v>
      </c>
      <c r="S8" s="216">
        <v>0</v>
      </c>
      <c r="T8" s="271">
        <f t="shared" si="1"/>
        <v>120</v>
      </c>
      <c r="U8" s="217"/>
    </row>
    <row r="9" spans="1:21" ht="16.5" thickBot="1" x14ac:dyDescent="0.3">
      <c r="A9" s="272">
        <v>8</v>
      </c>
      <c r="B9" s="220" t="s">
        <v>235</v>
      </c>
      <c r="C9" s="214">
        <v>15</v>
      </c>
      <c r="D9" s="215">
        <v>0</v>
      </c>
      <c r="E9" s="215">
        <v>0</v>
      </c>
      <c r="F9" s="215">
        <v>0</v>
      </c>
      <c r="G9" s="215">
        <v>0</v>
      </c>
      <c r="H9" s="216">
        <v>0</v>
      </c>
      <c r="I9" s="216">
        <v>0</v>
      </c>
      <c r="J9" s="216">
        <v>0</v>
      </c>
      <c r="K9" s="271">
        <f t="shared" si="0"/>
        <v>225</v>
      </c>
      <c r="L9" s="214">
        <v>10</v>
      </c>
      <c r="M9" s="215">
        <v>5</v>
      </c>
      <c r="N9" s="215">
        <v>0</v>
      </c>
      <c r="O9" s="215">
        <v>0</v>
      </c>
      <c r="P9" s="215">
        <v>0</v>
      </c>
      <c r="Q9" s="216">
        <v>0</v>
      </c>
      <c r="R9" s="216">
        <v>0</v>
      </c>
      <c r="S9" s="216">
        <v>0</v>
      </c>
      <c r="T9" s="271">
        <f t="shared" si="1"/>
        <v>150</v>
      </c>
      <c r="U9" s="217"/>
    </row>
    <row r="10" spans="1:21" ht="16.5" thickBot="1" x14ac:dyDescent="0.3">
      <c r="A10" s="272">
        <v>9</v>
      </c>
      <c r="B10" s="220" t="s">
        <v>361</v>
      </c>
      <c r="C10" s="214">
        <v>14</v>
      </c>
      <c r="D10" s="215">
        <v>0</v>
      </c>
      <c r="E10" s="322">
        <v>1</v>
      </c>
      <c r="F10" s="215">
        <v>0</v>
      </c>
      <c r="G10" s="215">
        <v>0</v>
      </c>
      <c r="H10" s="216">
        <v>0</v>
      </c>
      <c r="I10" s="216">
        <v>0</v>
      </c>
      <c r="J10" s="216">
        <v>0</v>
      </c>
      <c r="K10" s="271">
        <f t="shared" si="0"/>
        <v>210</v>
      </c>
      <c r="L10" s="214">
        <v>10</v>
      </c>
      <c r="M10" s="215">
        <v>5</v>
      </c>
      <c r="N10" s="215">
        <v>0</v>
      </c>
      <c r="O10" s="215">
        <v>0</v>
      </c>
      <c r="P10" s="215">
        <v>0</v>
      </c>
      <c r="Q10" s="216">
        <v>0</v>
      </c>
      <c r="R10" s="216">
        <v>0</v>
      </c>
      <c r="S10" s="216">
        <v>0</v>
      </c>
      <c r="T10" s="271">
        <f t="shared" si="1"/>
        <v>150</v>
      </c>
      <c r="U10" s="217"/>
    </row>
    <row r="11" spans="1:21" ht="16.5" thickBot="1" x14ac:dyDescent="0.3">
      <c r="A11" s="272">
        <v>10</v>
      </c>
      <c r="B11" s="220" t="s">
        <v>362</v>
      </c>
      <c r="C11" s="214">
        <v>14</v>
      </c>
      <c r="D11" s="215">
        <v>0</v>
      </c>
      <c r="E11" s="215">
        <v>0</v>
      </c>
      <c r="F11" s="215">
        <v>1</v>
      </c>
      <c r="G11" s="215">
        <v>0</v>
      </c>
      <c r="H11" s="216">
        <v>0</v>
      </c>
      <c r="I11" s="216">
        <v>0</v>
      </c>
      <c r="J11" s="216">
        <v>0</v>
      </c>
      <c r="K11" s="271">
        <f t="shared" si="0"/>
        <v>210</v>
      </c>
      <c r="L11" s="214">
        <v>10</v>
      </c>
      <c r="M11" s="215">
        <v>5</v>
      </c>
      <c r="N11" s="215">
        <v>0</v>
      </c>
      <c r="O11" s="215">
        <v>0</v>
      </c>
      <c r="P11" s="215">
        <v>0</v>
      </c>
      <c r="Q11" s="216">
        <v>0</v>
      </c>
      <c r="R11" s="216">
        <v>0</v>
      </c>
      <c r="S11" s="216">
        <v>0</v>
      </c>
      <c r="T11" s="271">
        <f t="shared" si="1"/>
        <v>150</v>
      </c>
      <c r="U11" s="217"/>
    </row>
    <row r="12" spans="1:21" ht="16.5" thickBot="1" x14ac:dyDescent="0.3">
      <c r="A12" s="272">
        <v>11</v>
      </c>
      <c r="B12" s="220" t="s">
        <v>238</v>
      </c>
      <c r="C12" s="214">
        <v>14</v>
      </c>
      <c r="D12" s="215">
        <v>0</v>
      </c>
      <c r="E12" s="215">
        <v>0</v>
      </c>
      <c r="F12" s="215">
        <v>0</v>
      </c>
      <c r="G12" s="215">
        <v>0</v>
      </c>
      <c r="H12" s="216">
        <v>0</v>
      </c>
      <c r="I12" s="216">
        <v>0</v>
      </c>
      <c r="J12" s="216">
        <v>0</v>
      </c>
      <c r="K12" s="271">
        <f t="shared" si="0"/>
        <v>210</v>
      </c>
      <c r="L12" s="347">
        <v>14</v>
      </c>
      <c r="M12" s="224">
        <v>0</v>
      </c>
      <c r="N12" s="348">
        <v>0</v>
      </c>
      <c r="O12" s="224">
        <v>1</v>
      </c>
      <c r="P12" s="348">
        <v>0</v>
      </c>
      <c r="Q12" s="217">
        <v>0</v>
      </c>
      <c r="R12" s="349">
        <v>0</v>
      </c>
      <c r="S12" s="217">
        <v>0</v>
      </c>
      <c r="T12" s="271">
        <f t="shared" si="1"/>
        <v>210</v>
      </c>
      <c r="U12" s="217"/>
    </row>
    <row r="13" spans="1:21" ht="16.5" thickBot="1" x14ac:dyDescent="0.3">
      <c r="A13" s="272">
        <v>12</v>
      </c>
      <c r="B13" s="351" t="s">
        <v>478</v>
      </c>
      <c r="C13" s="214">
        <v>14</v>
      </c>
      <c r="D13" s="215">
        <v>0</v>
      </c>
      <c r="E13" s="215">
        <v>0</v>
      </c>
      <c r="F13" s="215">
        <v>0</v>
      </c>
      <c r="G13" s="215">
        <v>1</v>
      </c>
      <c r="H13" s="216">
        <v>0</v>
      </c>
      <c r="I13" s="216">
        <v>0</v>
      </c>
      <c r="J13" s="216">
        <v>0</v>
      </c>
      <c r="K13" s="323">
        <v>190.7</v>
      </c>
      <c r="L13" s="214">
        <v>7</v>
      </c>
      <c r="M13" s="215">
        <v>8</v>
      </c>
      <c r="N13" s="215">
        <v>0</v>
      </c>
      <c r="O13" s="215">
        <v>0</v>
      </c>
      <c r="P13" s="215">
        <v>0</v>
      </c>
      <c r="Q13" s="216">
        <v>0</v>
      </c>
      <c r="R13" s="216">
        <v>0</v>
      </c>
      <c r="S13" s="216">
        <v>0</v>
      </c>
      <c r="T13" s="323">
        <f t="shared" si="1"/>
        <v>105</v>
      </c>
      <c r="U13" s="344" t="s">
        <v>438</v>
      </c>
    </row>
    <row r="14" spans="1:21" ht="16.5" thickBot="1" x14ac:dyDescent="0.3">
      <c r="A14" s="272">
        <v>13</v>
      </c>
      <c r="B14" s="350" t="s">
        <v>223</v>
      </c>
      <c r="C14" s="214">
        <v>14</v>
      </c>
      <c r="D14" s="215">
        <v>0</v>
      </c>
      <c r="E14" s="215">
        <v>0</v>
      </c>
      <c r="F14" s="215">
        <v>0</v>
      </c>
      <c r="G14" s="215">
        <v>0</v>
      </c>
      <c r="H14" s="216">
        <v>0</v>
      </c>
      <c r="I14" s="216">
        <v>0</v>
      </c>
      <c r="J14" s="216">
        <v>0</v>
      </c>
      <c r="K14" s="271">
        <f t="shared" ref="K14:K30" si="2">(C14*15)-H14-I14+J14</f>
        <v>210</v>
      </c>
      <c r="L14" s="214">
        <v>5</v>
      </c>
      <c r="M14" s="215">
        <v>10</v>
      </c>
      <c r="N14" s="215">
        <v>0</v>
      </c>
      <c r="O14" s="215">
        <v>0</v>
      </c>
      <c r="P14" s="215">
        <v>0</v>
      </c>
      <c r="Q14" s="216">
        <v>0</v>
      </c>
      <c r="R14" s="216">
        <v>0</v>
      </c>
      <c r="S14" s="216">
        <v>0</v>
      </c>
      <c r="T14" s="271">
        <f t="shared" ref="T14:T29" si="3">(L14*15)-Q14-R14+S14</f>
        <v>75</v>
      </c>
      <c r="U14" s="344" t="s">
        <v>438</v>
      </c>
    </row>
    <row r="15" spans="1:21" ht="16.5" thickBot="1" x14ac:dyDescent="0.3">
      <c r="A15" s="272">
        <v>14</v>
      </c>
      <c r="B15" s="350" t="s">
        <v>225</v>
      </c>
      <c r="C15" s="214">
        <v>14</v>
      </c>
      <c r="D15" s="215">
        <v>0</v>
      </c>
      <c r="E15" s="215">
        <v>0</v>
      </c>
      <c r="F15" s="215">
        <v>1</v>
      </c>
      <c r="G15" s="215">
        <v>0</v>
      </c>
      <c r="H15" s="216">
        <v>0</v>
      </c>
      <c r="I15" s="216">
        <v>0</v>
      </c>
      <c r="J15" s="216">
        <v>0</v>
      </c>
      <c r="K15" s="271">
        <f t="shared" si="2"/>
        <v>210</v>
      </c>
      <c r="L15" s="214">
        <v>7</v>
      </c>
      <c r="M15" s="215">
        <v>7</v>
      </c>
      <c r="N15" s="322">
        <v>1</v>
      </c>
      <c r="O15" s="215">
        <v>0</v>
      </c>
      <c r="P15" s="215">
        <v>0</v>
      </c>
      <c r="Q15" s="216">
        <v>0</v>
      </c>
      <c r="R15" s="216">
        <v>0</v>
      </c>
      <c r="S15" s="216">
        <v>0</v>
      </c>
      <c r="T15" s="271">
        <f t="shared" si="3"/>
        <v>105</v>
      </c>
      <c r="U15" s="217" t="s">
        <v>438</v>
      </c>
    </row>
    <row r="16" spans="1:21" ht="16.5" thickBot="1" x14ac:dyDescent="0.3">
      <c r="A16" s="272">
        <v>15</v>
      </c>
      <c r="B16" s="350" t="s">
        <v>226</v>
      </c>
      <c r="C16" s="214">
        <v>14</v>
      </c>
      <c r="D16" s="215">
        <v>0</v>
      </c>
      <c r="E16" s="215">
        <v>0</v>
      </c>
      <c r="F16" s="215">
        <v>1</v>
      </c>
      <c r="G16" s="215">
        <v>0</v>
      </c>
      <c r="H16" s="216">
        <v>0</v>
      </c>
      <c r="I16" s="216">
        <v>0</v>
      </c>
      <c r="J16" s="216">
        <v>0</v>
      </c>
      <c r="K16" s="271">
        <f t="shared" si="2"/>
        <v>210</v>
      </c>
      <c r="L16" s="214">
        <v>9</v>
      </c>
      <c r="M16" s="215">
        <v>6</v>
      </c>
      <c r="N16" s="215">
        <v>0</v>
      </c>
      <c r="O16" s="215">
        <v>0</v>
      </c>
      <c r="P16" s="215">
        <v>0</v>
      </c>
      <c r="Q16" s="216">
        <v>0</v>
      </c>
      <c r="R16" s="216">
        <v>0</v>
      </c>
      <c r="S16" s="216">
        <v>0</v>
      </c>
      <c r="T16" s="271">
        <f t="shared" si="3"/>
        <v>135</v>
      </c>
      <c r="U16" s="344" t="s">
        <v>438</v>
      </c>
    </row>
    <row r="17" spans="1:21" ht="16.5" thickBot="1" x14ac:dyDescent="0.3">
      <c r="A17" s="272">
        <v>16</v>
      </c>
      <c r="B17" s="350" t="s">
        <v>227</v>
      </c>
      <c r="C17" s="214">
        <v>12</v>
      </c>
      <c r="D17" s="215">
        <v>0</v>
      </c>
      <c r="E17" s="215">
        <v>0</v>
      </c>
      <c r="F17" s="215">
        <v>3</v>
      </c>
      <c r="G17" s="215">
        <v>0</v>
      </c>
      <c r="H17" s="216">
        <v>0</v>
      </c>
      <c r="I17" s="216">
        <v>0</v>
      </c>
      <c r="J17" s="216">
        <v>0</v>
      </c>
      <c r="K17" s="271">
        <f t="shared" si="2"/>
        <v>180</v>
      </c>
      <c r="L17" s="214">
        <v>7</v>
      </c>
      <c r="M17" s="215">
        <v>8</v>
      </c>
      <c r="N17" s="215">
        <v>0</v>
      </c>
      <c r="O17" s="215">
        <v>0</v>
      </c>
      <c r="P17" s="215">
        <v>0</v>
      </c>
      <c r="Q17" s="216">
        <v>0</v>
      </c>
      <c r="R17" s="216">
        <v>0</v>
      </c>
      <c r="S17" s="216">
        <v>0</v>
      </c>
      <c r="T17" s="271">
        <f t="shared" si="3"/>
        <v>105</v>
      </c>
      <c r="U17" s="344" t="s">
        <v>438</v>
      </c>
    </row>
    <row r="18" spans="1:21" ht="16.5" thickBot="1" x14ac:dyDescent="0.3">
      <c r="A18" s="272">
        <v>17</v>
      </c>
      <c r="B18" s="350" t="s">
        <v>228</v>
      </c>
      <c r="C18" s="214">
        <v>13</v>
      </c>
      <c r="D18" s="215">
        <v>0</v>
      </c>
      <c r="E18" s="215">
        <v>0</v>
      </c>
      <c r="F18" s="215">
        <v>1</v>
      </c>
      <c r="G18" s="215">
        <v>1</v>
      </c>
      <c r="H18" s="216">
        <v>0</v>
      </c>
      <c r="I18" s="216">
        <v>0</v>
      </c>
      <c r="J18" s="216">
        <v>0</v>
      </c>
      <c r="K18" s="271">
        <f t="shared" si="2"/>
        <v>195</v>
      </c>
      <c r="L18" s="214">
        <v>11</v>
      </c>
      <c r="M18" s="215">
        <v>4</v>
      </c>
      <c r="N18" s="215">
        <v>0</v>
      </c>
      <c r="O18" s="215">
        <v>0</v>
      </c>
      <c r="P18" s="215">
        <v>0</v>
      </c>
      <c r="Q18" s="216">
        <v>0</v>
      </c>
      <c r="R18" s="216">
        <v>0</v>
      </c>
      <c r="S18" s="216">
        <v>0</v>
      </c>
      <c r="T18" s="271">
        <f t="shared" si="3"/>
        <v>165</v>
      </c>
      <c r="U18" s="344" t="s">
        <v>438</v>
      </c>
    </row>
    <row r="19" spans="1:21" ht="16.5" thickBot="1" x14ac:dyDescent="0.3">
      <c r="A19" s="272">
        <v>18</v>
      </c>
      <c r="B19" s="350" t="s">
        <v>356</v>
      </c>
      <c r="C19" s="214">
        <v>14</v>
      </c>
      <c r="D19" s="215">
        <v>0</v>
      </c>
      <c r="E19" s="215">
        <v>0</v>
      </c>
      <c r="F19" s="215">
        <v>1</v>
      </c>
      <c r="G19" s="215">
        <v>0</v>
      </c>
      <c r="H19" s="216">
        <v>0</v>
      </c>
      <c r="I19" s="216">
        <v>0</v>
      </c>
      <c r="J19" s="216">
        <v>0</v>
      </c>
      <c r="K19" s="271">
        <f t="shared" si="2"/>
        <v>210</v>
      </c>
      <c r="L19" s="214">
        <v>10</v>
      </c>
      <c r="M19" s="215">
        <v>5</v>
      </c>
      <c r="N19" s="215">
        <v>0</v>
      </c>
      <c r="O19" s="215">
        <v>0</v>
      </c>
      <c r="P19" s="215">
        <v>0</v>
      </c>
      <c r="Q19" s="216">
        <v>0</v>
      </c>
      <c r="R19" s="216">
        <v>0</v>
      </c>
      <c r="S19" s="216">
        <v>0</v>
      </c>
      <c r="T19" s="271">
        <f t="shared" si="3"/>
        <v>150</v>
      </c>
      <c r="U19" s="344" t="s">
        <v>438</v>
      </c>
    </row>
    <row r="20" spans="1:21" ht="16.5" thickBot="1" x14ac:dyDescent="0.3">
      <c r="A20" s="272">
        <v>19</v>
      </c>
      <c r="B20" s="350" t="s">
        <v>230</v>
      </c>
      <c r="C20" s="214">
        <v>14</v>
      </c>
      <c r="D20" s="215">
        <v>0</v>
      </c>
      <c r="E20" s="215">
        <v>0</v>
      </c>
      <c r="F20" s="215">
        <v>1</v>
      </c>
      <c r="G20" s="215">
        <v>0</v>
      </c>
      <c r="H20" s="216">
        <v>0</v>
      </c>
      <c r="I20" s="216">
        <v>0</v>
      </c>
      <c r="J20" s="216">
        <v>0</v>
      </c>
      <c r="K20" s="271">
        <f t="shared" si="2"/>
        <v>210</v>
      </c>
      <c r="L20" s="214">
        <v>10</v>
      </c>
      <c r="M20" s="215">
        <v>5</v>
      </c>
      <c r="N20" s="215">
        <v>0</v>
      </c>
      <c r="O20" s="215">
        <v>0</v>
      </c>
      <c r="P20" s="215">
        <v>0</v>
      </c>
      <c r="Q20" s="216">
        <v>0</v>
      </c>
      <c r="R20" s="216">
        <v>0</v>
      </c>
      <c r="S20" s="216">
        <v>0</v>
      </c>
      <c r="T20" s="271">
        <f t="shared" si="3"/>
        <v>150</v>
      </c>
      <c r="U20" s="344" t="s">
        <v>438</v>
      </c>
    </row>
    <row r="21" spans="1:21" ht="16.5" thickBot="1" x14ac:dyDescent="0.3">
      <c r="A21" s="272">
        <v>20</v>
      </c>
      <c r="B21" s="350" t="s">
        <v>231</v>
      </c>
      <c r="C21" s="214">
        <v>14</v>
      </c>
      <c r="D21" s="215">
        <v>0</v>
      </c>
      <c r="E21" s="215">
        <v>0</v>
      </c>
      <c r="F21" s="215">
        <v>0</v>
      </c>
      <c r="G21" s="215">
        <v>1</v>
      </c>
      <c r="H21" s="216">
        <v>0</v>
      </c>
      <c r="I21" s="216">
        <v>0</v>
      </c>
      <c r="J21" s="216">
        <v>0</v>
      </c>
      <c r="K21" s="271">
        <f t="shared" si="2"/>
        <v>210</v>
      </c>
      <c r="L21" s="214">
        <v>8</v>
      </c>
      <c r="M21" s="215">
        <v>7</v>
      </c>
      <c r="N21" s="215">
        <v>0</v>
      </c>
      <c r="O21" s="215">
        <v>0</v>
      </c>
      <c r="P21" s="215">
        <v>0</v>
      </c>
      <c r="Q21" s="216">
        <v>0</v>
      </c>
      <c r="R21" s="216">
        <v>0</v>
      </c>
      <c r="S21" s="216">
        <v>0</v>
      </c>
      <c r="T21" s="271">
        <f t="shared" si="3"/>
        <v>120</v>
      </c>
      <c r="U21" s="344" t="s">
        <v>438</v>
      </c>
    </row>
    <row r="22" spans="1:21" ht="16.5" thickBot="1" x14ac:dyDescent="0.3">
      <c r="A22" s="272">
        <v>21</v>
      </c>
      <c r="B22" s="350" t="s">
        <v>357</v>
      </c>
      <c r="C22" s="214">
        <v>14</v>
      </c>
      <c r="D22" s="215">
        <v>0</v>
      </c>
      <c r="E22" s="215">
        <v>0</v>
      </c>
      <c r="F22" s="215">
        <v>0</v>
      </c>
      <c r="G22" s="215">
        <v>1</v>
      </c>
      <c r="H22" s="216">
        <v>0</v>
      </c>
      <c r="I22" s="216">
        <v>0</v>
      </c>
      <c r="J22" s="216">
        <v>0</v>
      </c>
      <c r="K22" s="271">
        <f t="shared" si="2"/>
        <v>210</v>
      </c>
      <c r="L22" s="214">
        <v>9</v>
      </c>
      <c r="M22" s="215">
        <v>6</v>
      </c>
      <c r="N22" s="215">
        <v>0</v>
      </c>
      <c r="O22" s="215">
        <v>0</v>
      </c>
      <c r="P22" s="215">
        <v>0</v>
      </c>
      <c r="Q22" s="216">
        <v>0</v>
      </c>
      <c r="R22" s="216">
        <v>0</v>
      </c>
      <c r="S22" s="216">
        <v>0</v>
      </c>
      <c r="T22" s="271">
        <f t="shared" si="3"/>
        <v>135</v>
      </c>
      <c r="U22" s="344" t="s">
        <v>438</v>
      </c>
    </row>
    <row r="23" spans="1:21" ht="16.5" thickBot="1" x14ac:dyDescent="0.3">
      <c r="A23" s="272">
        <v>22</v>
      </c>
      <c r="B23" s="350" t="s">
        <v>233</v>
      </c>
      <c r="C23" s="214">
        <v>11</v>
      </c>
      <c r="D23" s="215">
        <v>4</v>
      </c>
      <c r="E23" s="215">
        <v>0</v>
      </c>
      <c r="F23" s="215">
        <v>0</v>
      </c>
      <c r="G23" s="215">
        <v>0</v>
      </c>
      <c r="H23" s="216">
        <v>0</v>
      </c>
      <c r="I23" s="216">
        <v>0</v>
      </c>
      <c r="J23" s="216">
        <v>0</v>
      </c>
      <c r="K23" s="271">
        <f t="shared" si="2"/>
        <v>165</v>
      </c>
      <c r="L23" s="214">
        <v>6</v>
      </c>
      <c r="M23" s="215">
        <v>9</v>
      </c>
      <c r="N23" s="215">
        <v>0</v>
      </c>
      <c r="O23" s="215">
        <v>0</v>
      </c>
      <c r="P23" s="215">
        <v>0</v>
      </c>
      <c r="Q23" s="216">
        <v>0</v>
      </c>
      <c r="R23" s="216">
        <v>0</v>
      </c>
      <c r="S23" s="216">
        <v>0</v>
      </c>
      <c r="T23" s="271">
        <f t="shared" si="3"/>
        <v>90</v>
      </c>
      <c r="U23" s="344" t="s">
        <v>438</v>
      </c>
    </row>
    <row r="24" spans="1:21" ht="16.5" thickBot="1" x14ac:dyDescent="0.3">
      <c r="A24" s="272">
        <v>23</v>
      </c>
      <c r="B24" s="350" t="s">
        <v>358</v>
      </c>
      <c r="C24" s="214">
        <v>14</v>
      </c>
      <c r="D24" s="215">
        <v>0</v>
      </c>
      <c r="E24" s="215">
        <v>0</v>
      </c>
      <c r="F24" s="215">
        <v>1</v>
      </c>
      <c r="G24" s="215">
        <v>0</v>
      </c>
      <c r="H24" s="216">
        <v>0</v>
      </c>
      <c r="I24" s="216">
        <v>0</v>
      </c>
      <c r="J24" s="216">
        <v>0</v>
      </c>
      <c r="K24" s="271">
        <f t="shared" si="2"/>
        <v>210</v>
      </c>
      <c r="L24" s="214">
        <v>9</v>
      </c>
      <c r="M24" s="215">
        <v>6</v>
      </c>
      <c r="N24" s="215">
        <v>0</v>
      </c>
      <c r="O24" s="215">
        <v>0</v>
      </c>
      <c r="P24" s="215">
        <v>0</v>
      </c>
      <c r="Q24" s="216">
        <v>0</v>
      </c>
      <c r="R24" s="216">
        <v>0</v>
      </c>
      <c r="S24" s="216">
        <v>0</v>
      </c>
      <c r="T24" s="271">
        <f t="shared" si="3"/>
        <v>135</v>
      </c>
      <c r="U24" s="344" t="s">
        <v>438</v>
      </c>
    </row>
    <row r="25" spans="1:21" ht="16.5" thickBot="1" x14ac:dyDescent="0.3">
      <c r="A25" s="272">
        <v>24</v>
      </c>
      <c r="B25" s="350" t="s">
        <v>236</v>
      </c>
      <c r="C25" s="214">
        <v>9</v>
      </c>
      <c r="D25" s="215">
        <v>0</v>
      </c>
      <c r="E25" s="322">
        <v>3</v>
      </c>
      <c r="F25" s="215">
        <v>2</v>
      </c>
      <c r="G25" s="215">
        <v>1</v>
      </c>
      <c r="H25" s="216">
        <v>0</v>
      </c>
      <c r="I25" s="216">
        <v>0</v>
      </c>
      <c r="J25" s="216">
        <v>0</v>
      </c>
      <c r="K25" s="271">
        <f t="shared" si="2"/>
        <v>135</v>
      </c>
      <c r="L25" s="214">
        <v>8</v>
      </c>
      <c r="M25" s="215">
        <v>7</v>
      </c>
      <c r="N25" s="215">
        <v>0</v>
      </c>
      <c r="O25" s="215">
        <v>0</v>
      </c>
      <c r="P25" s="215">
        <v>0</v>
      </c>
      <c r="Q25" s="216">
        <v>0</v>
      </c>
      <c r="R25" s="216">
        <v>0</v>
      </c>
      <c r="S25" s="216">
        <v>0</v>
      </c>
      <c r="T25" s="271">
        <f t="shared" si="3"/>
        <v>120</v>
      </c>
      <c r="U25" s="344" t="s">
        <v>438</v>
      </c>
    </row>
    <row r="26" spans="1:21" ht="16.5" thickBot="1" x14ac:dyDescent="0.3">
      <c r="A26" s="272">
        <v>25</v>
      </c>
      <c r="B26" s="350" t="s">
        <v>480</v>
      </c>
      <c r="C26" s="214">
        <v>11</v>
      </c>
      <c r="D26" s="215">
        <v>4</v>
      </c>
      <c r="E26" s="215">
        <v>0</v>
      </c>
      <c r="F26" s="215">
        <v>0</v>
      </c>
      <c r="G26" s="215">
        <v>0</v>
      </c>
      <c r="H26" s="216">
        <v>0</v>
      </c>
      <c r="I26" s="216">
        <v>0</v>
      </c>
      <c r="J26" s="216">
        <v>0</v>
      </c>
      <c r="K26" s="271">
        <f t="shared" si="2"/>
        <v>165</v>
      </c>
      <c r="L26" s="214">
        <v>10</v>
      </c>
      <c r="M26" s="215">
        <v>5</v>
      </c>
      <c r="N26" s="215">
        <v>0</v>
      </c>
      <c r="O26" s="215">
        <v>0</v>
      </c>
      <c r="P26" s="215">
        <v>0</v>
      </c>
      <c r="Q26" s="216">
        <v>0</v>
      </c>
      <c r="R26" s="216">
        <v>0</v>
      </c>
      <c r="S26" s="216">
        <v>0</v>
      </c>
      <c r="T26" s="271">
        <f t="shared" si="3"/>
        <v>150</v>
      </c>
      <c r="U26" s="344" t="s">
        <v>438</v>
      </c>
    </row>
    <row r="27" spans="1:21" ht="16.5" thickBot="1" x14ac:dyDescent="0.3">
      <c r="A27" s="272">
        <v>26</v>
      </c>
      <c r="B27" s="350" t="s">
        <v>359</v>
      </c>
      <c r="C27" s="214">
        <v>11</v>
      </c>
      <c r="D27" s="215">
        <v>4</v>
      </c>
      <c r="E27" s="274">
        <v>0</v>
      </c>
      <c r="F27" s="215">
        <v>0</v>
      </c>
      <c r="G27" s="215">
        <v>0</v>
      </c>
      <c r="H27" s="216">
        <v>0</v>
      </c>
      <c r="I27" s="216">
        <v>0</v>
      </c>
      <c r="J27" s="216">
        <v>0</v>
      </c>
      <c r="K27" s="271">
        <f t="shared" si="2"/>
        <v>165</v>
      </c>
      <c r="L27" s="214">
        <v>0</v>
      </c>
      <c r="M27" s="346">
        <v>15</v>
      </c>
      <c r="N27" s="215">
        <v>0</v>
      </c>
      <c r="O27" s="215">
        <v>0</v>
      </c>
      <c r="P27" s="215">
        <v>0</v>
      </c>
      <c r="Q27" s="216">
        <v>0</v>
      </c>
      <c r="R27" s="216">
        <v>0</v>
      </c>
      <c r="S27" s="216">
        <v>0</v>
      </c>
      <c r="T27" s="271">
        <f t="shared" si="3"/>
        <v>0</v>
      </c>
      <c r="U27" s="344" t="s">
        <v>438</v>
      </c>
    </row>
    <row r="28" spans="1:21" ht="16.5" thickBot="1" x14ac:dyDescent="0.3">
      <c r="A28" s="272">
        <v>27</v>
      </c>
      <c r="B28" s="350" t="s">
        <v>360</v>
      </c>
      <c r="C28" s="214">
        <v>11</v>
      </c>
      <c r="D28" s="215">
        <v>0</v>
      </c>
      <c r="E28" s="322">
        <v>2</v>
      </c>
      <c r="F28" s="215">
        <v>2</v>
      </c>
      <c r="G28" s="215">
        <v>0</v>
      </c>
      <c r="H28" s="216">
        <v>0</v>
      </c>
      <c r="I28" s="216">
        <v>0</v>
      </c>
      <c r="J28" s="216">
        <v>0</v>
      </c>
      <c r="K28" s="271">
        <f t="shared" si="2"/>
        <v>165</v>
      </c>
      <c r="L28" s="214">
        <v>7</v>
      </c>
      <c r="M28" s="215">
        <v>8</v>
      </c>
      <c r="N28" s="215">
        <v>0</v>
      </c>
      <c r="O28" s="215">
        <v>0</v>
      </c>
      <c r="P28" s="215">
        <v>0</v>
      </c>
      <c r="Q28" s="216">
        <v>0</v>
      </c>
      <c r="R28" s="216">
        <v>0</v>
      </c>
      <c r="S28" s="216">
        <v>0</v>
      </c>
      <c r="T28" s="271">
        <f t="shared" si="3"/>
        <v>105</v>
      </c>
      <c r="U28" s="344" t="s">
        <v>438</v>
      </c>
    </row>
    <row r="29" spans="1:21" ht="16.5" thickBot="1" x14ac:dyDescent="0.3">
      <c r="A29" s="272">
        <v>28</v>
      </c>
      <c r="B29" s="350" t="s">
        <v>237</v>
      </c>
      <c r="C29" s="214">
        <v>9</v>
      </c>
      <c r="D29" s="215">
        <v>6</v>
      </c>
      <c r="E29" s="215">
        <v>0</v>
      </c>
      <c r="F29" s="215">
        <v>0</v>
      </c>
      <c r="G29" s="215">
        <v>0</v>
      </c>
      <c r="H29" s="216">
        <v>0</v>
      </c>
      <c r="I29" s="216">
        <v>0</v>
      </c>
      <c r="J29" s="216">
        <v>0</v>
      </c>
      <c r="K29" s="271">
        <f t="shared" si="2"/>
        <v>135</v>
      </c>
      <c r="L29" s="214">
        <v>3</v>
      </c>
      <c r="M29" s="346">
        <v>12</v>
      </c>
      <c r="N29" s="215">
        <v>0</v>
      </c>
      <c r="O29" s="215">
        <v>0</v>
      </c>
      <c r="P29" s="215">
        <v>0</v>
      </c>
      <c r="Q29" s="216">
        <v>0</v>
      </c>
      <c r="R29" s="216">
        <v>0</v>
      </c>
      <c r="S29" s="216">
        <v>0</v>
      </c>
      <c r="T29" s="271">
        <f t="shared" si="3"/>
        <v>45</v>
      </c>
      <c r="U29" s="344" t="s">
        <v>438</v>
      </c>
    </row>
    <row r="30" spans="1:21" ht="16.5" thickBot="1" x14ac:dyDescent="0.3">
      <c r="A30" s="272">
        <v>29</v>
      </c>
      <c r="B30" s="350" t="s">
        <v>224</v>
      </c>
      <c r="C30" s="214">
        <v>14</v>
      </c>
      <c r="D30" s="215">
        <v>0</v>
      </c>
      <c r="E30" s="274">
        <v>0</v>
      </c>
      <c r="F30" s="215">
        <v>0</v>
      </c>
      <c r="G30" s="215">
        <v>0</v>
      </c>
      <c r="H30" s="216">
        <v>0</v>
      </c>
      <c r="I30" s="216">
        <v>0</v>
      </c>
      <c r="J30" s="216">
        <v>0</v>
      </c>
      <c r="K30" s="271">
        <f t="shared" si="2"/>
        <v>210</v>
      </c>
      <c r="L30" s="345" t="s">
        <v>270</v>
      </c>
      <c r="M30" s="345" t="s">
        <v>270</v>
      </c>
      <c r="N30" s="345" t="s">
        <v>270</v>
      </c>
      <c r="O30" s="345" t="s">
        <v>270</v>
      </c>
      <c r="P30" s="345" t="s">
        <v>270</v>
      </c>
      <c r="Q30" s="345" t="s">
        <v>270</v>
      </c>
      <c r="R30" s="345" t="s">
        <v>270</v>
      </c>
      <c r="S30" s="345" t="s">
        <v>270</v>
      </c>
      <c r="T30" s="271">
        <v>0</v>
      </c>
      <c r="U30" s="217"/>
    </row>
    <row r="31" spans="1:21" ht="16.5" thickBot="1" x14ac:dyDescent="0.3">
      <c r="A31" s="272">
        <v>30</v>
      </c>
      <c r="B31" s="350" t="s">
        <v>355</v>
      </c>
      <c r="C31" s="214">
        <v>14</v>
      </c>
      <c r="D31" s="215">
        <v>0</v>
      </c>
      <c r="E31" s="215">
        <v>0</v>
      </c>
      <c r="F31" s="215">
        <v>0</v>
      </c>
      <c r="G31" s="215">
        <v>1</v>
      </c>
      <c r="H31" s="216">
        <v>0</v>
      </c>
      <c r="I31" s="216">
        <v>0</v>
      </c>
      <c r="J31" s="216">
        <v>0</v>
      </c>
      <c r="K31" s="271">
        <f>(C31*15)-H31-I31+J31</f>
        <v>210</v>
      </c>
      <c r="L31" s="214">
        <v>8</v>
      </c>
      <c r="M31" s="215">
        <v>7</v>
      </c>
      <c r="N31" s="215">
        <v>0</v>
      </c>
      <c r="O31" s="215">
        <v>0</v>
      </c>
      <c r="P31" s="215">
        <v>0</v>
      </c>
      <c r="Q31" s="216">
        <v>0</v>
      </c>
      <c r="R31" s="216">
        <v>0</v>
      </c>
      <c r="S31" s="216">
        <v>0</v>
      </c>
      <c r="T31" s="271">
        <f>(L31*15)-Q31-R31+S31</f>
        <v>120</v>
      </c>
      <c r="U31" s="217"/>
    </row>
    <row r="32" spans="1:21" ht="16.5" thickBot="1" x14ac:dyDescent="0.3">
      <c r="A32" s="272">
        <v>31</v>
      </c>
      <c r="B32" s="1057" t="s">
        <v>222</v>
      </c>
      <c r="C32" s="214">
        <v>14</v>
      </c>
      <c r="D32" s="215">
        <v>0</v>
      </c>
      <c r="E32" s="215">
        <v>0</v>
      </c>
      <c r="F32" s="215">
        <v>0</v>
      </c>
      <c r="G32" s="215">
        <v>0</v>
      </c>
      <c r="H32" s="216">
        <v>0</v>
      </c>
      <c r="I32" s="216">
        <v>0</v>
      </c>
      <c r="J32" s="216">
        <v>0</v>
      </c>
      <c r="K32" s="1058">
        <f>(C32*15)-H32-I32+J32</f>
        <v>210</v>
      </c>
      <c r="L32" s="221">
        <v>10</v>
      </c>
      <c r="M32" s="224">
        <v>5</v>
      </c>
      <c r="N32" s="224">
        <v>0</v>
      </c>
      <c r="O32" s="348">
        <v>0</v>
      </c>
      <c r="P32" s="224">
        <v>0</v>
      </c>
      <c r="Q32" s="349">
        <v>0</v>
      </c>
      <c r="R32" s="217">
        <v>0</v>
      </c>
      <c r="S32" s="223">
        <v>0</v>
      </c>
      <c r="T32" s="271">
        <f>(L32*15)-Q32-R32+S32</f>
        <v>150</v>
      </c>
      <c r="U32" s="217"/>
    </row>
    <row r="33" spans="1:21" ht="16.5" thickBot="1" x14ac:dyDescent="0.3">
      <c r="A33" s="272">
        <v>32</v>
      </c>
      <c r="B33" s="351" t="s">
        <v>363</v>
      </c>
      <c r="C33" s="214">
        <v>13</v>
      </c>
      <c r="D33" s="215">
        <v>2</v>
      </c>
      <c r="E33" s="215">
        <v>0</v>
      </c>
      <c r="F33" s="215">
        <v>0</v>
      </c>
      <c r="G33" s="215">
        <v>0</v>
      </c>
      <c r="H33" s="216">
        <v>0</v>
      </c>
      <c r="I33" s="216">
        <v>0</v>
      </c>
      <c r="J33" s="216">
        <v>0</v>
      </c>
      <c r="K33" s="1058">
        <f>(C33*15)-H33-I33+J33</f>
        <v>195</v>
      </c>
      <c r="L33" s="1059">
        <v>7</v>
      </c>
      <c r="M33" s="1060">
        <v>8</v>
      </c>
      <c r="N33" s="1060">
        <v>0</v>
      </c>
      <c r="O33" s="1060">
        <v>0</v>
      </c>
      <c r="P33" s="1060">
        <v>0</v>
      </c>
      <c r="Q33" s="1061">
        <v>0</v>
      </c>
      <c r="R33" s="1061">
        <v>0</v>
      </c>
      <c r="S33" s="1062">
        <v>0</v>
      </c>
      <c r="T33" s="271">
        <f>(L33*15)-Q33-R33+S33</f>
        <v>105</v>
      </c>
      <c r="U33" s="217"/>
    </row>
    <row r="34" spans="1:21" ht="16.5" thickBot="1" x14ac:dyDescent="0.3">
      <c r="A34" s="324"/>
      <c r="B34" s="325" t="s">
        <v>287</v>
      </c>
      <c r="C34" s="221"/>
      <c r="D34" s="222"/>
      <c r="E34" s="275"/>
      <c r="F34" s="222"/>
      <c r="G34" s="222"/>
      <c r="H34" s="223"/>
      <c r="I34" s="223"/>
      <c r="J34" s="223"/>
      <c r="K34" s="326">
        <f>SUM(K2:K33)</f>
        <v>6220.7</v>
      </c>
      <c r="T34" s="354">
        <f>SUM(T2:T33)</f>
        <v>3945</v>
      </c>
    </row>
    <row r="38" spans="1:21" x14ac:dyDescent="0.25">
      <c r="M38" s="1063"/>
    </row>
  </sheetData>
  <conditionalFormatting sqref="K2:K33 T2:T33">
    <cfRule type="cellIs" dxfId="0" priority="2" operator="lessThan">
      <formula>1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25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J15" sqref="BJ15"/>
    </sheetView>
  </sheetViews>
  <sheetFormatPr baseColWidth="10" defaultRowHeight="15" outlineLevelCol="1" x14ac:dyDescent="0.25"/>
  <cols>
    <col min="1" max="1" width="40" bestFit="1" customWidth="1"/>
    <col min="2" max="29" width="11.42578125" hidden="1" customWidth="1" outlineLevel="1"/>
    <col min="30" max="30" width="11.42578125" customWidth="1" collapsed="1"/>
    <col min="31" max="35" width="11.42578125" customWidth="1"/>
    <col min="36" max="61" width="11.42578125" hidden="1" customWidth="1" outlineLevel="1"/>
    <col min="62" max="62" width="11.42578125" customWidth="1" collapsed="1"/>
    <col min="63" max="65" width="11.42578125" customWidth="1"/>
    <col min="67" max="67" width="12" bestFit="1" customWidth="1"/>
  </cols>
  <sheetData>
    <row r="1" spans="1:67" x14ac:dyDescent="0.25">
      <c r="A1" s="1480" t="s">
        <v>339</v>
      </c>
      <c r="B1" s="1478">
        <v>44342</v>
      </c>
      <c r="C1" s="1478"/>
      <c r="D1" s="1478">
        <v>44343</v>
      </c>
      <c r="E1" s="1478"/>
      <c r="F1" s="1478">
        <v>44344</v>
      </c>
      <c r="G1" s="1478"/>
      <c r="H1" s="1478">
        <v>44345</v>
      </c>
      <c r="I1" s="1478"/>
      <c r="J1" s="1478">
        <v>44347</v>
      </c>
      <c r="K1" s="1478"/>
      <c r="L1" s="1478">
        <v>44348</v>
      </c>
      <c r="M1" s="1478"/>
      <c r="N1" s="1478">
        <v>44349</v>
      </c>
      <c r="O1" s="1478"/>
      <c r="P1" s="1478">
        <v>44350</v>
      </c>
      <c r="Q1" s="1478"/>
      <c r="R1" s="1478">
        <v>44351</v>
      </c>
      <c r="S1" s="1478"/>
      <c r="T1" s="1478">
        <v>44352</v>
      </c>
      <c r="U1" s="1478"/>
      <c r="V1" s="1478">
        <v>44354</v>
      </c>
      <c r="W1" s="1478"/>
      <c r="X1" s="1478">
        <v>44355</v>
      </c>
      <c r="Y1" s="1478"/>
      <c r="Z1" s="1478">
        <v>44356</v>
      </c>
      <c r="AA1" s="1478"/>
      <c r="AB1" s="1478">
        <v>44357</v>
      </c>
      <c r="AC1" s="1478"/>
      <c r="AD1" s="1479" t="s">
        <v>400</v>
      </c>
      <c r="AE1" s="1479"/>
      <c r="AF1" s="1479"/>
      <c r="AG1" s="1479"/>
      <c r="AH1" s="1479"/>
      <c r="AI1" s="1479"/>
      <c r="AJ1" s="1476">
        <v>44358</v>
      </c>
      <c r="AK1" s="1476"/>
      <c r="AL1" s="1476">
        <v>44359</v>
      </c>
      <c r="AM1" s="1476"/>
      <c r="AN1" s="1476">
        <v>44361</v>
      </c>
      <c r="AO1" s="1476"/>
      <c r="AP1" s="1476">
        <v>44362</v>
      </c>
      <c r="AQ1" s="1476"/>
      <c r="AR1" s="1476">
        <v>44363</v>
      </c>
      <c r="AS1" s="1476"/>
      <c r="AT1" s="1476">
        <v>44364</v>
      </c>
      <c r="AU1" s="1476"/>
      <c r="AV1" s="1476">
        <v>44365</v>
      </c>
      <c r="AW1" s="1476"/>
      <c r="AX1" s="1476">
        <v>44366</v>
      </c>
      <c r="AY1" s="1476"/>
      <c r="AZ1" s="1476">
        <v>44368</v>
      </c>
      <c r="BA1" s="1476"/>
      <c r="BB1" s="1476">
        <v>44369</v>
      </c>
      <c r="BC1" s="1476"/>
      <c r="BD1" s="1476">
        <v>44370</v>
      </c>
      <c r="BE1" s="1476"/>
      <c r="BF1" s="1476">
        <v>44371</v>
      </c>
      <c r="BG1" s="1476"/>
      <c r="BH1" s="1476">
        <v>44372</v>
      </c>
      <c r="BI1" s="1476"/>
      <c r="BJ1" s="1477" t="s">
        <v>481</v>
      </c>
      <c r="BK1" s="1477"/>
      <c r="BL1" s="1477"/>
      <c r="BM1" s="1477"/>
      <c r="BN1" s="1477"/>
      <c r="BO1" s="1477"/>
    </row>
    <row r="2" spans="1:67" x14ac:dyDescent="0.25">
      <c r="A2" s="1480"/>
      <c r="B2" s="327" t="s">
        <v>305</v>
      </c>
      <c r="C2" s="327" t="s">
        <v>258</v>
      </c>
      <c r="D2" s="327" t="s">
        <v>305</v>
      </c>
      <c r="E2" s="327" t="s">
        <v>258</v>
      </c>
      <c r="F2" s="327" t="s">
        <v>305</v>
      </c>
      <c r="G2" s="327" t="s">
        <v>258</v>
      </c>
      <c r="H2" s="327" t="s">
        <v>305</v>
      </c>
      <c r="I2" s="327" t="s">
        <v>258</v>
      </c>
      <c r="J2" s="327" t="s">
        <v>305</v>
      </c>
      <c r="K2" s="327" t="s">
        <v>258</v>
      </c>
      <c r="L2" s="327" t="s">
        <v>305</v>
      </c>
      <c r="M2" s="327" t="s">
        <v>258</v>
      </c>
      <c r="N2" s="327" t="s">
        <v>305</v>
      </c>
      <c r="O2" s="327" t="s">
        <v>258</v>
      </c>
      <c r="P2" s="327" t="s">
        <v>305</v>
      </c>
      <c r="Q2" s="327" t="s">
        <v>258</v>
      </c>
      <c r="R2" s="327" t="s">
        <v>305</v>
      </c>
      <c r="S2" s="327" t="s">
        <v>258</v>
      </c>
      <c r="T2" s="327" t="s">
        <v>305</v>
      </c>
      <c r="U2" s="327" t="s">
        <v>258</v>
      </c>
      <c r="V2" s="327" t="s">
        <v>305</v>
      </c>
      <c r="W2" s="327" t="s">
        <v>258</v>
      </c>
      <c r="X2" s="327" t="s">
        <v>305</v>
      </c>
      <c r="Y2" s="327" t="s">
        <v>258</v>
      </c>
      <c r="Z2" s="327" t="s">
        <v>305</v>
      </c>
      <c r="AA2" s="327" t="s">
        <v>258</v>
      </c>
      <c r="AB2" s="327" t="s">
        <v>305</v>
      </c>
      <c r="AC2" s="327" t="s">
        <v>258</v>
      </c>
      <c r="AD2" s="327" t="s">
        <v>256</v>
      </c>
      <c r="AE2" s="327" t="s">
        <v>340</v>
      </c>
      <c r="AF2" s="327" t="s">
        <v>279</v>
      </c>
      <c r="AG2" s="327" t="s">
        <v>341</v>
      </c>
      <c r="AH2" s="327" t="s">
        <v>401</v>
      </c>
      <c r="AI2" s="327" t="s">
        <v>342</v>
      </c>
      <c r="AJ2" s="369" t="s">
        <v>305</v>
      </c>
      <c r="AK2" s="369" t="s">
        <v>258</v>
      </c>
      <c r="AL2" s="369" t="s">
        <v>305</v>
      </c>
      <c r="AM2" s="369" t="s">
        <v>258</v>
      </c>
      <c r="AN2" s="369" t="s">
        <v>305</v>
      </c>
      <c r="AO2" s="369" t="s">
        <v>258</v>
      </c>
      <c r="AP2" s="369" t="s">
        <v>305</v>
      </c>
      <c r="AQ2" s="369" t="s">
        <v>258</v>
      </c>
      <c r="AR2" s="369" t="s">
        <v>305</v>
      </c>
      <c r="AS2" s="369" t="s">
        <v>258</v>
      </c>
      <c r="AT2" s="369" t="s">
        <v>305</v>
      </c>
      <c r="AU2" s="369" t="s">
        <v>258</v>
      </c>
      <c r="AV2" s="369" t="s">
        <v>305</v>
      </c>
      <c r="AW2" s="369" t="s">
        <v>258</v>
      </c>
      <c r="AX2" s="369" t="s">
        <v>305</v>
      </c>
      <c r="AY2" s="369" t="s">
        <v>258</v>
      </c>
      <c r="AZ2" s="369" t="s">
        <v>305</v>
      </c>
      <c r="BA2" s="369" t="s">
        <v>258</v>
      </c>
      <c r="BB2" s="369" t="s">
        <v>305</v>
      </c>
      <c r="BC2" s="369" t="s">
        <v>258</v>
      </c>
      <c r="BD2" s="369" t="s">
        <v>305</v>
      </c>
      <c r="BE2" s="369" t="s">
        <v>258</v>
      </c>
      <c r="BF2" s="369" t="s">
        <v>305</v>
      </c>
      <c r="BG2" s="369" t="s">
        <v>258</v>
      </c>
      <c r="BH2" s="369" t="s">
        <v>305</v>
      </c>
      <c r="BI2" s="369" t="s">
        <v>258</v>
      </c>
      <c r="BJ2" s="369" t="s">
        <v>256</v>
      </c>
      <c r="BK2" s="369" t="s">
        <v>340</v>
      </c>
      <c r="BL2" s="369" t="s">
        <v>279</v>
      </c>
      <c r="BM2" s="369" t="s">
        <v>341</v>
      </c>
      <c r="BN2" s="369" t="s">
        <v>22</v>
      </c>
      <c r="BO2" s="369" t="s">
        <v>342</v>
      </c>
    </row>
    <row r="3" spans="1:67" x14ac:dyDescent="0.25">
      <c r="A3" s="316" t="s">
        <v>240</v>
      </c>
      <c r="B3" s="328">
        <v>2567</v>
      </c>
      <c r="C3" s="329">
        <v>38.5</v>
      </c>
      <c r="D3" s="328">
        <v>2828</v>
      </c>
      <c r="E3" s="329">
        <v>42.4</v>
      </c>
      <c r="F3" s="328">
        <v>2141</v>
      </c>
      <c r="G3" s="329">
        <v>32.1</v>
      </c>
      <c r="H3" s="328">
        <v>1081</v>
      </c>
      <c r="I3" s="329">
        <v>16.2</v>
      </c>
      <c r="J3" s="328">
        <v>3164</v>
      </c>
      <c r="K3" s="329">
        <v>47.45</v>
      </c>
      <c r="L3" s="328">
        <v>2618</v>
      </c>
      <c r="M3" s="329">
        <v>39.25</v>
      </c>
      <c r="N3" s="328">
        <v>1968</v>
      </c>
      <c r="O3" s="329">
        <v>29.5</v>
      </c>
      <c r="P3" s="328">
        <v>2436</v>
      </c>
      <c r="Q3" s="329">
        <v>36.5</v>
      </c>
      <c r="R3" s="328">
        <v>495</v>
      </c>
      <c r="S3" s="329">
        <v>7.4</v>
      </c>
      <c r="T3" s="328">
        <v>1513</v>
      </c>
      <c r="U3" s="329">
        <v>22.6</v>
      </c>
      <c r="V3" s="328">
        <v>3010</v>
      </c>
      <c r="W3" s="329">
        <v>45.1</v>
      </c>
      <c r="X3" s="328">
        <v>2490</v>
      </c>
      <c r="Y3" s="329">
        <v>37.299999999999997</v>
      </c>
      <c r="Z3" s="328">
        <v>2568</v>
      </c>
      <c r="AA3" s="329">
        <v>38.5</v>
      </c>
      <c r="AB3" s="328">
        <v>1538</v>
      </c>
      <c r="AC3" s="329">
        <v>23</v>
      </c>
      <c r="AD3" s="370">
        <f>+AB3+Z3+X3+V3+T3+R3+P3+N3+L3+J3+H3+F3+D3+B3</f>
        <v>30417</v>
      </c>
      <c r="AE3" s="371">
        <f>+AC3+AA3+Y3+W3+U3+S3+Q3+O3+M3+K3+I3+G3+E3+C3</f>
        <v>455.79999999999995</v>
      </c>
      <c r="AF3" s="371">
        <v>0</v>
      </c>
      <c r="AG3" s="371">
        <v>0</v>
      </c>
      <c r="AH3" s="371">
        <v>0</v>
      </c>
      <c r="AI3" s="371">
        <f>+AE3+AF3+AG3-AH3</f>
        <v>455.79999999999995</v>
      </c>
      <c r="AJ3" s="316"/>
      <c r="AK3" s="372">
        <v>0</v>
      </c>
      <c r="AL3" s="316"/>
      <c r="AM3" s="372">
        <v>0</v>
      </c>
      <c r="AN3" s="316"/>
      <c r="AO3" s="372">
        <v>0</v>
      </c>
      <c r="AP3" s="316">
        <v>2154</v>
      </c>
      <c r="AQ3" s="372">
        <v>32.299999999999997</v>
      </c>
      <c r="AR3" s="316">
        <v>2613</v>
      </c>
      <c r="AS3" s="372">
        <v>39.200000000000003</v>
      </c>
      <c r="AT3" s="316">
        <v>2355</v>
      </c>
      <c r="AU3" s="372">
        <v>35.32</v>
      </c>
      <c r="AV3" s="316">
        <v>1280</v>
      </c>
      <c r="AW3" s="372">
        <v>19.2</v>
      </c>
      <c r="AX3" s="316"/>
      <c r="AY3" s="372">
        <v>0</v>
      </c>
      <c r="AZ3" s="316"/>
      <c r="BA3" s="372">
        <v>0</v>
      </c>
      <c r="BB3" s="316">
        <v>1393</v>
      </c>
      <c r="BC3" s="372">
        <v>20.89</v>
      </c>
      <c r="BD3" s="316">
        <v>2280</v>
      </c>
      <c r="BE3" s="372">
        <v>34.200000000000003</v>
      </c>
      <c r="BF3" s="316"/>
      <c r="BG3" s="372">
        <v>0</v>
      </c>
      <c r="BH3" s="316"/>
      <c r="BI3" s="372">
        <v>0</v>
      </c>
      <c r="BJ3" s="373">
        <f>+AJ3+AL3+AN3+AP3+AR3+AT3+AV3+AX3+AZ3+BB3+BD3+BF3+BH3</f>
        <v>12075</v>
      </c>
      <c r="BK3" s="374">
        <f>+AK3+AM3+AO3+AQ3+AS3+AU3+AW3+AY3+BA3+BC3+BE3+BG3+BI3</f>
        <v>181.11</v>
      </c>
      <c r="BL3" s="374"/>
      <c r="BM3" s="374"/>
      <c r="BN3" s="374"/>
      <c r="BO3" s="380">
        <f>BK3+BL3+BM3</f>
        <v>181.11</v>
      </c>
    </row>
    <row r="4" spans="1:67" x14ac:dyDescent="0.25">
      <c r="A4" s="316" t="s">
        <v>485</v>
      </c>
      <c r="B4" s="328">
        <v>852</v>
      </c>
      <c r="C4" s="329">
        <v>12.75</v>
      </c>
      <c r="D4" s="328">
        <v>3112</v>
      </c>
      <c r="E4" s="329">
        <v>46.75</v>
      </c>
      <c r="F4" s="328">
        <v>1560</v>
      </c>
      <c r="G4" s="329">
        <v>23.4</v>
      </c>
      <c r="H4" s="328">
        <v>910</v>
      </c>
      <c r="I4" s="329">
        <v>13.65</v>
      </c>
      <c r="J4" s="328">
        <v>1672</v>
      </c>
      <c r="K4" s="329">
        <v>25</v>
      </c>
      <c r="L4" s="328">
        <v>0</v>
      </c>
      <c r="M4" s="329">
        <v>0</v>
      </c>
      <c r="N4" s="328">
        <v>0</v>
      </c>
      <c r="O4" s="329">
        <v>0</v>
      </c>
      <c r="P4" s="328">
        <v>2226</v>
      </c>
      <c r="Q4" s="329">
        <v>33.35</v>
      </c>
      <c r="R4" s="328">
        <v>480</v>
      </c>
      <c r="S4" s="329">
        <v>7.2</v>
      </c>
      <c r="T4" s="328">
        <v>0</v>
      </c>
      <c r="U4" s="329">
        <v>0</v>
      </c>
      <c r="V4" s="328">
        <v>1917</v>
      </c>
      <c r="W4" s="329">
        <v>28.75</v>
      </c>
      <c r="X4" s="328">
        <v>2203</v>
      </c>
      <c r="Y4" s="329">
        <v>33</v>
      </c>
      <c r="Z4" s="328">
        <v>2177</v>
      </c>
      <c r="AA4" s="329">
        <v>32.6</v>
      </c>
      <c r="AB4" s="328">
        <v>2921</v>
      </c>
      <c r="AC4" s="329">
        <v>43.8</v>
      </c>
      <c r="AD4" s="370">
        <f t="shared" ref="AD4:AE17" si="0">+AB4+Z4+X4+V4+T4+R4+P4+N4+L4+J4+H4+F4+D4+B4</f>
        <v>20030</v>
      </c>
      <c r="AE4" s="371">
        <f t="shared" si="0"/>
        <v>300.25</v>
      </c>
      <c r="AF4" s="371">
        <v>0</v>
      </c>
      <c r="AG4" s="371">
        <v>0</v>
      </c>
      <c r="AH4" s="371">
        <v>0</v>
      </c>
      <c r="AI4" s="371">
        <f>+AE4+AF4+AG4-AH4</f>
        <v>300.25</v>
      </c>
      <c r="AJ4" s="316"/>
      <c r="AK4" s="372">
        <v>0</v>
      </c>
      <c r="AL4" s="316"/>
      <c r="AM4" s="372">
        <v>0</v>
      </c>
      <c r="AN4" s="316">
        <v>2338</v>
      </c>
      <c r="AO4" s="372">
        <v>35</v>
      </c>
      <c r="AP4" s="316">
        <v>1935</v>
      </c>
      <c r="AQ4" s="372">
        <v>29</v>
      </c>
      <c r="AR4" s="316">
        <v>1831</v>
      </c>
      <c r="AS4" s="372">
        <v>27.45</v>
      </c>
      <c r="AT4" s="316">
        <v>1844</v>
      </c>
      <c r="AU4" s="372">
        <v>27.66</v>
      </c>
      <c r="AV4" s="316">
        <v>2140</v>
      </c>
      <c r="AW4" s="372">
        <v>32.1</v>
      </c>
      <c r="AX4" s="316">
        <v>1496</v>
      </c>
      <c r="AY4" s="372">
        <v>22.44</v>
      </c>
      <c r="AZ4" s="316">
        <v>2083</v>
      </c>
      <c r="BA4" s="372">
        <v>31.24</v>
      </c>
      <c r="BB4" s="316">
        <v>1322</v>
      </c>
      <c r="BC4" s="372">
        <v>19.829999999999998</v>
      </c>
      <c r="BD4" s="316"/>
      <c r="BE4" s="372">
        <v>0</v>
      </c>
      <c r="BF4" s="316"/>
      <c r="BG4" s="372">
        <v>0</v>
      </c>
      <c r="BH4" s="316"/>
      <c r="BI4" s="372">
        <v>0</v>
      </c>
      <c r="BJ4" s="373">
        <f t="shared" ref="BJ4:BK19" si="1">+AJ4+AL4+AN4+AP4+AR4+AT4+AV4+AX4+AZ4+BB4+BD4+BF4+BH4</f>
        <v>14989</v>
      </c>
      <c r="BK4" s="374">
        <f t="shared" si="1"/>
        <v>224.72000000000003</v>
      </c>
      <c r="BL4" s="374"/>
      <c r="BM4" s="374"/>
      <c r="BN4" s="374">
        <v>10</v>
      </c>
      <c r="BO4" s="380">
        <f t="shared" ref="BO4:BO21" si="2">BK4+BL4+BM4</f>
        <v>224.72000000000003</v>
      </c>
    </row>
    <row r="5" spans="1:67" x14ac:dyDescent="0.25">
      <c r="A5" s="327" t="s">
        <v>345</v>
      </c>
      <c r="B5" s="328">
        <v>2135</v>
      </c>
      <c r="C5" s="329">
        <v>32</v>
      </c>
      <c r="D5" s="328">
        <v>1451</v>
      </c>
      <c r="E5" s="329">
        <v>21.75</v>
      </c>
      <c r="F5" s="328">
        <v>1852</v>
      </c>
      <c r="G5" s="329">
        <v>27.78</v>
      </c>
      <c r="H5" s="328">
        <v>1389</v>
      </c>
      <c r="I5" s="329">
        <v>20.8</v>
      </c>
      <c r="J5" s="328">
        <v>1930</v>
      </c>
      <c r="K5" s="329">
        <v>29.95</v>
      </c>
      <c r="L5" s="328">
        <v>2029</v>
      </c>
      <c r="M5" s="329">
        <v>30.5</v>
      </c>
      <c r="N5" s="328">
        <v>2164</v>
      </c>
      <c r="O5" s="329">
        <v>32.450000000000003</v>
      </c>
      <c r="P5" s="328">
        <v>3090</v>
      </c>
      <c r="Q5" s="329">
        <v>46.3</v>
      </c>
      <c r="R5" s="328">
        <v>0</v>
      </c>
      <c r="S5" s="329">
        <v>0</v>
      </c>
      <c r="T5" s="328">
        <v>0</v>
      </c>
      <c r="U5" s="329">
        <v>0</v>
      </c>
      <c r="V5" s="328">
        <v>0</v>
      </c>
      <c r="W5" s="329">
        <v>0</v>
      </c>
      <c r="X5" s="328">
        <v>2203</v>
      </c>
      <c r="Y5" s="329">
        <v>33</v>
      </c>
      <c r="Z5" s="328">
        <v>2177</v>
      </c>
      <c r="AA5" s="329">
        <v>32.6</v>
      </c>
      <c r="AB5" s="328">
        <v>2921</v>
      </c>
      <c r="AC5" s="329">
        <v>43.8</v>
      </c>
      <c r="AD5" s="370">
        <f t="shared" si="0"/>
        <v>23341</v>
      </c>
      <c r="AE5" s="371">
        <f t="shared" si="0"/>
        <v>350.92999999999995</v>
      </c>
      <c r="AF5" s="371">
        <v>0</v>
      </c>
      <c r="AG5" s="371">
        <v>0</v>
      </c>
      <c r="AH5" s="371">
        <v>0</v>
      </c>
      <c r="AI5" s="371">
        <f>+AE5+AF5+AG5-AH5</f>
        <v>350.92999999999995</v>
      </c>
      <c r="AJ5" s="316"/>
      <c r="AK5" s="372">
        <v>0</v>
      </c>
      <c r="AL5" s="316"/>
      <c r="AM5" s="372">
        <v>0</v>
      </c>
      <c r="AN5" s="316">
        <v>1487</v>
      </c>
      <c r="AO5" s="372">
        <v>22.3</v>
      </c>
      <c r="AP5" s="316">
        <v>1935</v>
      </c>
      <c r="AQ5" s="372">
        <v>29</v>
      </c>
      <c r="AR5" s="316">
        <v>1831</v>
      </c>
      <c r="AS5" s="372">
        <v>27.45</v>
      </c>
      <c r="AT5" s="316">
        <v>1844</v>
      </c>
      <c r="AU5" s="372">
        <v>27.66</v>
      </c>
      <c r="AV5" s="316">
        <v>2140</v>
      </c>
      <c r="AW5" s="372">
        <v>32.1</v>
      </c>
      <c r="AX5" s="316">
        <v>1496</v>
      </c>
      <c r="AY5" s="372">
        <v>22.44</v>
      </c>
      <c r="AZ5" s="316">
        <v>2345</v>
      </c>
      <c r="BA5" s="372">
        <v>35.17</v>
      </c>
      <c r="BB5" s="316">
        <v>1322</v>
      </c>
      <c r="BC5" s="372">
        <v>19.829999999999998</v>
      </c>
      <c r="BD5" s="316"/>
      <c r="BE5" s="372">
        <v>0</v>
      </c>
      <c r="BF5" s="316"/>
      <c r="BG5" s="372">
        <v>0</v>
      </c>
      <c r="BH5" s="316"/>
      <c r="BI5" s="372">
        <v>0</v>
      </c>
      <c r="BJ5" s="373">
        <f t="shared" si="1"/>
        <v>14400</v>
      </c>
      <c r="BK5" s="374">
        <f t="shared" si="1"/>
        <v>215.95</v>
      </c>
      <c r="BL5" s="374"/>
      <c r="BM5" s="374"/>
      <c r="BN5" s="374">
        <v>10</v>
      </c>
      <c r="BO5" s="380">
        <f t="shared" si="2"/>
        <v>215.95</v>
      </c>
    </row>
    <row r="6" spans="1:67" x14ac:dyDescent="0.25">
      <c r="A6" s="316" t="s">
        <v>346</v>
      </c>
      <c r="B6" s="328">
        <v>2135</v>
      </c>
      <c r="C6" s="329">
        <v>42.7</v>
      </c>
      <c r="D6" s="328">
        <v>1451</v>
      </c>
      <c r="E6" s="329">
        <v>29</v>
      </c>
      <c r="F6" s="328">
        <v>1852</v>
      </c>
      <c r="G6" s="329">
        <v>37</v>
      </c>
      <c r="H6" s="328">
        <v>1389</v>
      </c>
      <c r="I6" s="329">
        <v>27.75</v>
      </c>
      <c r="J6" s="328">
        <v>1930</v>
      </c>
      <c r="K6" s="329">
        <v>38.6</v>
      </c>
      <c r="L6" s="328">
        <v>2029</v>
      </c>
      <c r="M6" s="329">
        <v>40.5</v>
      </c>
      <c r="N6" s="328">
        <v>2164</v>
      </c>
      <c r="O6" s="329">
        <v>43.25</v>
      </c>
      <c r="P6" s="328">
        <v>3090</v>
      </c>
      <c r="Q6" s="329">
        <v>61.8</v>
      </c>
      <c r="R6" s="328">
        <v>0</v>
      </c>
      <c r="S6" s="329">
        <v>0</v>
      </c>
      <c r="T6" s="328">
        <v>0</v>
      </c>
      <c r="U6" s="329">
        <v>0</v>
      </c>
      <c r="V6" s="328">
        <v>0</v>
      </c>
      <c r="W6" s="329">
        <v>0</v>
      </c>
      <c r="X6" s="328">
        <v>0</v>
      </c>
      <c r="Y6" s="329">
        <v>0</v>
      </c>
      <c r="Z6" s="328">
        <v>0</v>
      </c>
      <c r="AA6" s="329">
        <v>0</v>
      </c>
      <c r="AB6" s="328">
        <v>0</v>
      </c>
      <c r="AC6" s="329">
        <v>0</v>
      </c>
      <c r="AD6" s="370">
        <f t="shared" si="0"/>
        <v>16040</v>
      </c>
      <c r="AE6" s="371">
        <f t="shared" si="0"/>
        <v>320.59999999999997</v>
      </c>
      <c r="AF6" s="371">
        <v>0</v>
      </c>
      <c r="AG6" s="371">
        <v>0</v>
      </c>
      <c r="AH6" s="371">
        <v>0</v>
      </c>
      <c r="AI6" s="371">
        <f>+AE6+AF6+AG6-AH6</f>
        <v>320.59999999999997</v>
      </c>
      <c r="AJ6" s="316"/>
      <c r="AK6" s="372">
        <v>0</v>
      </c>
      <c r="AL6" s="316"/>
      <c r="AM6" s="372">
        <v>0</v>
      </c>
      <c r="AN6" s="316"/>
      <c r="AO6" s="372">
        <v>0</v>
      </c>
      <c r="AP6" s="316"/>
      <c r="AQ6" s="372">
        <v>0</v>
      </c>
      <c r="AR6" s="316"/>
      <c r="AS6" s="372">
        <v>0</v>
      </c>
      <c r="AT6" s="316"/>
      <c r="AU6" s="372">
        <v>0</v>
      </c>
      <c r="AV6" s="316"/>
      <c r="AW6" s="372">
        <v>0</v>
      </c>
      <c r="AX6" s="316"/>
      <c r="AY6" s="372">
        <v>0</v>
      </c>
      <c r="AZ6" s="316">
        <v>1342</v>
      </c>
      <c r="BA6" s="372">
        <v>26.84</v>
      </c>
      <c r="BB6" s="316">
        <v>1166</v>
      </c>
      <c r="BC6" s="372">
        <v>17.489999999999998</v>
      </c>
      <c r="BD6" s="316"/>
      <c r="BE6" s="372">
        <v>0</v>
      </c>
      <c r="BF6" s="316"/>
      <c r="BG6" s="372">
        <v>0</v>
      </c>
      <c r="BH6" s="316"/>
      <c r="BI6" s="372">
        <v>0</v>
      </c>
      <c r="BJ6" s="373">
        <f t="shared" si="1"/>
        <v>2508</v>
      </c>
      <c r="BK6" s="374">
        <f t="shared" si="1"/>
        <v>44.33</v>
      </c>
      <c r="BL6" s="374"/>
      <c r="BM6" s="374"/>
      <c r="BN6" s="374">
        <v>10</v>
      </c>
      <c r="BO6" s="380">
        <f t="shared" si="2"/>
        <v>44.33</v>
      </c>
    </row>
    <row r="7" spans="1:67" x14ac:dyDescent="0.25">
      <c r="A7" s="316" t="s">
        <v>402</v>
      </c>
      <c r="B7" s="328">
        <v>852</v>
      </c>
      <c r="C7" s="329">
        <v>17</v>
      </c>
      <c r="D7" s="328">
        <v>3112</v>
      </c>
      <c r="E7" s="329">
        <v>62.2</v>
      </c>
      <c r="F7" s="328">
        <v>1560</v>
      </c>
      <c r="G7" s="329">
        <v>31.2</v>
      </c>
      <c r="H7" s="328">
        <v>910</v>
      </c>
      <c r="I7" s="329">
        <v>18.2</v>
      </c>
      <c r="J7" s="328">
        <v>1672</v>
      </c>
      <c r="K7" s="329">
        <v>33.44</v>
      </c>
      <c r="L7" s="328">
        <v>1564</v>
      </c>
      <c r="M7" s="329">
        <v>31.25</v>
      </c>
      <c r="N7" s="328">
        <v>0</v>
      </c>
      <c r="O7" s="329">
        <v>0</v>
      </c>
      <c r="P7" s="328">
        <v>2226</v>
      </c>
      <c r="Q7" s="329">
        <v>44.5</v>
      </c>
      <c r="R7" s="328">
        <v>480</v>
      </c>
      <c r="S7" s="329">
        <v>9.6</v>
      </c>
      <c r="T7" s="328">
        <v>1807</v>
      </c>
      <c r="U7" s="329">
        <v>36.1</v>
      </c>
      <c r="V7" s="328">
        <v>0</v>
      </c>
      <c r="W7" s="329">
        <v>0</v>
      </c>
      <c r="X7" s="328">
        <v>2203</v>
      </c>
      <c r="Y7" s="329">
        <v>44</v>
      </c>
      <c r="Z7" s="328">
        <v>2177</v>
      </c>
      <c r="AA7" s="329">
        <v>43.5</v>
      </c>
      <c r="AB7" s="328">
        <v>2921</v>
      </c>
      <c r="AC7" s="329">
        <v>58.4</v>
      </c>
      <c r="AD7" s="370">
        <f t="shared" si="0"/>
        <v>21484</v>
      </c>
      <c r="AE7" s="371">
        <f t="shared" si="0"/>
        <v>429.39</v>
      </c>
      <c r="AF7" s="371">
        <v>0</v>
      </c>
      <c r="AG7" s="371">
        <v>0</v>
      </c>
      <c r="AH7" s="371">
        <v>80</v>
      </c>
      <c r="AI7" s="371">
        <f t="shared" ref="AI7:AI23" si="3">+AE7+AF7+AG7</f>
        <v>429.39</v>
      </c>
      <c r="AJ7" s="316"/>
      <c r="AK7" s="372">
        <v>0</v>
      </c>
      <c r="AL7" s="316">
        <v>3018</v>
      </c>
      <c r="AM7" s="372">
        <v>52.8</v>
      </c>
      <c r="AN7" s="316"/>
      <c r="AO7" s="372">
        <v>0</v>
      </c>
      <c r="AP7" s="316">
        <v>1935</v>
      </c>
      <c r="AQ7" s="372">
        <v>38.700000000000003</v>
      </c>
      <c r="AR7" s="316">
        <v>1831</v>
      </c>
      <c r="AS7" s="372">
        <v>36.6</v>
      </c>
      <c r="AT7" s="316">
        <v>1844</v>
      </c>
      <c r="AU7" s="372">
        <v>36.880000000000003</v>
      </c>
      <c r="AV7" s="316">
        <v>2140</v>
      </c>
      <c r="AW7" s="372">
        <v>42.8</v>
      </c>
      <c r="AX7" s="316">
        <v>1496</v>
      </c>
      <c r="AY7" s="372">
        <v>29.9</v>
      </c>
      <c r="AZ7" s="316"/>
      <c r="BA7" s="372">
        <v>0</v>
      </c>
      <c r="BB7" s="316">
        <v>1322</v>
      </c>
      <c r="BC7" s="372">
        <v>26.44</v>
      </c>
      <c r="BD7" s="316"/>
      <c r="BE7" s="372">
        <v>0</v>
      </c>
      <c r="BF7" s="316"/>
      <c r="BG7" s="372">
        <v>0</v>
      </c>
      <c r="BH7" s="316"/>
      <c r="BI7" s="372">
        <v>0</v>
      </c>
      <c r="BJ7" s="373">
        <f t="shared" si="1"/>
        <v>13586</v>
      </c>
      <c r="BK7" s="374">
        <f t="shared" si="1"/>
        <v>264.12</v>
      </c>
      <c r="BL7" s="374"/>
      <c r="BM7" s="374"/>
      <c r="BN7" s="374"/>
      <c r="BO7" s="380">
        <f t="shared" si="2"/>
        <v>264.12</v>
      </c>
    </row>
    <row r="8" spans="1:67" x14ac:dyDescent="0.25">
      <c r="A8" s="316" t="s">
        <v>482</v>
      </c>
      <c r="B8" s="328">
        <v>2567</v>
      </c>
      <c r="C8" s="329">
        <v>51.3</v>
      </c>
      <c r="D8" s="328">
        <v>2828</v>
      </c>
      <c r="E8" s="329">
        <v>56.55</v>
      </c>
      <c r="F8" s="328">
        <v>2141</v>
      </c>
      <c r="G8" s="329">
        <v>42.8</v>
      </c>
      <c r="H8" s="328">
        <v>1081</v>
      </c>
      <c r="I8" s="329">
        <v>21.61</v>
      </c>
      <c r="J8" s="328">
        <v>3164</v>
      </c>
      <c r="K8" s="329">
        <v>63.25</v>
      </c>
      <c r="L8" s="328">
        <v>2618</v>
      </c>
      <c r="M8" s="329">
        <v>52.6</v>
      </c>
      <c r="N8" s="328">
        <v>1968</v>
      </c>
      <c r="O8" s="329">
        <v>39.35</v>
      </c>
      <c r="P8" s="328">
        <v>2436</v>
      </c>
      <c r="Q8" s="329">
        <v>48.7</v>
      </c>
      <c r="R8" s="328">
        <v>495</v>
      </c>
      <c r="S8" s="329">
        <v>9.9</v>
      </c>
      <c r="T8" s="328">
        <v>1513</v>
      </c>
      <c r="U8" s="329">
        <v>30.25</v>
      </c>
      <c r="V8" s="328">
        <v>3010</v>
      </c>
      <c r="W8" s="329">
        <v>60.2</v>
      </c>
      <c r="X8" s="328">
        <v>2490</v>
      </c>
      <c r="Y8" s="329">
        <v>49.8</v>
      </c>
      <c r="Z8" s="328">
        <v>2568</v>
      </c>
      <c r="AA8" s="329">
        <v>51.3</v>
      </c>
      <c r="AB8" s="328">
        <v>1538</v>
      </c>
      <c r="AC8" s="329">
        <v>30.75</v>
      </c>
      <c r="AD8" s="370">
        <f t="shared" si="0"/>
        <v>30417</v>
      </c>
      <c r="AE8" s="371">
        <f t="shared" si="0"/>
        <v>608.36</v>
      </c>
      <c r="AF8" s="371">
        <v>0</v>
      </c>
      <c r="AG8" s="371">
        <v>0</v>
      </c>
      <c r="AH8" s="371">
        <v>0</v>
      </c>
      <c r="AI8" s="371">
        <f t="shared" si="3"/>
        <v>608.36</v>
      </c>
      <c r="AJ8" s="316"/>
      <c r="AK8" s="372">
        <v>0</v>
      </c>
      <c r="AL8" s="316"/>
      <c r="AM8" s="372">
        <v>0</v>
      </c>
      <c r="AN8" s="316"/>
      <c r="AO8" s="372">
        <v>0</v>
      </c>
      <c r="AP8" s="316">
        <v>2154</v>
      </c>
      <c r="AQ8" s="372">
        <v>43</v>
      </c>
      <c r="AR8" s="316">
        <v>2613</v>
      </c>
      <c r="AS8" s="372">
        <v>52.25</v>
      </c>
      <c r="AT8" s="316">
        <v>2355</v>
      </c>
      <c r="AU8" s="372">
        <v>47</v>
      </c>
      <c r="AV8" s="316">
        <v>1280</v>
      </c>
      <c r="AW8" s="372">
        <v>25.6</v>
      </c>
      <c r="AX8" s="316"/>
      <c r="AY8" s="372">
        <v>0</v>
      </c>
      <c r="AZ8" s="316">
        <v>2083</v>
      </c>
      <c r="BA8" s="372">
        <v>41.66</v>
      </c>
      <c r="BB8" s="316">
        <v>1393</v>
      </c>
      <c r="BC8" s="372">
        <v>27.86</v>
      </c>
      <c r="BD8" s="316">
        <v>2280</v>
      </c>
      <c r="BE8" s="372">
        <v>45.6</v>
      </c>
      <c r="BF8" s="316"/>
      <c r="BG8" s="372">
        <v>0</v>
      </c>
      <c r="BH8" s="316"/>
      <c r="BI8" s="372">
        <v>0</v>
      </c>
      <c r="BJ8" s="373">
        <f t="shared" si="1"/>
        <v>14158</v>
      </c>
      <c r="BK8" s="374">
        <f t="shared" si="1"/>
        <v>282.97000000000003</v>
      </c>
      <c r="BL8" s="374"/>
      <c r="BM8" s="374"/>
      <c r="BN8" s="374">
        <v>10</v>
      </c>
      <c r="BO8" s="380">
        <f t="shared" si="2"/>
        <v>282.97000000000003</v>
      </c>
    </row>
    <row r="9" spans="1:67" x14ac:dyDescent="0.25">
      <c r="A9" s="316" t="s">
        <v>349</v>
      </c>
      <c r="B9" s="328">
        <v>1754</v>
      </c>
      <c r="C9" s="329">
        <v>35</v>
      </c>
      <c r="D9" s="328">
        <v>1976</v>
      </c>
      <c r="E9" s="329">
        <v>39.5</v>
      </c>
      <c r="F9" s="328">
        <v>949</v>
      </c>
      <c r="G9" s="329">
        <v>18.95</v>
      </c>
      <c r="H9" s="328">
        <v>0</v>
      </c>
      <c r="I9" s="329">
        <v>0</v>
      </c>
      <c r="J9" s="328">
        <v>1243</v>
      </c>
      <c r="K9" s="329">
        <v>24.85</v>
      </c>
      <c r="L9" s="328">
        <v>1634</v>
      </c>
      <c r="M9" s="329">
        <v>32.65</v>
      </c>
      <c r="N9" s="328">
        <v>2842</v>
      </c>
      <c r="O9" s="329">
        <v>56.8</v>
      </c>
      <c r="P9" s="328">
        <v>2742</v>
      </c>
      <c r="Q9" s="329">
        <v>54.84</v>
      </c>
      <c r="R9" s="328">
        <v>0</v>
      </c>
      <c r="S9" s="329">
        <v>0</v>
      </c>
      <c r="T9" s="328">
        <v>1368</v>
      </c>
      <c r="U9" s="329">
        <v>27.3</v>
      </c>
      <c r="V9" s="328">
        <v>1396</v>
      </c>
      <c r="W9" s="329">
        <v>27.9</v>
      </c>
      <c r="X9" s="328">
        <v>1846</v>
      </c>
      <c r="Y9" s="329">
        <v>36.9</v>
      </c>
      <c r="Z9" s="328">
        <v>2716</v>
      </c>
      <c r="AA9" s="329">
        <v>54.3</v>
      </c>
      <c r="AB9" s="328">
        <v>1768</v>
      </c>
      <c r="AC9" s="329">
        <v>35.299999999999997</v>
      </c>
      <c r="AD9" s="370">
        <f t="shared" si="0"/>
        <v>22234</v>
      </c>
      <c r="AE9" s="371">
        <f t="shared" si="0"/>
        <v>444.29</v>
      </c>
      <c r="AF9" s="371">
        <v>0</v>
      </c>
      <c r="AG9" s="371">
        <v>0</v>
      </c>
      <c r="AH9" s="371">
        <v>0</v>
      </c>
      <c r="AI9" s="371">
        <f t="shared" si="3"/>
        <v>444.29</v>
      </c>
      <c r="AJ9" s="316">
        <v>1459</v>
      </c>
      <c r="AK9" s="372">
        <v>29.18</v>
      </c>
      <c r="AL9" s="316"/>
      <c r="AM9" s="372">
        <v>0</v>
      </c>
      <c r="AN9" s="316"/>
      <c r="AO9" s="372">
        <v>0</v>
      </c>
      <c r="AP9" s="316"/>
      <c r="AQ9" s="372">
        <v>0</v>
      </c>
      <c r="AR9" s="316"/>
      <c r="AS9" s="372">
        <v>0</v>
      </c>
      <c r="AT9" s="316"/>
      <c r="AU9" s="372">
        <v>0</v>
      </c>
      <c r="AV9" s="316">
        <v>2662</v>
      </c>
      <c r="AW9" s="372">
        <v>53.24</v>
      </c>
      <c r="AX9" s="316"/>
      <c r="AY9" s="372">
        <v>0</v>
      </c>
      <c r="AZ9" s="316">
        <v>2345</v>
      </c>
      <c r="BA9" s="372">
        <v>46.9</v>
      </c>
      <c r="BB9" s="316">
        <v>1166</v>
      </c>
      <c r="BC9" s="372">
        <v>23.32</v>
      </c>
      <c r="BD9" s="316"/>
      <c r="BE9" s="372">
        <v>0</v>
      </c>
      <c r="BF9" s="316"/>
      <c r="BG9" s="372">
        <v>0</v>
      </c>
      <c r="BH9" s="316"/>
      <c r="BI9" s="372">
        <v>0</v>
      </c>
      <c r="BJ9" s="373">
        <f t="shared" si="1"/>
        <v>7632</v>
      </c>
      <c r="BK9" s="374">
        <f t="shared" si="1"/>
        <v>152.63999999999999</v>
      </c>
      <c r="BL9" s="374"/>
      <c r="BM9" s="374"/>
      <c r="BN9" s="374">
        <v>10</v>
      </c>
      <c r="BO9" s="380">
        <f t="shared" si="2"/>
        <v>152.63999999999999</v>
      </c>
    </row>
    <row r="10" spans="1:67" x14ac:dyDescent="0.25">
      <c r="A10" s="316" t="s">
        <v>403</v>
      </c>
      <c r="B10" s="328">
        <v>0</v>
      </c>
      <c r="C10" s="329">
        <v>0</v>
      </c>
      <c r="D10" s="328">
        <v>0</v>
      </c>
      <c r="E10" s="329">
        <v>0</v>
      </c>
      <c r="F10" s="328">
        <v>0</v>
      </c>
      <c r="G10" s="329">
        <v>0</v>
      </c>
      <c r="H10" s="328">
        <v>0</v>
      </c>
      <c r="I10" s="329">
        <v>0</v>
      </c>
      <c r="J10" s="328">
        <v>0</v>
      </c>
      <c r="K10" s="329">
        <v>0</v>
      </c>
      <c r="L10" s="328">
        <v>1232</v>
      </c>
      <c r="M10" s="329">
        <v>24.6</v>
      </c>
      <c r="N10" s="328">
        <v>1057</v>
      </c>
      <c r="O10" s="329">
        <v>21.1</v>
      </c>
      <c r="P10" s="328">
        <v>0</v>
      </c>
      <c r="Q10" s="329">
        <v>0</v>
      </c>
      <c r="R10" s="328">
        <v>0</v>
      </c>
      <c r="S10" s="329">
        <v>0</v>
      </c>
      <c r="T10" s="328">
        <v>0</v>
      </c>
      <c r="U10" s="329">
        <v>0</v>
      </c>
      <c r="V10" s="328">
        <v>0</v>
      </c>
      <c r="W10" s="329">
        <v>0</v>
      </c>
      <c r="X10" s="328">
        <v>0</v>
      </c>
      <c r="Y10" s="329">
        <v>0</v>
      </c>
      <c r="Z10" s="328">
        <v>0</v>
      </c>
      <c r="AA10" s="329">
        <v>0</v>
      </c>
      <c r="AB10" s="328">
        <v>0</v>
      </c>
      <c r="AC10" s="329">
        <v>0</v>
      </c>
      <c r="AD10" s="370">
        <f t="shared" si="0"/>
        <v>2289</v>
      </c>
      <c r="AE10" s="371">
        <f t="shared" si="0"/>
        <v>45.7</v>
      </c>
      <c r="AF10" s="371">
        <v>0</v>
      </c>
      <c r="AG10" s="371">
        <v>0</v>
      </c>
      <c r="AH10" s="371">
        <v>0</v>
      </c>
      <c r="AI10" s="371">
        <f t="shared" si="3"/>
        <v>45.7</v>
      </c>
      <c r="AJ10" s="316"/>
      <c r="AK10" s="372">
        <v>0</v>
      </c>
      <c r="AL10" s="316"/>
      <c r="AM10" s="372">
        <v>0</v>
      </c>
      <c r="AN10" s="316"/>
      <c r="AO10" s="372">
        <v>0</v>
      </c>
      <c r="AP10" s="316"/>
      <c r="AQ10" s="372">
        <v>0</v>
      </c>
      <c r="AR10" s="316"/>
      <c r="AS10" s="372">
        <v>0</v>
      </c>
      <c r="AT10" s="316"/>
      <c r="AU10" s="372"/>
      <c r="AV10" s="316"/>
      <c r="AW10" s="372">
        <v>0</v>
      </c>
      <c r="AX10" s="316"/>
      <c r="AY10" s="372">
        <v>0</v>
      </c>
      <c r="AZ10" s="316"/>
      <c r="BA10" s="372">
        <v>0</v>
      </c>
      <c r="BB10" s="316"/>
      <c r="BC10" s="372">
        <v>0</v>
      </c>
      <c r="BD10" s="316"/>
      <c r="BE10" s="372">
        <v>0</v>
      </c>
      <c r="BF10" s="316"/>
      <c r="BG10" s="372">
        <v>0</v>
      </c>
      <c r="BH10" s="316"/>
      <c r="BI10" s="372">
        <v>0</v>
      </c>
      <c r="BJ10" s="373"/>
      <c r="BK10" s="374">
        <f t="shared" si="1"/>
        <v>0</v>
      </c>
      <c r="BL10" s="374"/>
      <c r="BM10" s="374"/>
      <c r="BN10" s="374"/>
      <c r="BO10" s="380">
        <f t="shared" si="2"/>
        <v>0</v>
      </c>
    </row>
    <row r="11" spans="1:67" x14ac:dyDescent="0.25">
      <c r="A11" s="327" t="s">
        <v>404</v>
      </c>
      <c r="B11" s="328">
        <v>2567</v>
      </c>
      <c r="C11" s="329">
        <v>38.5</v>
      </c>
      <c r="D11" s="328">
        <v>2828</v>
      </c>
      <c r="E11" s="329">
        <v>42.4</v>
      </c>
      <c r="F11" s="328">
        <v>2141</v>
      </c>
      <c r="G11" s="329">
        <v>32.11</v>
      </c>
      <c r="H11" s="328">
        <v>1081</v>
      </c>
      <c r="I11" s="329">
        <v>16.2</v>
      </c>
      <c r="J11" s="328">
        <v>3164</v>
      </c>
      <c r="K11" s="329">
        <v>47.45</v>
      </c>
      <c r="L11" s="328">
        <v>2618</v>
      </c>
      <c r="M11" s="329">
        <v>39.299999999999997</v>
      </c>
      <c r="N11" s="328">
        <v>1968</v>
      </c>
      <c r="O11" s="329">
        <v>29.5</v>
      </c>
      <c r="P11" s="328">
        <v>2436</v>
      </c>
      <c r="Q11" s="329">
        <v>36.5</v>
      </c>
      <c r="R11" s="328">
        <v>495</v>
      </c>
      <c r="S11" s="329">
        <v>7.4</v>
      </c>
      <c r="T11" s="328">
        <v>1513</v>
      </c>
      <c r="U11" s="329">
        <v>22.6</v>
      </c>
      <c r="V11" s="328">
        <v>3010</v>
      </c>
      <c r="W11" s="329">
        <v>45.15</v>
      </c>
      <c r="X11" s="328">
        <v>2490</v>
      </c>
      <c r="Y11" s="329">
        <v>37</v>
      </c>
      <c r="Z11" s="328">
        <v>4896</v>
      </c>
      <c r="AA11" s="329">
        <v>74.400000000000006</v>
      </c>
      <c r="AB11" s="328">
        <v>1538</v>
      </c>
      <c r="AC11" s="329">
        <v>23</v>
      </c>
      <c r="AD11" s="370">
        <f t="shared" si="0"/>
        <v>32745</v>
      </c>
      <c r="AE11" s="371">
        <f t="shared" si="0"/>
        <v>491.51</v>
      </c>
      <c r="AF11" s="371">
        <v>0</v>
      </c>
      <c r="AG11" s="371">
        <v>0</v>
      </c>
      <c r="AH11" s="371">
        <v>0</v>
      </c>
      <c r="AI11" s="371">
        <f t="shared" si="3"/>
        <v>491.51</v>
      </c>
      <c r="AJ11" s="316"/>
      <c r="AK11" s="372">
        <v>0</v>
      </c>
      <c r="AL11" s="316"/>
      <c r="AM11" s="372">
        <v>0</v>
      </c>
      <c r="AN11" s="316">
        <v>1487</v>
      </c>
      <c r="AO11" s="372">
        <v>29.7</v>
      </c>
      <c r="AP11" s="316">
        <v>2154</v>
      </c>
      <c r="AQ11" s="372">
        <v>32.299999999999997</v>
      </c>
      <c r="AR11" s="316">
        <v>2613</v>
      </c>
      <c r="AS11" s="372">
        <v>39.19</v>
      </c>
      <c r="AT11" s="316">
        <v>2355</v>
      </c>
      <c r="AU11" s="372">
        <v>35.32</v>
      </c>
      <c r="AV11" s="316">
        <v>1280</v>
      </c>
      <c r="AW11" s="372">
        <v>19.2</v>
      </c>
      <c r="AX11" s="316"/>
      <c r="AY11" s="372">
        <v>0</v>
      </c>
      <c r="AZ11" s="316">
        <v>2083</v>
      </c>
      <c r="BA11" s="372">
        <v>31.24</v>
      </c>
      <c r="BB11" s="316">
        <v>1393</v>
      </c>
      <c r="BC11" s="372">
        <v>21</v>
      </c>
      <c r="BD11" s="316">
        <v>2280</v>
      </c>
      <c r="BE11" s="372">
        <v>34.200000000000003</v>
      </c>
      <c r="BF11" s="316"/>
      <c r="BG11" s="372">
        <v>0</v>
      </c>
      <c r="BH11" s="316"/>
      <c r="BI11" s="372">
        <v>0</v>
      </c>
      <c r="BJ11" s="373">
        <f t="shared" si="1"/>
        <v>15645</v>
      </c>
      <c r="BK11" s="374">
        <f t="shared" si="1"/>
        <v>242.14999999999998</v>
      </c>
      <c r="BL11" s="374"/>
      <c r="BM11" s="374"/>
      <c r="BN11" s="374">
        <v>10</v>
      </c>
      <c r="BO11" s="380">
        <f t="shared" si="2"/>
        <v>242.14999999999998</v>
      </c>
    </row>
    <row r="12" spans="1:67" x14ac:dyDescent="0.25">
      <c r="A12" s="316" t="s">
        <v>350</v>
      </c>
      <c r="B12" s="328">
        <v>2358</v>
      </c>
      <c r="C12" s="329">
        <v>35.35</v>
      </c>
      <c r="D12" s="328">
        <v>1950</v>
      </c>
      <c r="E12" s="329">
        <v>29.25</v>
      </c>
      <c r="F12" s="328">
        <v>2425</v>
      </c>
      <c r="G12" s="329">
        <v>36.299999999999997</v>
      </c>
      <c r="H12" s="328">
        <v>0</v>
      </c>
      <c r="I12" s="329">
        <v>0</v>
      </c>
      <c r="J12" s="328">
        <v>2091</v>
      </c>
      <c r="K12" s="329">
        <v>31.35</v>
      </c>
      <c r="L12" s="328">
        <v>2670</v>
      </c>
      <c r="M12" s="329">
        <v>40</v>
      </c>
      <c r="N12" s="328">
        <v>2838</v>
      </c>
      <c r="O12" s="329">
        <v>42.55</v>
      </c>
      <c r="P12" s="328">
        <v>2273</v>
      </c>
      <c r="Q12" s="329">
        <v>34</v>
      </c>
      <c r="R12" s="328">
        <v>1040</v>
      </c>
      <c r="S12" s="329">
        <v>15.6</v>
      </c>
      <c r="T12" s="328">
        <v>2131</v>
      </c>
      <c r="U12" s="329">
        <v>31.9</v>
      </c>
      <c r="V12" s="328">
        <v>1791</v>
      </c>
      <c r="W12" s="329">
        <v>26.85</v>
      </c>
      <c r="X12" s="328">
        <v>2413</v>
      </c>
      <c r="Y12" s="329">
        <v>36</v>
      </c>
      <c r="Z12" s="328">
        <v>2722</v>
      </c>
      <c r="AA12" s="329">
        <v>40.799999999999997</v>
      </c>
      <c r="AB12" s="328">
        <v>1317</v>
      </c>
      <c r="AC12" s="329">
        <v>19.75</v>
      </c>
      <c r="AD12" s="370">
        <f t="shared" si="0"/>
        <v>28019</v>
      </c>
      <c r="AE12" s="371">
        <f t="shared" si="0"/>
        <v>419.70000000000005</v>
      </c>
      <c r="AF12" s="371">
        <v>0</v>
      </c>
      <c r="AG12" s="371">
        <v>0</v>
      </c>
      <c r="AH12" s="371">
        <v>0</v>
      </c>
      <c r="AI12" s="371">
        <f t="shared" si="3"/>
        <v>419.70000000000005</v>
      </c>
      <c r="AJ12" s="316"/>
      <c r="AK12" s="372">
        <v>0</v>
      </c>
      <c r="AL12" s="316"/>
      <c r="AM12" s="372">
        <v>0</v>
      </c>
      <c r="AN12" s="316"/>
      <c r="AO12" s="372">
        <v>0</v>
      </c>
      <c r="AP12" s="316"/>
      <c r="AQ12" s="372">
        <v>0</v>
      </c>
      <c r="AR12" s="316"/>
      <c r="AS12" s="372">
        <v>0</v>
      </c>
      <c r="AT12" s="316"/>
      <c r="AU12" s="372">
        <v>0</v>
      </c>
      <c r="AV12" s="316">
        <v>1773</v>
      </c>
      <c r="AW12" s="372">
        <v>26.59</v>
      </c>
      <c r="AX12" s="316">
        <v>512</v>
      </c>
      <c r="AY12" s="372">
        <v>7.68</v>
      </c>
      <c r="AZ12" s="316">
        <v>2396</v>
      </c>
      <c r="BA12" s="372">
        <v>35.94</v>
      </c>
      <c r="BB12" s="316">
        <v>1555</v>
      </c>
      <c r="BC12" s="372">
        <v>23.3</v>
      </c>
      <c r="BD12" s="316"/>
      <c r="BE12" s="372">
        <v>0</v>
      </c>
      <c r="BF12" s="316"/>
      <c r="BG12" s="372">
        <v>0</v>
      </c>
      <c r="BH12" s="316"/>
      <c r="BI12" s="372">
        <v>0</v>
      </c>
      <c r="BJ12" s="373">
        <f t="shared" si="1"/>
        <v>6236</v>
      </c>
      <c r="BK12" s="374">
        <f t="shared" si="1"/>
        <v>93.509999999999991</v>
      </c>
      <c r="BL12" s="374"/>
      <c r="BM12" s="374"/>
      <c r="BN12" s="374">
        <v>10</v>
      </c>
      <c r="BO12" s="380">
        <f t="shared" si="2"/>
        <v>93.509999999999991</v>
      </c>
    </row>
    <row r="13" spans="1:67" x14ac:dyDescent="0.25">
      <c r="A13" s="316" t="s">
        <v>343</v>
      </c>
      <c r="B13" s="328">
        <v>2135</v>
      </c>
      <c r="C13" s="329">
        <v>32</v>
      </c>
      <c r="D13" s="328">
        <v>1451</v>
      </c>
      <c r="E13" s="329">
        <v>21.75</v>
      </c>
      <c r="F13" s="328">
        <v>1852</v>
      </c>
      <c r="G13" s="329">
        <v>27.75</v>
      </c>
      <c r="H13" s="328">
        <v>1389</v>
      </c>
      <c r="I13" s="329">
        <v>21.8</v>
      </c>
      <c r="J13" s="328">
        <v>1930</v>
      </c>
      <c r="K13" s="329">
        <v>28.95</v>
      </c>
      <c r="L13" s="328">
        <v>2029</v>
      </c>
      <c r="M13" s="329">
        <v>30.4</v>
      </c>
      <c r="N13" s="328">
        <v>2164</v>
      </c>
      <c r="O13" s="329">
        <v>32.450000000000003</v>
      </c>
      <c r="P13" s="328">
        <v>3090</v>
      </c>
      <c r="Q13" s="329">
        <v>46.3</v>
      </c>
      <c r="R13" s="328">
        <v>0</v>
      </c>
      <c r="S13" s="329">
        <v>0</v>
      </c>
      <c r="T13" s="328">
        <v>1807</v>
      </c>
      <c r="U13" s="329">
        <v>27</v>
      </c>
      <c r="V13" s="328">
        <v>0</v>
      </c>
      <c r="W13" s="329">
        <v>0</v>
      </c>
      <c r="X13" s="328">
        <v>3520</v>
      </c>
      <c r="Y13" s="329">
        <v>52</v>
      </c>
      <c r="Z13" s="328">
        <v>2368</v>
      </c>
      <c r="AA13" s="329">
        <v>35.5</v>
      </c>
      <c r="AB13" s="328">
        <v>2638</v>
      </c>
      <c r="AC13" s="329">
        <v>39.5</v>
      </c>
      <c r="AD13" s="370">
        <f t="shared" si="0"/>
        <v>26373</v>
      </c>
      <c r="AE13" s="371">
        <f t="shared" si="0"/>
        <v>395.4</v>
      </c>
      <c r="AF13" s="371">
        <v>0</v>
      </c>
      <c r="AG13" s="371">
        <v>0</v>
      </c>
      <c r="AH13" s="371">
        <v>0</v>
      </c>
      <c r="AI13" s="371">
        <f t="shared" si="3"/>
        <v>395.4</v>
      </c>
      <c r="AJ13" s="316"/>
      <c r="AK13" s="372">
        <v>0</v>
      </c>
      <c r="AL13" s="316"/>
      <c r="AM13" s="372">
        <v>0</v>
      </c>
      <c r="AN13" s="316">
        <v>1893</v>
      </c>
      <c r="AO13" s="372">
        <v>29.4</v>
      </c>
      <c r="AP13" s="316"/>
      <c r="AQ13" s="372">
        <v>0</v>
      </c>
      <c r="AR13" s="316"/>
      <c r="AS13" s="372">
        <v>0</v>
      </c>
      <c r="AT13" s="316">
        <v>1217</v>
      </c>
      <c r="AU13" s="372">
        <v>18.25</v>
      </c>
      <c r="AV13" s="316"/>
      <c r="AW13" s="372">
        <v>0</v>
      </c>
      <c r="AX13" s="316">
        <v>0</v>
      </c>
      <c r="AY13" s="372">
        <v>0</v>
      </c>
      <c r="AZ13" s="316">
        <v>2000</v>
      </c>
      <c r="BA13" s="372">
        <v>30</v>
      </c>
      <c r="BB13" s="316">
        <v>1404</v>
      </c>
      <c r="BC13" s="372">
        <v>21</v>
      </c>
      <c r="BD13" s="316"/>
      <c r="BE13" s="372">
        <v>0</v>
      </c>
      <c r="BF13" s="316"/>
      <c r="BG13" s="372">
        <v>0</v>
      </c>
      <c r="BH13" s="316"/>
      <c r="BI13" s="372">
        <v>0</v>
      </c>
      <c r="BJ13" s="373">
        <f t="shared" si="1"/>
        <v>6514</v>
      </c>
      <c r="BK13" s="374">
        <f t="shared" si="1"/>
        <v>98.65</v>
      </c>
      <c r="BL13" s="374"/>
      <c r="BM13" s="374"/>
      <c r="BN13" s="374"/>
      <c r="BO13" s="380">
        <f t="shared" si="2"/>
        <v>98.65</v>
      </c>
    </row>
    <row r="14" spans="1:67" x14ac:dyDescent="0.25">
      <c r="A14" s="316" t="s">
        <v>348</v>
      </c>
      <c r="B14" s="328">
        <v>1844</v>
      </c>
      <c r="C14" s="329">
        <v>27.65</v>
      </c>
      <c r="D14" s="328">
        <v>2532</v>
      </c>
      <c r="E14" s="329">
        <v>37.950000000000003</v>
      </c>
      <c r="F14" s="328">
        <v>2738</v>
      </c>
      <c r="G14" s="329">
        <v>41</v>
      </c>
      <c r="H14" s="328">
        <v>0</v>
      </c>
      <c r="I14" s="329">
        <v>0</v>
      </c>
      <c r="J14" s="328">
        <v>0</v>
      </c>
      <c r="K14" s="329">
        <v>0</v>
      </c>
      <c r="L14" s="328">
        <v>1505</v>
      </c>
      <c r="M14" s="329">
        <v>22.55</v>
      </c>
      <c r="N14" s="328">
        <v>2208</v>
      </c>
      <c r="O14" s="329">
        <v>33.1</v>
      </c>
      <c r="P14" s="328">
        <v>2388</v>
      </c>
      <c r="Q14" s="329">
        <v>35.799999999999997</v>
      </c>
      <c r="R14" s="328">
        <v>523</v>
      </c>
      <c r="S14" s="329">
        <v>7.8</v>
      </c>
      <c r="T14" s="328">
        <v>1325</v>
      </c>
      <c r="U14" s="329">
        <v>19.8</v>
      </c>
      <c r="V14" s="328">
        <v>2121</v>
      </c>
      <c r="W14" s="329">
        <v>31.8</v>
      </c>
      <c r="X14" s="328">
        <v>2581</v>
      </c>
      <c r="Y14" s="329">
        <v>38.700000000000003</v>
      </c>
      <c r="Z14" s="328">
        <v>1787</v>
      </c>
      <c r="AA14" s="329">
        <v>26.8</v>
      </c>
      <c r="AB14" s="328">
        <v>2304</v>
      </c>
      <c r="AC14" s="329">
        <v>34.5</v>
      </c>
      <c r="AD14" s="370">
        <f t="shared" si="0"/>
        <v>23856</v>
      </c>
      <c r="AE14" s="371">
        <f t="shared" si="0"/>
        <v>357.45</v>
      </c>
      <c r="AF14" s="371">
        <v>0</v>
      </c>
      <c r="AG14" s="371">
        <v>0</v>
      </c>
      <c r="AH14" s="371">
        <v>30</v>
      </c>
      <c r="AI14" s="371">
        <f t="shared" si="3"/>
        <v>357.45</v>
      </c>
      <c r="AJ14" s="316"/>
      <c r="AK14" s="372">
        <v>0</v>
      </c>
      <c r="AL14" s="316"/>
      <c r="AM14" s="372">
        <v>0</v>
      </c>
      <c r="AN14" s="316"/>
      <c r="AO14" s="372">
        <v>0</v>
      </c>
      <c r="AP14" s="316"/>
      <c r="AQ14" s="372">
        <v>0</v>
      </c>
      <c r="AR14" s="316"/>
      <c r="AS14" s="372">
        <v>0</v>
      </c>
      <c r="AT14" s="316">
        <v>2442</v>
      </c>
      <c r="AU14" s="372">
        <v>36.6</v>
      </c>
      <c r="AV14" s="316">
        <v>1505</v>
      </c>
      <c r="AW14" s="372">
        <v>22.55</v>
      </c>
      <c r="AX14" s="316">
        <v>891</v>
      </c>
      <c r="AY14" s="372">
        <v>13.63</v>
      </c>
      <c r="AZ14" s="316">
        <v>1685</v>
      </c>
      <c r="BA14" s="372">
        <v>25.27</v>
      </c>
      <c r="BB14" s="316">
        <v>1866</v>
      </c>
      <c r="BC14" s="372">
        <v>28</v>
      </c>
      <c r="BD14" s="316"/>
      <c r="BE14" s="372">
        <v>0</v>
      </c>
      <c r="BF14" s="316"/>
      <c r="BG14" s="372">
        <v>0</v>
      </c>
      <c r="BH14" s="316">
        <v>2693</v>
      </c>
      <c r="BI14" s="372">
        <v>40.39</v>
      </c>
      <c r="BJ14" s="373">
        <f t="shared" si="1"/>
        <v>11082</v>
      </c>
      <c r="BK14" s="374">
        <f t="shared" si="1"/>
        <v>166.44</v>
      </c>
      <c r="BL14" s="374"/>
      <c r="BM14" s="374"/>
      <c r="BN14" s="374"/>
      <c r="BO14" s="380">
        <f t="shared" si="2"/>
        <v>166.44</v>
      </c>
    </row>
    <row r="15" spans="1:67" x14ac:dyDescent="0.25">
      <c r="A15" s="316" t="s">
        <v>377</v>
      </c>
      <c r="B15" s="328">
        <v>2358</v>
      </c>
      <c r="C15" s="329">
        <v>47.15</v>
      </c>
      <c r="D15" s="328">
        <v>1950</v>
      </c>
      <c r="E15" s="329">
        <v>39</v>
      </c>
      <c r="F15" s="328">
        <v>2425</v>
      </c>
      <c r="G15" s="329">
        <v>48.5</v>
      </c>
      <c r="H15" s="328">
        <v>1224</v>
      </c>
      <c r="I15" s="329">
        <v>24.45</v>
      </c>
      <c r="J15" s="328">
        <v>2091</v>
      </c>
      <c r="K15" s="329">
        <v>41.8</v>
      </c>
      <c r="L15" s="328">
        <v>2670</v>
      </c>
      <c r="M15" s="329">
        <v>53.4</v>
      </c>
      <c r="N15" s="328">
        <v>2838</v>
      </c>
      <c r="O15" s="329">
        <v>56.75</v>
      </c>
      <c r="P15" s="328">
        <v>2273</v>
      </c>
      <c r="Q15" s="329">
        <v>45.45</v>
      </c>
      <c r="R15" s="328">
        <v>1040</v>
      </c>
      <c r="S15" s="329">
        <v>20.8</v>
      </c>
      <c r="T15" s="328">
        <v>2131</v>
      </c>
      <c r="U15" s="329">
        <v>42.6</v>
      </c>
      <c r="V15" s="328">
        <v>1791</v>
      </c>
      <c r="W15" s="329">
        <v>35.799999999999997</v>
      </c>
      <c r="X15" s="328">
        <v>2413</v>
      </c>
      <c r="Y15" s="329">
        <v>48.4</v>
      </c>
      <c r="Z15" s="328">
        <v>2722</v>
      </c>
      <c r="AA15" s="329">
        <v>54.4</v>
      </c>
      <c r="AB15" s="328">
        <v>1317</v>
      </c>
      <c r="AC15" s="329">
        <v>26.3</v>
      </c>
      <c r="AD15" s="370">
        <f t="shared" si="0"/>
        <v>29243</v>
      </c>
      <c r="AE15" s="371">
        <f t="shared" si="0"/>
        <v>584.79999999999995</v>
      </c>
      <c r="AF15" s="371">
        <v>0</v>
      </c>
      <c r="AG15" s="371">
        <v>0</v>
      </c>
      <c r="AH15" s="371">
        <v>0</v>
      </c>
      <c r="AI15" s="371">
        <f t="shared" si="3"/>
        <v>584.79999999999995</v>
      </c>
      <c r="AJ15" s="316"/>
      <c r="AK15" s="372">
        <v>0</v>
      </c>
      <c r="AL15" s="316"/>
      <c r="AM15" s="372">
        <v>0</v>
      </c>
      <c r="AN15" s="316"/>
      <c r="AO15" s="372">
        <v>0</v>
      </c>
      <c r="AP15" s="316"/>
      <c r="AQ15" s="372">
        <v>0</v>
      </c>
      <c r="AR15" s="316"/>
      <c r="AS15" s="372">
        <v>0</v>
      </c>
      <c r="AT15" s="316"/>
      <c r="AU15" s="372">
        <v>0</v>
      </c>
      <c r="AV15" s="316">
        <v>1773</v>
      </c>
      <c r="AW15" s="372">
        <v>35.46</v>
      </c>
      <c r="AX15" s="316">
        <v>512</v>
      </c>
      <c r="AY15" s="372">
        <v>10.24</v>
      </c>
      <c r="AZ15" s="316">
        <v>2396</v>
      </c>
      <c r="BA15" s="372">
        <v>47.9</v>
      </c>
      <c r="BB15" s="316">
        <v>1555</v>
      </c>
      <c r="BC15" s="372">
        <v>31</v>
      </c>
      <c r="BD15" s="316"/>
      <c r="BE15" s="372">
        <v>0</v>
      </c>
      <c r="BF15" s="316"/>
      <c r="BG15" s="372">
        <v>0</v>
      </c>
      <c r="BH15" s="316"/>
      <c r="BI15" s="372">
        <v>0</v>
      </c>
      <c r="BJ15" s="373">
        <f t="shared" si="1"/>
        <v>6236</v>
      </c>
      <c r="BK15" s="374">
        <f t="shared" si="1"/>
        <v>124.6</v>
      </c>
      <c r="BL15" s="374"/>
      <c r="BM15" s="374"/>
      <c r="BN15" s="374">
        <v>10</v>
      </c>
      <c r="BO15" s="380">
        <f t="shared" si="2"/>
        <v>124.6</v>
      </c>
    </row>
    <row r="16" spans="1:67" x14ac:dyDescent="0.25">
      <c r="A16" s="330" t="s">
        <v>241</v>
      </c>
      <c r="B16" s="328">
        <v>0</v>
      </c>
      <c r="C16" s="329">
        <v>16.07</v>
      </c>
      <c r="D16" s="328">
        <v>0</v>
      </c>
      <c r="E16" s="329">
        <v>16.07</v>
      </c>
      <c r="F16" s="328">
        <v>0</v>
      </c>
      <c r="G16" s="329">
        <v>16.07</v>
      </c>
      <c r="H16" s="328">
        <v>0</v>
      </c>
      <c r="I16" s="329">
        <v>16.07</v>
      </c>
      <c r="J16" s="328">
        <v>0</v>
      </c>
      <c r="K16" s="329">
        <v>16.07</v>
      </c>
      <c r="L16" s="328">
        <v>0</v>
      </c>
      <c r="M16" s="329">
        <v>16.07</v>
      </c>
      <c r="N16" s="328">
        <v>0</v>
      </c>
      <c r="O16" s="329">
        <v>16.07</v>
      </c>
      <c r="P16" s="328">
        <v>0</v>
      </c>
      <c r="Q16" s="329">
        <v>16.07</v>
      </c>
      <c r="R16" s="328">
        <v>0</v>
      </c>
      <c r="S16" s="329">
        <v>16.07</v>
      </c>
      <c r="T16" s="328">
        <v>0</v>
      </c>
      <c r="U16" s="329">
        <v>20</v>
      </c>
      <c r="V16" s="328">
        <v>0</v>
      </c>
      <c r="W16" s="329">
        <v>16.07</v>
      </c>
      <c r="X16" s="328">
        <v>0</v>
      </c>
      <c r="Y16" s="329">
        <v>16.07</v>
      </c>
      <c r="Z16" s="328">
        <v>0</v>
      </c>
      <c r="AA16" s="329">
        <v>16.07</v>
      </c>
      <c r="AB16" s="328">
        <v>0</v>
      </c>
      <c r="AC16" s="329">
        <v>16.07</v>
      </c>
      <c r="AD16" s="370">
        <f t="shared" si="0"/>
        <v>0</v>
      </c>
      <c r="AE16" s="371">
        <f t="shared" si="0"/>
        <v>228.90999999999994</v>
      </c>
      <c r="AF16" s="371">
        <v>0</v>
      </c>
      <c r="AG16" s="371">
        <v>0</v>
      </c>
      <c r="AH16" s="371">
        <v>0</v>
      </c>
      <c r="AI16" s="371">
        <f t="shared" si="3"/>
        <v>228.90999999999994</v>
      </c>
      <c r="AJ16" s="316"/>
      <c r="AK16" s="329">
        <v>17.3</v>
      </c>
      <c r="AL16" s="316"/>
      <c r="AM16" s="329">
        <v>17.3</v>
      </c>
      <c r="AN16" s="316"/>
      <c r="AO16" s="329">
        <v>17.3</v>
      </c>
      <c r="AP16" s="316"/>
      <c r="AQ16" s="329">
        <v>17.3</v>
      </c>
      <c r="AR16" s="316"/>
      <c r="AS16" s="329">
        <v>17.3</v>
      </c>
      <c r="AT16" s="316"/>
      <c r="AU16" s="329">
        <v>17.3</v>
      </c>
      <c r="AV16" s="316"/>
      <c r="AW16" s="329">
        <v>17.3</v>
      </c>
      <c r="AX16" s="316"/>
      <c r="AY16" s="329">
        <v>17.3</v>
      </c>
      <c r="AZ16" s="316"/>
      <c r="BA16" s="329">
        <v>17.3</v>
      </c>
      <c r="BB16" s="316"/>
      <c r="BC16" s="329">
        <v>17.3</v>
      </c>
      <c r="BD16" s="316"/>
      <c r="BE16" s="372">
        <v>0</v>
      </c>
      <c r="BF16" s="316"/>
      <c r="BG16" s="372">
        <v>0</v>
      </c>
      <c r="BH16" s="316"/>
      <c r="BI16" s="372">
        <v>0</v>
      </c>
      <c r="BJ16" s="373">
        <f t="shared" si="1"/>
        <v>0</v>
      </c>
      <c r="BK16" s="374">
        <f t="shared" si="1"/>
        <v>173.00000000000003</v>
      </c>
      <c r="BL16" s="374"/>
      <c r="BM16" s="374"/>
      <c r="BN16" s="374"/>
      <c r="BO16" s="380">
        <f t="shared" si="2"/>
        <v>173.00000000000003</v>
      </c>
    </row>
    <row r="17" spans="1:67" x14ac:dyDescent="0.25">
      <c r="A17" s="330" t="s">
        <v>344</v>
      </c>
      <c r="B17" s="328">
        <v>0</v>
      </c>
      <c r="C17" s="329">
        <v>14.35</v>
      </c>
      <c r="D17" s="328">
        <v>0</v>
      </c>
      <c r="E17" s="329">
        <v>14.35</v>
      </c>
      <c r="F17" s="328">
        <v>0</v>
      </c>
      <c r="G17" s="329">
        <v>14.35</v>
      </c>
      <c r="H17" s="328">
        <v>0</v>
      </c>
      <c r="I17" s="329">
        <v>14.35</v>
      </c>
      <c r="J17" s="328">
        <v>0</v>
      </c>
      <c r="K17" s="329">
        <v>14.35</v>
      </c>
      <c r="L17" s="328">
        <v>0</v>
      </c>
      <c r="M17" s="329">
        <v>14.35</v>
      </c>
      <c r="N17" s="328">
        <v>0</v>
      </c>
      <c r="O17" s="329">
        <v>14.35</v>
      </c>
      <c r="P17" s="328">
        <v>0</v>
      </c>
      <c r="Q17" s="329">
        <v>14.35</v>
      </c>
      <c r="R17" s="328">
        <v>0</v>
      </c>
      <c r="S17" s="329">
        <v>14.35</v>
      </c>
      <c r="T17" s="328">
        <v>0</v>
      </c>
      <c r="U17" s="329">
        <v>14.35</v>
      </c>
      <c r="V17" s="328">
        <v>0</v>
      </c>
      <c r="W17" s="329">
        <v>14.35</v>
      </c>
      <c r="X17" s="328">
        <v>0</v>
      </c>
      <c r="Y17" s="329">
        <v>14.35</v>
      </c>
      <c r="Z17" s="328">
        <v>0</v>
      </c>
      <c r="AA17" s="329">
        <v>20</v>
      </c>
      <c r="AB17" s="328">
        <v>0</v>
      </c>
      <c r="AC17" s="329">
        <v>20</v>
      </c>
      <c r="AD17" s="370">
        <f t="shared" si="0"/>
        <v>0</v>
      </c>
      <c r="AE17" s="371">
        <f t="shared" si="0"/>
        <v>212.19999999999996</v>
      </c>
      <c r="AF17" s="371">
        <v>0</v>
      </c>
      <c r="AG17" s="371">
        <v>0</v>
      </c>
      <c r="AH17" s="371">
        <v>0</v>
      </c>
      <c r="AI17" s="371">
        <f t="shared" si="3"/>
        <v>212.19999999999996</v>
      </c>
      <c r="AJ17" s="316"/>
      <c r="AK17" s="329">
        <v>15.38</v>
      </c>
      <c r="AL17" s="316"/>
      <c r="AM17" s="329">
        <v>15.38</v>
      </c>
      <c r="AN17" s="316"/>
      <c r="AO17" s="329">
        <v>15.38</v>
      </c>
      <c r="AP17" s="316"/>
      <c r="AQ17" s="329">
        <v>15.38</v>
      </c>
      <c r="AR17" s="316"/>
      <c r="AS17" s="329">
        <v>15.38</v>
      </c>
      <c r="AT17" s="316"/>
      <c r="AU17" s="329">
        <v>15.38</v>
      </c>
      <c r="AV17" s="316"/>
      <c r="AW17" s="329">
        <v>15.38</v>
      </c>
      <c r="AX17" s="316"/>
      <c r="AY17" s="329">
        <v>15.38</v>
      </c>
      <c r="AZ17" s="316"/>
      <c r="BA17" s="329">
        <v>15.38</v>
      </c>
      <c r="BB17" s="316"/>
      <c r="BC17" s="329">
        <v>15.38</v>
      </c>
      <c r="BD17" s="316"/>
      <c r="BE17" s="329">
        <v>15.4</v>
      </c>
      <c r="BF17" s="316"/>
      <c r="BG17" s="329">
        <v>15.4</v>
      </c>
      <c r="BH17" s="316"/>
      <c r="BI17" s="329">
        <v>15.4</v>
      </c>
      <c r="BJ17" s="373">
        <f t="shared" si="1"/>
        <v>0</v>
      </c>
      <c r="BK17" s="374">
        <f t="shared" si="1"/>
        <v>200</v>
      </c>
      <c r="BL17" s="374"/>
      <c r="BM17" s="373"/>
      <c r="BN17" s="371"/>
      <c r="BO17" s="380">
        <f t="shared" si="2"/>
        <v>200</v>
      </c>
    </row>
    <row r="18" spans="1:67" x14ac:dyDescent="0.25">
      <c r="A18" s="1064" t="s">
        <v>483</v>
      </c>
      <c r="B18" s="269"/>
      <c r="C18" s="329">
        <v>0</v>
      </c>
      <c r="D18" s="269"/>
      <c r="E18" s="329">
        <v>0</v>
      </c>
      <c r="F18" s="269"/>
      <c r="G18" s="329">
        <v>0</v>
      </c>
      <c r="H18" s="269"/>
      <c r="I18" s="329">
        <v>0</v>
      </c>
      <c r="J18" s="269"/>
      <c r="K18" s="329">
        <v>0</v>
      </c>
      <c r="L18" s="269"/>
      <c r="M18" s="329">
        <v>0</v>
      </c>
      <c r="N18" s="269"/>
      <c r="O18" s="329">
        <v>0</v>
      </c>
      <c r="P18" s="269"/>
      <c r="Q18" s="329">
        <v>0</v>
      </c>
      <c r="R18" s="269"/>
      <c r="S18" s="329">
        <v>0</v>
      </c>
      <c r="T18" s="269"/>
      <c r="U18" s="329">
        <v>0</v>
      </c>
      <c r="V18" s="269"/>
      <c r="W18" s="329">
        <v>0</v>
      </c>
      <c r="X18" s="269"/>
      <c r="Y18" s="329">
        <v>0</v>
      </c>
      <c r="Z18" s="269"/>
      <c r="AA18" s="329">
        <v>0</v>
      </c>
      <c r="AB18" s="269"/>
      <c r="AC18" s="329">
        <v>0</v>
      </c>
      <c r="AD18" s="376"/>
      <c r="AE18" s="371">
        <v>0</v>
      </c>
      <c r="AF18" s="371">
        <v>0</v>
      </c>
      <c r="AG18" s="371">
        <v>0</v>
      </c>
      <c r="AH18" s="371">
        <v>0</v>
      </c>
      <c r="AI18" s="371">
        <f t="shared" si="3"/>
        <v>0</v>
      </c>
      <c r="AJ18" s="316"/>
      <c r="AK18" s="372">
        <v>0</v>
      </c>
      <c r="AL18" s="316"/>
      <c r="AM18" s="372">
        <v>0</v>
      </c>
      <c r="AN18" s="316"/>
      <c r="AO18" s="372">
        <v>0</v>
      </c>
      <c r="AP18" s="316"/>
      <c r="AQ18" s="372">
        <v>0</v>
      </c>
      <c r="AR18" s="316"/>
      <c r="AS18" s="372">
        <v>0</v>
      </c>
      <c r="AT18" s="316"/>
      <c r="AU18" s="372">
        <v>0</v>
      </c>
      <c r="AV18" s="316"/>
      <c r="AW18" s="372">
        <v>0</v>
      </c>
      <c r="AX18" s="316"/>
      <c r="AY18" s="372">
        <v>0</v>
      </c>
      <c r="AZ18" s="316">
        <v>1342</v>
      </c>
      <c r="BA18" s="372">
        <v>20.13</v>
      </c>
      <c r="BB18" s="316"/>
      <c r="BC18" s="372">
        <v>0</v>
      </c>
      <c r="BD18" s="316"/>
      <c r="BE18" s="372">
        <v>0</v>
      </c>
      <c r="BF18" s="316"/>
      <c r="BG18" s="372">
        <v>0</v>
      </c>
      <c r="BH18" s="316"/>
      <c r="BI18" s="372">
        <v>0</v>
      </c>
      <c r="BJ18" s="373">
        <f t="shared" si="1"/>
        <v>1342</v>
      </c>
      <c r="BK18" s="374">
        <f t="shared" si="1"/>
        <v>20.13</v>
      </c>
      <c r="BL18" s="374"/>
      <c r="BM18" s="374"/>
      <c r="BN18" s="374"/>
      <c r="BO18" s="380">
        <f t="shared" si="2"/>
        <v>20.13</v>
      </c>
    </row>
    <row r="19" spans="1:67" x14ac:dyDescent="0.25">
      <c r="A19" s="375" t="s">
        <v>484</v>
      </c>
      <c r="B19" s="269"/>
      <c r="C19" s="329">
        <v>0</v>
      </c>
      <c r="D19" s="269"/>
      <c r="E19" s="329">
        <v>0</v>
      </c>
      <c r="F19" s="269"/>
      <c r="G19" s="329">
        <v>0</v>
      </c>
      <c r="H19" s="269"/>
      <c r="I19" s="329">
        <v>0</v>
      </c>
      <c r="J19" s="269"/>
      <c r="K19" s="329">
        <v>0</v>
      </c>
      <c r="L19" s="269"/>
      <c r="M19" s="329">
        <v>0</v>
      </c>
      <c r="N19" s="269"/>
      <c r="O19" s="329">
        <v>0</v>
      </c>
      <c r="P19" s="269"/>
      <c r="Q19" s="329">
        <v>0</v>
      </c>
      <c r="R19" s="269"/>
      <c r="S19" s="329">
        <v>0</v>
      </c>
      <c r="T19" s="269"/>
      <c r="U19" s="329">
        <v>0</v>
      </c>
      <c r="V19" s="269"/>
      <c r="W19" s="329">
        <v>0</v>
      </c>
      <c r="X19" s="269"/>
      <c r="Y19" s="329">
        <v>0</v>
      </c>
      <c r="Z19" s="269"/>
      <c r="AA19" s="329">
        <v>0</v>
      </c>
      <c r="AB19" s="269"/>
      <c r="AC19" s="329">
        <v>0</v>
      </c>
      <c r="AD19" s="376"/>
      <c r="AE19" s="371">
        <v>0</v>
      </c>
      <c r="AF19" s="371">
        <v>0</v>
      </c>
      <c r="AG19" s="371">
        <v>0</v>
      </c>
      <c r="AH19" s="371">
        <v>0</v>
      </c>
      <c r="AI19" s="371">
        <f t="shared" si="3"/>
        <v>0</v>
      </c>
      <c r="AJ19" s="316"/>
      <c r="AK19" s="372">
        <v>0</v>
      </c>
      <c r="AL19" s="316"/>
      <c r="AM19" s="372">
        <v>0</v>
      </c>
      <c r="AN19" s="316"/>
      <c r="AO19" s="372">
        <v>0</v>
      </c>
      <c r="AP19" s="316"/>
      <c r="AQ19" s="372">
        <v>0</v>
      </c>
      <c r="AR19" s="316"/>
      <c r="AS19" s="372">
        <v>0</v>
      </c>
      <c r="AT19" s="316"/>
      <c r="AU19" s="372">
        <v>0</v>
      </c>
      <c r="AV19" s="316"/>
      <c r="AW19" s="372">
        <v>0</v>
      </c>
      <c r="AX19" s="316"/>
      <c r="AY19" s="372">
        <v>0</v>
      </c>
      <c r="AZ19" s="316">
        <v>1342</v>
      </c>
      <c r="BA19" s="372">
        <v>20.13</v>
      </c>
      <c r="BB19" s="316"/>
      <c r="BC19" s="372">
        <v>0</v>
      </c>
      <c r="BD19" s="316"/>
      <c r="BE19" s="372">
        <v>0</v>
      </c>
      <c r="BF19" s="316"/>
      <c r="BG19" s="372">
        <v>0</v>
      </c>
      <c r="BH19" s="316"/>
      <c r="BI19" s="372">
        <v>0</v>
      </c>
      <c r="BJ19" s="373">
        <f t="shared" si="1"/>
        <v>1342</v>
      </c>
      <c r="BK19" s="374">
        <f t="shared" si="1"/>
        <v>20.13</v>
      </c>
      <c r="BL19" s="374"/>
      <c r="BM19" s="374"/>
      <c r="BN19" s="374"/>
      <c r="BO19" s="380">
        <f t="shared" si="2"/>
        <v>20.13</v>
      </c>
    </row>
    <row r="20" spans="1:67" x14ac:dyDescent="0.25">
      <c r="A20" s="316" t="s">
        <v>486</v>
      </c>
      <c r="B20" s="328">
        <v>0</v>
      </c>
      <c r="C20" s="329">
        <v>0</v>
      </c>
      <c r="D20" s="328">
        <v>0</v>
      </c>
      <c r="E20" s="329">
        <v>0</v>
      </c>
      <c r="F20" s="328">
        <v>2425</v>
      </c>
      <c r="G20" s="329">
        <v>36.299999999999997</v>
      </c>
      <c r="H20" s="328">
        <v>0</v>
      </c>
      <c r="I20" s="329">
        <v>0</v>
      </c>
      <c r="J20" s="328">
        <v>0</v>
      </c>
      <c r="K20" s="329">
        <v>0</v>
      </c>
      <c r="L20" s="328">
        <v>2670</v>
      </c>
      <c r="M20" s="329">
        <v>40</v>
      </c>
      <c r="N20" s="328">
        <v>2838</v>
      </c>
      <c r="O20" s="329">
        <v>42.5</v>
      </c>
      <c r="P20" s="328">
        <v>2273</v>
      </c>
      <c r="Q20" s="329">
        <v>34</v>
      </c>
      <c r="R20" s="328">
        <v>1040</v>
      </c>
      <c r="S20" s="329">
        <v>15.6</v>
      </c>
      <c r="T20" s="328">
        <v>2131</v>
      </c>
      <c r="U20" s="329">
        <v>31.9</v>
      </c>
      <c r="V20" s="328">
        <v>1791</v>
      </c>
      <c r="W20" s="329">
        <v>26.8</v>
      </c>
      <c r="X20" s="328">
        <v>2413</v>
      </c>
      <c r="Y20" s="329">
        <v>36.1</v>
      </c>
      <c r="Z20" s="328">
        <v>2722</v>
      </c>
      <c r="AA20" s="329">
        <v>40.799999999999997</v>
      </c>
      <c r="AB20" s="328">
        <v>1317</v>
      </c>
      <c r="AC20" s="329">
        <v>19.75</v>
      </c>
      <c r="AD20" s="370">
        <f>+B20+D20+F20+H20+J20+L20+N20+P20+R20+T20+V20+X20+Z20+AB20</f>
        <v>21620</v>
      </c>
      <c r="AE20" s="371">
        <f>+C20+E20+G20+I20+K20+M20+O20+Q20+S20+U20+W20+Y20+AA20+AC20</f>
        <v>323.75000000000006</v>
      </c>
      <c r="AF20" s="371">
        <v>0</v>
      </c>
      <c r="AG20" s="371">
        <v>0</v>
      </c>
      <c r="AH20" s="371">
        <v>0</v>
      </c>
      <c r="AI20" s="371">
        <f t="shared" si="3"/>
        <v>323.75000000000006</v>
      </c>
      <c r="AJ20" s="316"/>
      <c r="AK20" s="372">
        <v>0</v>
      </c>
      <c r="AL20" s="316"/>
      <c r="AM20" s="372">
        <v>0</v>
      </c>
      <c r="AN20" s="316"/>
      <c r="AO20" s="372">
        <v>0</v>
      </c>
      <c r="AP20" s="316"/>
      <c r="AQ20" s="372">
        <v>0</v>
      </c>
      <c r="AR20" s="316"/>
      <c r="AS20" s="372">
        <v>0</v>
      </c>
      <c r="AT20" s="316">
        <v>0</v>
      </c>
      <c r="AU20" s="372">
        <v>0</v>
      </c>
      <c r="AV20" s="316">
        <v>1773</v>
      </c>
      <c r="AW20" s="372">
        <v>26.5</v>
      </c>
      <c r="AX20" s="316">
        <v>512</v>
      </c>
      <c r="AY20" s="372">
        <v>7.68</v>
      </c>
      <c r="AZ20" s="316">
        <v>2396</v>
      </c>
      <c r="BA20" s="372">
        <v>35.9</v>
      </c>
      <c r="BB20" s="316">
        <v>1555</v>
      </c>
      <c r="BC20" s="372">
        <v>23.32</v>
      </c>
      <c r="BD20" s="316"/>
      <c r="BE20" s="372">
        <v>0</v>
      </c>
      <c r="BF20" s="316"/>
      <c r="BG20" s="372">
        <v>0</v>
      </c>
      <c r="BH20" s="316"/>
      <c r="BI20" s="372">
        <v>0</v>
      </c>
      <c r="BJ20" s="373">
        <f>+AJ20+AL20+AN20+AP20+AR20+AT20+AV20+AX20+AZ20+BB20+BD20+BF20+BH20</f>
        <v>6236</v>
      </c>
      <c r="BK20" s="374">
        <f>+AK20+AM20+AO20+AQ20+AS20+AU20+AW20+AY20+BA20+BC20+BE20+BG20+BI20</f>
        <v>93.4</v>
      </c>
      <c r="BL20" s="374"/>
      <c r="BM20" s="374"/>
      <c r="BN20" s="374">
        <v>10</v>
      </c>
      <c r="BO20" s="380">
        <f t="shared" si="2"/>
        <v>93.4</v>
      </c>
    </row>
    <row r="21" spans="1:67" x14ac:dyDescent="0.25">
      <c r="A21" s="316" t="s">
        <v>405</v>
      </c>
      <c r="B21" s="328">
        <v>1808</v>
      </c>
      <c r="C21" s="329">
        <v>27.1</v>
      </c>
      <c r="D21" s="328">
        <v>1907</v>
      </c>
      <c r="E21" s="329">
        <v>28.6</v>
      </c>
      <c r="F21" s="328">
        <v>2997</v>
      </c>
      <c r="G21" s="329">
        <v>44.9</v>
      </c>
      <c r="H21" s="328">
        <v>0</v>
      </c>
      <c r="I21" s="329">
        <v>0</v>
      </c>
      <c r="J21" s="328">
        <v>1917</v>
      </c>
      <c r="K21" s="329">
        <v>28.7</v>
      </c>
      <c r="L21" s="328">
        <v>2125</v>
      </c>
      <c r="M21" s="329">
        <v>31.8</v>
      </c>
      <c r="N21" s="328">
        <v>2279</v>
      </c>
      <c r="O21" s="329">
        <v>34.15</v>
      </c>
      <c r="P21" s="328">
        <v>0</v>
      </c>
      <c r="Q21" s="329">
        <v>0</v>
      </c>
      <c r="R21" s="328">
        <v>0</v>
      </c>
      <c r="S21" s="329">
        <v>0</v>
      </c>
      <c r="T21" s="328">
        <v>0</v>
      </c>
      <c r="U21" s="329">
        <v>0</v>
      </c>
      <c r="V21" s="328">
        <v>0</v>
      </c>
      <c r="W21" s="329">
        <v>0</v>
      </c>
      <c r="X21" s="328">
        <v>0</v>
      </c>
      <c r="Y21" s="329">
        <v>0</v>
      </c>
      <c r="Z21" s="328">
        <v>0</v>
      </c>
      <c r="AA21" s="329">
        <v>0</v>
      </c>
      <c r="AB21" s="328">
        <v>0</v>
      </c>
      <c r="AC21" s="329">
        <v>0</v>
      </c>
      <c r="AD21" s="370">
        <f>+B21+D21+F21+H21+J21+L21+N21+P21+R21+T21+V21+X21+Z21+AB21</f>
        <v>13033</v>
      </c>
      <c r="AE21" s="371">
        <f>+C21+E21+G21+I21+K21+M21+O21+Q21+S21+U21+W21+Y21+AA21+AC21</f>
        <v>195.25</v>
      </c>
      <c r="AF21" s="371">
        <v>0</v>
      </c>
      <c r="AG21" s="371">
        <v>0</v>
      </c>
      <c r="AH21" s="371">
        <v>0</v>
      </c>
      <c r="AI21" s="371">
        <f t="shared" si="3"/>
        <v>195.25</v>
      </c>
      <c r="AJ21" s="316"/>
      <c r="AK21" s="372">
        <v>0</v>
      </c>
      <c r="AL21" s="316"/>
      <c r="AM21" s="372">
        <v>0</v>
      </c>
      <c r="AN21" s="316"/>
      <c r="AO21" s="372"/>
      <c r="AP21" s="316"/>
      <c r="AQ21" s="372">
        <v>0</v>
      </c>
      <c r="AR21" s="316"/>
      <c r="AS21" s="372">
        <v>0</v>
      </c>
      <c r="AT21" s="316"/>
      <c r="AU21" s="372"/>
      <c r="AV21" s="316"/>
      <c r="AW21" s="372">
        <v>0</v>
      </c>
      <c r="AX21" s="316"/>
      <c r="AY21" s="372">
        <v>0</v>
      </c>
      <c r="AZ21" s="316"/>
      <c r="BA21" s="372">
        <v>0</v>
      </c>
      <c r="BB21" s="316"/>
      <c r="BC21" s="372">
        <v>0</v>
      </c>
      <c r="BD21" s="316"/>
      <c r="BE21" s="372">
        <v>0</v>
      </c>
      <c r="BF21" s="316"/>
      <c r="BG21" s="372">
        <v>0</v>
      </c>
      <c r="BH21" s="316"/>
      <c r="BI21" s="372">
        <v>0</v>
      </c>
      <c r="BJ21" s="373"/>
      <c r="BK21" s="374">
        <f>+AK21+AM21+AO21+AQ21+AS21+AU21+AW21+AY21+BA21+BC21+BE21+BG21+BI21</f>
        <v>0</v>
      </c>
      <c r="BL21" s="374"/>
      <c r="BM21" s="374"/>
      <c r="BN21" s="374"/>
      <c r="BO21" s="380">
        <f t="shared" si="2"/>
        <v>0</v>
      </c>
    </row>
    <row r="22" spans="1:67" x14ac:dyDescent="0.25">
      <c r="A22" s="327" t="s">
        <v>347</v>
      </c>
      <c r="B22" s="328">
        <v>0</v>
      </c>
      <c r="C22" s="329">
        <v>14.35</v>
      </c>
      <c r="D22" s="328">
        <v>0</v>
      </c>
      <c r="E22" s="329">
        <v>14.35</v>
      </c>
      <c r="F22" s="328">
        <v>0</v>
      </c>
      <c r="G22" s="329">
        <v>14.35</v>
      </c>
      <c r="H22" s="328">
        <v>0</v>
      </c>
      <c r="I22" s="329">
        <v>14.35</v>
      </c>
      <c r="J22" s="328">
        <v>0</v>
      </c>
      <c r="K22" s="329">
        <v>14.35</v>
      </c>
      <c r="L22" s="328">
        <v>0</v>
      </c>
      <c r="M22" s="329">
        <v>14.35</v>
      </c>
      <c r="N22" s="328">
        <v>0</v>
      </c>
      <c r="O22" s="329">
        <v>14.35</v>
      </c>
      <c r="P22" s="328">
        <v>0</v>
      </c>
      <c r="Q22" s="329">
        <v>14.35</v>
      </c>
      <c r="R22" s="328">
        <v>0</v>
      </c>
      <c r="S22" s="329">
        <v>14.35</v>
      </c>
      <c r="T22" s="328">
        <v>0</v>
      </c>
      <c r="U22" s="329">
        <v>14.35</v>
      </c>
      <c r="V22" s="328">
        <v>0</v>
      </c>
      <c r="W22" s="329">
        <v>14.35</v>
      </c>
      <c r="X22" s="328">
        <v>0</v>
      </c>
      <c r="Y22" s="329">
        <v>14.35</v>
      </c>
      <c r="Z22" s="328">
        <v>0</v>
      </c>
      <c r="AA22" s="329">
        <v>14.35</v>
      </c>
      <c r="AB22" s="328">
        <v>0</v>
      </c>
      <c r="AC22" s="329">
        <v>14.35</v>
      </c>
      <c r="AD22" s="370">
        <f>+AB22+Z22+X22+V22+T22+R22+P22+N22+L22+J22+H22+F22+D22+B22</f>
        <v>0</v>
      </c>
      <c r="AE22" s="371">
        <f>+AC22+AA22+Y22+W22+U22+S22+Q22+O22+M22+K22+I22+G22+E22+C22</f>
        <v>200.89999999999995</v>
      </c>
      <c r="AF22" s="371">
        <v>0</v>
      </c>
      <c r="AG22" s="371">
        <v>0</v>
      </c>
      <c r="AH22" s="371">
        <v>0</v>
      </c>
      <c r="AI22" s="371">
        <f t="shared" si="3"/>
        <v>200.89999999999995</v>
      </c>
      <c r="AJ22" s="316"/>
      <c r="AK22" s="329">
        <v>15.38</v>
      </c>
      <c r="AL22" s="316"/>
      <c r="AM22" s="329">
        <v>15.38</v>
      </c>
      <c r="AN22" s="316"/>
      <c r="AO22" s="329">
        <v>15.38</v>
      </c>
      <c r="AP22" s="316"/>
      <c r="AQ22" s="329">
        <v>15.38</v>
      </c>
      <c r="AR22" s="316"/>
      <c r="AS22" s="329">
        <v>15.38</v>
      </c>
      <c r="AT22" s="316"/>
      <c r="AU22" s="329">
        <v>15.38</v>
      </c>
      <c r="AV22" s="316"/>
      <c r="AW22" s="329">
        <v>15.38</v>
      </c>
      <c r="AX22" s="316"/>
      <c r="AY22" s="329">
        <v>15.38</v>
      </c>
      <c r="AZ22" s="316"/>
      <c r="BA22" s="329">
        <v>15.38</v>
      </c>
      <c r="BB22" s="316"/>
      <c r="BC22" s="329">
        <v>15.38</v>
      </c>
      <c r="BD22" s="316"/>
      <c r="BE22" s="329">
        <v>15.4</v>
      </c>
      <c r="BF22" s="316"/>
      <c r="BG22" s="329">
        <v>15.4</v>
      </c>
      <c r="BH22" s="316"/>
      <c r="BI22" s="329">
        <v>15.4</v>
      </c>
      <c r="BJ22" s="373">
        <f>+AJ22+AL22+AN22+AP22+AR22+AT22+AV22+AX22+AZ22+BB22+BD22+BF22+BH22</f>
        <v>0</v>
      </c>
      <c r="BK22" s="374">
        <f>+AK22+AM22+AO22+AQ22+AS22+AU22+AW22+AY22+BA22+BC22+BE22+BG22+BI22</f>
        <v>200</v>
      </c>
      <c r="BL22" s="374">
        <v>15.4</v>
      </c>
      <c r="BM22" s="374"/>
      <c r="BN22" s="374"/>
      <c r="BO22" s="380">
        <f>BK22+BL22+BM22</f>
        <v>215.4</v>
      </c>
    </row>
    <row r="23" spans="1:67" x14ac:dyDescent="0.25">
      <c r="A23" s="327" t="s">
        <v>351</v>
      </c>
      <c r="B23" s="328">
        <v>0</v>
      </c>
      <c r="C23" s="329">
        <v>16.07</v>
      </c>
      <c r="D23" s="328">
        <v>0</v>
      </c>
      <c r="E23" s="329">
        <v>16.07</v>
      </c>
      <c r="F23" s="328">
        <v>0</v>
      </c>
      <c r="G23" s="329">
        <v>16.07</v>
      </c>
      <c r="H23" s="328">
        <v>0</v>
      </c>
      <c r="I23" s="329">
        <v>16.07</v>
      </c>
      <c r="J23" s="328">
        <v>0</v>
      </c>
      <c r="K23" s="329">
        <v>16.07</v>
      </c>
      <c r="L23" s="328">
        <v>0</v>
      </c>
      <c r="M23" s="329">
        <v>16.07</v>
      </c>
      <c r="N23" s="328">
        <v>0</v>
      </c>
      <c r="O23" s="329">
        <v>16.07</v>
      </c>
      <c r="P23" s="328">
        <v>0</v>
      </c>
      <c r="Q23" s="329">
        <v>16.07</v>
      </c>
      <c r="R23" s="328">
        <v>0</v>
      </c>
      <c r="S23" s="329">
        <v>16.07</v>
      </c>
      <c r="T23" s="328">
        <v>0</v>
      </c>
      <c r="U23" s="329">
        <v>16.07</v>
      </c>
      <c r="V23" s="328">
        <v>0</v>
      </c>
      <c r="W23" s="329">
        <v>16.07</v>
      </c>
      <c r="X23" s="328">
        <v>0</v>
      </c>
      <c r="Y23" s="329">
        <v>16.07</v>
      </c>
      <c r="Z23" s="328">
        <v>0</v>
      </c>
      <c r="AA23" s="329">
        <v>16.07</v>
      </c>
      <c r="AB23" s="328">
        <v>0</v>
      </c>
      <c r="AC23" s="329">
        <v>16.07</v>
      </c>
      <c r="AD23" s="370">
        <f>+AB23+Z23+X23+V23+T23+R23+P23+N23+L23+J23+H23+F23+D23+B23</f>
        <v>0</v>
      </c>
      <c r="AE23" s="371">
        <f>+AC23+AA23+Y23+W23+U23+S23+Q23+O23+M23+K23+I23+G23+E23+C23</f>
        <v>224.97999999999993</v>
      </c>
      <c r="AF23" s="371">
        <v>0</v>
      </c>
      <c r="AG23" s="371">
        <v>0</v>
      </c>
      <c r="AH23" s="371">
        <v>0</v>
      </c>
      <c r="AI23" s="371">
        <f t="shared" si="3"/>
        <v>224.97999999999993</v>
      </c>
      <c r="AJ23" s="316"/>
      <c r="AK23" s="329">
        <v>17.3</v>
      </c>
      <c r="AL23" s="316"/>
      <c r="AM23" s="329">
        <v>17.3</v>
      </c>
      <c r="AN23" s="316"/>
      <c r="AO23" s="329">
        <v>17.3</v>
      </c>
      <c r="AP23" s="316"/>
      <c r="AQ23" s="329">
        <v>17.3</v>
      </c>
      <c r="AR23" s="316"/>
      <c r="AS23" s="329">
        <v>17.3</v>
      </c>
      <c r="AT23" s="316"/>
      <c r="AU23" s="329">
        <v>17.3</v>
      </c>
      <c r="AV23" s="316"/>
      <c r="AW23" s="329">
        <v>17.3</v>
      </c>
      <c r="AX23" s="316"/>
      <c r="AY23" s="329">
        <v>17.3</v>
      </c>
      <c r="AZ23" s="316"/>
      <c r="BA23" s="329">
        <v>17.3</v>
      </c>
      <c r="BB23" s="316"/>
      <c r="BC23" s="329">
        <v>17.3</v>
      </c>
      <c r="BD23" s="316"/>
      <c r="BE23" s="329">
        <v>17.3</v>
      </c>
      <c r="BF23" s="316"/>
      <c r="BG23" s="329">
        <v>17.3</v>
      </c>
      <c r="BH23" s="316"/>
      <c r="BI23" s="329">
        <v>17.399999999999999</v>
      </c>
      <c r="BJ23" s="373">
        <f>+AJ23+AL23+AN23+AP23+AR23+AT23+AV23+AX23+AZ23+BB23+BD23+BF23+BH23</f>
        <v>0</v>
      </c>
      <c r="BK23" s="374">
        <f>+AK23+AM23+AO23+AQ23+AS23+AU23+AW23+AY23+BA23+BC23+BE23+BG23+BI23</f>
        <v>225.00000000000006</v>
      </c>
      <c r="BL23" s="374"/>
      <c r="BM23" s="374"/>
      <c r="BN23" s="374"/>
      <c r="BO23" s="380">
        <f>BK23+BL23+BM23</f>
        <v>225.00000000000006</v>
      </c>
    </row>
    <row r="24" spans="1:67" x14ac:dyDescent="0.25">
      <c r="A24" s="381"/>
      <c r="B24" s="382"/>
      <c r="C24" s="383"/>
      <c r="D24" s="382"/>
      <c r="E24" s="383"/>
      <c r="F24" s="382"/>
      <c r="G24" s="383"/>
      <c r="H24" s="382"/>
      <c r="I24" s="383"/>
      <c r="J24" s="382"/>
      <c r="K24" s="383"/>
      <c r="L24" s="382"/>
      <c r="M24" s="383"/>
      <c r="N24" s="382"/>
      <c r="O24" s="383"/>
      <c r="P24" s="382"/>
      <c r="Q24" s="383"/>
      <c r="R24" s="382"/>
      <c r="S24" s="383"/>
      <c r="T24" s="382"/>
      <c r="U24" s="383"/>
      <c r="V24" s="382"/>
      <c r="W24" s="383"/>
      <c r="X24" s="382"/>
      <c r="Y24" s="383"/>
      <c r="Z24" s="382"/>
      <c r="AA24" s="383"/>
      <c r="AB24" s="382"/>
      <c r="AC24" s="383"/>
      <c r="AD24" s="384"/>
      <c r="AE24" s="385"/>
      <c r="AF24" s="385"/>
      <c r="AG24" s="385"/>
      <c r="AH24" s="385"/>
      <c r="AI24" s="385"/>
      <c r="AJ24" s="386"/>
      <c r="AK24" s="387"/>
      <c r="AL24" s="386"/>
      <c r="AM24" s="387"/>
      <c r="AN24" s="386"/>
      <c r="AO24" s="387"/>
      <c r="AP24" s="386"/>
      <c r="AQ24" s="387"/>
      <c r="AR24" s="386"/>
      <c r="AS24" s="387"/>
      <c r="AT24" s="386"/>
      <c r="AU24" s="387"/>
      <c r="AV24" s="386"/>
      <c r="AW24" s="387"/>
      <c r="AX24" s="386"/>
      <c r="AY24" s="387"/>
      <c r="AZ24" s="386"/>
      <c r="BA24" s="387"/>
      <c r="BB24" s="386"/>
      <c r="BC24" s="387"/>
      <c r="BD24" s="386"/>
      <c r="BE24" s="387"/>
      <c r="BF24" s="386"/>
      <c r="BG24" s="387"/>
      <c r="BH24" s="386"/>
      <c r="BI24" s="387"/>
      <c r="BJ24" s="388"/>
      <c r="BK24" s="389"/>
      <c r="BL24" s="389"/>
      <c r="BM24" s="389"/>
      <c r="BN24" s="389"/>
      <c r="BO24" s="390"/>
    </row>
    <row r="25" spans="1:67" x14ac:dyDescent="0.25">
      <c r="A25" s="377"/>
      <c r="AH25" s="378">
        <f>SUM(AH3:AH21)</f>
        <v>110</v>
      </c>
      <c r="AI25" s="391">
        <f>SUM(AI3:AI23)</f>
        <v>6590.1699999999983</v>
      </c>
      <c r="BN25" s="378">
        <f>SUM(BN3:BN21)</f>
        <v>90</v>
      </c>
      <c r="BO25" s="353">
        <f>SUM(BO3:BO23)</f>
        <v>3038.2500000000009</v>
      </c>
    </row>
  </sheetData>
  <mergeCells count="30">
    <mergeCell ref="J1:K1"/>
    <mergeCell ref="A1:A2"/>
    <mergeCell ref="B1:C1"/>
    <mergeCell ref="D1:E1"/>
    <mergeCell ref="F1:G1"/>
    <mergeCell ref="H1:I1"/>
    <mergeCell ref="X1:Y1"/>
    <mergeCell ref="Z1:AA1"/>
    <mergeCell ref="AB1:AC1"/>
    <mergeCell ref="AD1:AI1"/>
    <mergeCell ref="L1:M1"/>
    <mergeCell ref="N1:O1"/>
    <mergeCell ref="P1:Q1"/>
    <mergeCell ref="R1:S1"/>
    <mergeCell ref="T1:U1"/>
    <mergeCell ref="V1:W1"/>
    <mergeCell ref="AJ1:AK1"/>
    <mergeCell ref="AL1:AM1"/>
    <mergeCell ref="AN1:AO1"/>
    <mergeCell ref="AP1:AQ1"/>
    <mergeCell ref="AR1:AS1"/>
    <mergeCell ref="BD1:BE1"/>
    <mergeCell ref="BF1:BG1"/>
    <mergeCell ref="BH1:BI1"/>
    <mergeCell ref="BJ1:BO1"/>
    <mergeCell ref="AT1:AU1"/>
    <mergeCell ref="AV1:AW1"/>
    <mergeCell ref="AX1:AY1"/>
    <mergeCell ref="AZ1:BA1"/>
    <mergeCell ref="BB1:BC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opLeftCell="A7" workbookViewId="0">
      <selection activeCell="D30" sqref="D30"/>
    </sheetView>
  </sheetViews>
  <sheetFormatPr baseColWidth="10" defaultRowHeight="15" x14ac:dyDescent="0.25"/>
  <cols>
    <col min="1" max="1" width="3.28515625" customWidth="1"/>
    <col min="2" max="2" width="42.42578125" customWidth="1"/>
    <col min="3" max="3" width="8.85546875" customWidth="1"/>
    <col min="4" max="4" width="13.140625" customWidth="1"/>
    <col min="5" max="5" width="8.85546875" customWidth="1"/>
    <col min="6" max="6" width="12.28515625" customWidth="1"/>
    <col min="7" max="8" width="11.42578125" customWidth="1"/>
    <col min="9" max="9" width="40.7109375" customWidth="1"/>
    <col min="10" max="10" width="11.42578125" customWidth="1"/>
  </cols>
  <sheetData>
    <row r="1" spans="1:9" ht="26.25" x14ac:dyDescent="0.4">
      <c r="A1" s="1481" t="s">
        <v>391</v>
      </c>
      <c r="B1" s="1481"/>
      <c r="C1" s="1481"/>
      <c r="D1" s="1481"/>
      <c r="E1" s="1481"/>
      <c r="F1" s="1481"/>
      <c r="G1" s="1481"/>
      <c r="H1" s="1481"/>
      <c r="I1" s="1481"/>
    </row>
    <row r="3" spans="1:9" ht="25.5" x14ac:dyDescent="0.25">
      <c r="A3" s="302" t="s">
        <v>255</v>
      </c>
      <c r="B3" s="303" t="s">
        <v>392</v>
      </c>
      <c r="C3" s="304" t="s">
        <v>393</v>
      </c>
      <c r="D3" s="305" t="s">
        <v>394</v>
      </c>
      <c r="E3" s="304" t="s">
        <v>393</v>
      </c>
      <c r="F3" s="305" t="s">
        <v>395</v>
      </c>
      <c r="G3" s="306" t="s">
        <v>396</v>
      </c>
      <c r="H3" s="307" t="s">
        <v>303</v>
      </c>
      <c r="I3" s="308" t="s">
        <v>281</v>
      </c>
    </row>
    <row r="4" spans="1:9" s="314" customFormat="1" ht="15.75" x14ac:dyDescent="0.25">
      <c r="A4" s="309">
        <v>3</v>
      </c>
      <c r="B4" s="309" t="s">
        <v>366</v>
      </c>
      <c r="C4" s="310">
        <v>11</v>
      </c>
      <c r="D4" s="311">
        <v>200</v>
      </c>
      <c r="E4" s="312"/>
      <c r="F4" s="311">
        <v>200</v>
      </c>
      <c r="G4" s="312">
        <f t="shared" ref="G4:H14" si="0">+C4+E4</f>
        <v>11</v>
      </c>
      <c r="H4" s="313">
        <f t="shared" si="0"/>
        <v>400</v>
      </c>
      <c r="I4" s="315"/>
    </row>
    <row r="5" spans="1:9" s="314" customFormat="1" ht="15.75" x14ac:dyDescent="0.25">
      <c r="A5" s="309">
        <v>5</v>
      </c>
      <c r="B5" s="309" t="s">
        <v>368</v>
      </c>
      <c r="C5" s="310">
        <v>11</v>
      </c>
      <c r="D5" s="311">
        <v>200</v>
      </c>
      <c r="E5" s="310"/>
      <c r="F5" s="311">
        <v>200</v>
      </c>
      <c r="G5" s="312">
        <f t="shared" si="0"/>
        <v>11</v>
      </c>
      <c r="H5" s="313">
        <f t="shared" si="0"/>
        <v>400</v>
      </c>
      <c r="I5" s="315"/>
    </row>
    <row r="6" spans="1:9" s="314" customFormat="1" ht="15.75" x14ac:dyDescent="0.25">
      <c r="A6" s="309">
        <v>6</v>
      </c>
      <c r="B6" s="309" t="s">
        <v>369</v>
      </c>
      <c r="C6" s="310">
        <v>11</v>
      </c>
      <c r="D6" s="311">
        <v>200</v>
      </c>
      <c r="E6" s="312"/>
      <c r="F6" s="311">
        <v>200</v>
      </c>
      <c r="G6" s="312">
        <f t="shared" si="0"/>
        <v>11</v>
      </c>
      <c r="H6" s="313">
        <f t="shared" si="0"/>
        <v>400</v>
      </c>
      <c r="I6" s="315"/>
    </row>
    <row r="7" spans="1:9" s="314" customFormat="1" ht="15.75" x14ac:dyDescent="0.25">
      <c r="A7" s="309">
        <v>7</v>
      </c>
      <c r="B7" s="309" t="s">
        <v>370</v>
      </c>
      <c r="C7" s="310">
        <v>11</v>
      </c>
      <c r="D7" s="311">
        <v>200</v>
      </c>
      <c r="E7" s="312"/>
      <c r="F7" s="311">
        <v>200</v>
      </c>
      <c r="G7" s="312">
        <f t="shared" si="0"/>
        <v>11</v>
      </c>
      <c r="H7" s="313">
        <f t="shared" si="0"/>
        <v>400</v>
      </c>
      <c r="I7" s="315"/>
    </row>
    <row r="8" spans="1:9" s="314" customFormat="1" ht="15.75" x14ac:dyDescent="0.25">
      <c r="A8" s="309">
        <v>9</v>
      </c>
      <c r="B8" s="317" t="s">
        <v>372</v>
      </c>
      <c r="C8" s="310">
        <v>11</v>
      </c>
      <c r="D8" s="311">
        <v>220</v>
      </c>
      <c r="E8" s="312"/>
      <c r="F8" s="311">
        <v>180</v>
      </c>
      <c r="G8" s="312">
        <f t="shared" si="0"/>
        <v>11</v>
      </c>
      <c r="H8" s="313">
        <f t="shared" si="0"/>
        <v>400</v>
      </c>
      <c r="I8" s="318"/>
    </row>
    <row r="9" spans="1:9" ht="15.75" x14ac:dyDescent="0.25">
      <c r="A9" s="309">
        <v>12</v>
      </c>
      <c r="B9" s="309" t="s">
        <v>375</v>
      </c>
      <c r="C9" s="310">
        <v>11</v>
      </c>
      <c r="D9" s="311">
        <v>250</v>
      </c>
      <c r="E9" s="312"/>
      <c r="F9" s="311">
        <v>250</v>
      </c>
      <c r="G9" s="312">
        <f t="shared" si="0"/>
        <v>11</v>
      </c>
      <c r="H9" s="313">
        <f t="shared" si="0"/>
        <v>500</v>
      </c>
      <c r="I9" s="269"/>
    </row>
    <row r="10" spans="1:9" ht="15.75" x14ac:dyDescent="0.25">
      <c r="A10" s="309">
        <v>13</v>
      </c>
      <c r="B10" s="309" t="s">
        <v>376</v>
      </c>
      <c r="C10" s="310">
        <v>11</v>
      </c>
      <c r="D10" s="311">
        <v>225</v>
      </c>
      <c r="E10" s="312"/>
      <c r="F10" s="311">
        <v>225</v>
      </c>
      <c r="G10" s="312">
        <f t="shared" si="0"/>
        <v>11</v>
      </c>
      <c r="H10" s="313">
        <f t="shared" si="0"/>
        <v>450</v>
      </c>
      <c r="I10" s="269"/>
    </row>
    <row r="11" spans="1:9" ht="15.75" x14ac:dyDescent="0.25">
      <c r="A11" s="309">
        <v>14</v>
      </c>
      <c r="B11" s="309" t="s">
        <v>853</v>
      </c>
      <c r="C11" s="310"/>
      <c r="D11" s="311">
        <v>275</v>
      </c>
      <c r="E11" s="319"/>
      <c r="F11" s="311">
        <v>275</v>
      </c>
      <c r="G11" s="312">
        <f t="shared" si="0"/>
        <v>0</v>
      </c>
      <c r="H11" s="313">
        <f t="shared" si="0"/>
        <v>550</v>
      </c>
      <c r="I11" s="269"/>
    </row>
    <row r="12" spans="1:9" ht="15.75" x14ac:dyDescent="0.25">
      <c r="A12" s="309">
        <v>15</v>
      </c>
      <c r="B12" s="309" t="s">
        <v>850</v>
      </c>
      <c r="C12" s="310"/>
      <c r="D12" s="311">
        <v>275</v>
      </c>
      <c r="E12" s="319"/>
      <c r="F12" s="311">
        <v>275</v>
      </c>
      <c r="G12" s="312">
        <f t="shared" si="0"/>
        <v>0</v>
      </c>
      <c r="H12" s="313">
        <f t="shared" si="0"/>
        <v>550</v>
      </c>
      <c r="I12" s="269"/>
    </row>
    <row r="13" spans="1:9" ht="15.75" x14ac:dyDescent="0.25">
      <c r="A13" s="309">
        <v>16</v>
      </c>
      <c r="B13" s="309" t="s">
        <v>851</v>
      </c>
      <c r="C13" s="310"/>
      <c r="D13" s="311">
        <v>275</v>
      </c>
      <c r="E13" s="319"/>
      <c r="F13" s="311">
        <v>275</v>
      </c>
      <c r="G13" s="312">
        <f t="shared" si="0"/>
        <v>0</v>
      </c>
      <c r="H13" s="313">
        <f t="shared" si="0"/>
        <v>550</v>
      </c>
      <c r="I13" s="269"/>
    </row>
    <row r="14" spans="1:9" ht="15.75" x14ac:dyDescent="0.25">
      <c r="A14" s="309">
        <v>17</v>
      </c>
      <c r="B14" s="309" t="s">
        <v>852</v>
      </c>
      <c r="C14" s="310"/>
      <c r="D14" s="311">
        <v>200</v>
      </c>
      <c r="E14" s="319"/>
      <c r="F14" s="311">
        <v>200</v>
      </c>
      <c r="G14" s="312">
        <f t="shared" si="0"/>
        <v>0</v>
      </c>
      <c r="H14" s="313">
        <f t="shared" si="0"/>
        <v>400</v>
      </c>
      <c r="I14" s="269"/>
    </row>
    <row r="15" spans="1:9" s="314" customFormat="1" ht="15.75" x14ac:dyDescent="0.25">
      <c r="A15" s="309">
        <v>1</v>
      </c>
      <c r="B15" s="309" t="s">
        <v>364</v>
      </c>
      <c r="C15" s="310">
        <v>7</v>
      </c>
      <c r="D15" s="311">
        <v>140</v>
      </c>
      <c r="E15" s="312"/>
      <c r="F15" s="311">
        <v>200</v>
      </c>
      <c r="G15" s="312">
        <v>11</v>
      </c>
      <c r="H15" s="1037">
        <f t="shared" ref="H15:H20" si="1">+D15+F15</f>
        <v>340</v>
      </c>
      <c r="I15" s="315" t="s">
        <v>397</v>
      </c>
    </row>
    <row r="16" spans="1:9" s="314" customFormat="1" ht="15.75" x14ac:dyDescent="0.25">
      <c r="A16" s="309">
        <v>2</v>
      </c>
      <c r="B16" s="309" t="s">
        <v>365</v>
      </c>
      <c r="C16" s="310">
        <v>11</v>
      </c>
      <c r="D16" s="311">
        <v>200</v>
      </c>
      <c r="E16" s="312">
        <v>0</v>
      </c>
      <c r="F16" s="311">
        <v>0</v>
      </c>
      <c r="G16" s="312">
        <f>+C16+E16</f>
        <v>11</v>
      </c>
      <c r="H16" s="1037">
        <f t="shared" si="1"/>
        <v>200</v>
      </c>
      <c r="I16" s="315" t="s">
        <v>397</v>
      </c>
    </row>
    <row r="17" spans="1:9" s="314" customFormat="1" ht="15.75" x14ac:dyDescent="0.25">
      <c r="A17" s="309">
        <v>4</v>
      </c>
      <c r="B17" s="309" t="s">
        <v>367</v>
      </c>
      <c r="C17" s="310">
        <v>11</v>
      </c>
      <c r="D17" s="311">
        <v>200</v>
      </c>
      <c r="E17" s="312"/>
      <c r="F17" s="311">
        <v>140</v>
      </c>
      <c r="G17" s="312">
        <f>+C17+E17</f>
        <v>11</v>
      </c>
      <c r="H17" s="1037">
        <f t="shared" si="1"/>
        <v>340</v>
      </c>
      <c r="I17" s="316" t="s">
        <v>397</v>
      </c>
    </row>
    <row r="18" spans="1:9" ht="30" x14ac:dyDescent="0.25">
      <c r="A18" s="309">
        <v>11</v>
      </c>
      <c r="B18" s="317" t="s">
        <v>374</v>
      </c>
      <c r="C18" s="1038">
        <v>11</v>
      </c>
      <c r="D18" s="1039">
        <v>200</v>
      </c>
      <c r="E18" s="1040"/>
      <c r="F18" s="1039">
        <v>260</v>
      </c>
      <c r="G18" s="1040">
        <f>+C18+E18+3</f>
        <v>14</v>
      </c>
      <c r="H18" s="1041">
        <f t="shared" si="1"/>
        <v>460</v>
      </c>
      <c r="I18" s="1042" t="s">
        <v>849</v>
      </c>
    </row>
    <row r="19" spans="1:9" s="314" customFormat="1" ht="15.75" x14ac:dyDescent="0.25">
      <c r="A19" s="309">
        <v>8</v>
      </c>
      <c r="B19" s="317" t="s">
        <v>371</v>
      </c>
      <c r="C19" s="310">
        <v>11</v>
      </c>
      <c r="D19" s="311">
        <v>200</v>
      </c>
      <c r="E19" s="312"/>
      <c r="F19" s="311">
        <v>260</v>
      </c>
      <c r="G19" s="312">
        <f>+C19+E19</f>
        <v>11</v>
      </c>
      <c r="H19" s="313">
        <f t="shared" si="1"/>
        <v>460</v>
      </c>
      <c r="I19" s="315" t="s">
        <v>397</v>
      </c>
    </row>
    <row r="20" spans="1:9" ht="15.75" x14ac:dyDescent="0.25">
      <c r="A20" s="309">
        <v>10</v>
      </c>
      <c r="B20" s="317" t="s">
        <v>373</v>
      </c>
      <c r="C20" s="310">
        <v>11</v>
      </c>
      <c r="D20" s="311">
        <v>200</v>
      </c>
      <c r="E20" s="312"/>
      <c r="F20" s="311">
        <v>280</v>
      </c>
      <c r="G20" s="312">
        <f>+C20+E20</f>
        <v>11</v>
      </c>
      <c r="H20" s="313">
        <f t="shared" si="1"/>
        <v>480</v>
      </c>
      <c r="I20" s="315" t="s">
        <v>397</v>
      </c>
    </row>
    <row r="21" spans="1:9" x14ac:dyDescent="0.25">
      <c r="H21" s="54">
        <f>SUM(H4:H20)</f>
        <v>7280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ROL_UNIFICADO</vt:lpstr>
      <vt:lpstr>TALLER ACTIVOS</vt:lpstr>
      <vt:lpstr>TALLER RETIRADOS</vt:lpstr>
      <vt:lpstr>VIVERO</vt:lpstr>
      <vt:lpstr>ENCOLAJE</vt:lpstr>
      <vt:lpstr>MADERA VERDE</vt:lpstr>
      <vt:lpstr>ASERRIO</vt:lpstr>
      <vt:lpstr>CALDERO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Mantellod</dc:creator>
  <cp:lastModifiedBy>usuario</cp:lastModifiedBy>
  <dcterms:created xsi:type="dcterms:W3CDTF">2020-12-10T21:39:28Z</dcterms:created>
  <dcterms:modified xsi:type="dcterms:W3CDTF">2021-08-28T15:26:39Z</dcterms:modified>
</cp:coreProperties>
</file>