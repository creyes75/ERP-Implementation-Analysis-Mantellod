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Vacaciones\Mante\Procesos\MTLD-Procesos\"/>
    </mc:Choice>
  </mc:AlternateContent>
  <xr:revisionPtr revIDLastSave="0" documentId="13_ncr:1_{C5560779-A4FF-4E87-90BA-4D210313A386}" xr6:coauthVersionLast="45" xr6:coauthVersionMax="46" xr10:uidLastSave="{00000000-0000-0000-0000-000000000000}"/>
  <bookViews>
    <workbookView xWindow="-120" yWindow="-120" windowWidth="20730" windowHeight="11160" tabRatio="783" firstSheet="1" activeTab="2" xr2:uid="{77D11CB3-0DE3-4E46-ABCE-1B62228C5855}"/>
  </bookViews>
  <sheets>
    <sheet name="01.Proc. Compras" sheetId="1" r:id="rId1"/>
    <sheet name="Matriz de Definiciones" sheetId="3" r:id="rId2"/>
    <sheet name="Maestro de Artículos" sheetId="8" r:id="rId3"/>
    <sheet name="Maestro de Proveedores" sheetId="4" r:id="rId4"/>
    <sheet name="Políticas" sheetId="5" r:id="rId5"/>
    <sheet name="Niveles de Autorización" sheetId="6" r:id="rId6"/>
    <sheet name="Centros de Costo" sheetId="7" r:id="rId7"/>
    <sheet name="MA001" sheetId="2" r:id="rId8"/>
    <sheet name="MA002" sheetId="9" r:id="rId9"/>
  </sheets>
  <definedNames>
    <definedName name="_xlnm._FilterDatabase" localSheetId="1" hidden="1">'Matriz de Definiciones'!$B$4:$K$33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8" l="1"/>
  <c r="H40" i="8"/>
  <c r="H41" i="8"/>
  <c r="H42" i="8"/>
  <c r="H43" i="8"/>
  <c r="H44" i="8"/>
  <c r="H45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9" i="8"/>
  <c r="H10" i="8"/>
  <c r="H8" i="8"/>
  <c r="H7" i="8"/>
  <c r="H5" i="8"/>
  <c r="H7" i="9"/>
  <c r="H6" i="9"/>
  <c r="H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tc={5D3B052A-48E7-4C3C-985F-9EA531658977}</author>
    <author>tc={7C8D2A9E-6EEE-4D5E-A4D3-5A07218A36E8}</author>
    <author>tc={9E83BCE2-4B6E-427D-8AB5-68AE185F01EC}</author>
    <author>tc={DDF97040-DFF9-440F-B704-81BDD8787139}</author>
  </authors>
  <commentList>
    <comment ref="B14" authorId="0" shapeId="0" xr:uid="{5D3B052A-48E7-4C3C-985F-9EA5316589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Albán y Ramírez</t>
      </text>
    </comment>
    <comment ref="E16" authorId="1" shapeId="0" xr:uid="{7C8D2A9E-6EEE-4D5E-A4D3-5A07218A36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Existen varias operativas en los Centros de Acopio:
1. El proveedor llega a CA a vender su madera.
2. El supervisor recorre la zona en busca de madera.</t>
      </text>
    </comment>
    <comment ref="E17" authorId="2" shapeId="0" xr:uid="{9E83BCE2-4B6E-427D-8AB5-68AE185F01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ciertos Centros de Acopio la madera no es etiquetada con la identificación del comprador correspondiente (San Francisco)</t>
      </text>
    </comment>
    <comment ref="E20" authorId="3" shapeId="0" xr:uid="{DDF97040-DFF9-440F-B704-81BDD87871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Albán y Ramirez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tc={6D34C21D-AD21-457C-9635-4615BB0595C8}</author>
  </authors>
  <commentList>
    <comment ref="C16" authorId="0" shapeId="0" xr:uid="{6D34C21D-AD21-457C-9635-4615BB059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Políticas sugeridas:
•	Los supervisores puedan gestionar solo en sus almacenes por defecto
•	Se manejaran Series de Documentos por cada localidad
•	Se debería poder controlar la venta de items sin decimales a menos q la unidad de medida sea el bloque, si es btf si se podria (SAP por defecto permite decimales)
•	Cómo se realizará la valoración del servicio de transporte como se calculara?  sera un articulo mas?, estará dentro del costo de la MP?
•	Limitar el ingreso de una MP para un proceso q no le corresponda. Es decir para el 1er proceso  solo puede entrar madera en tuco. no madera aserrada.
•	no se puede vender si el artículo no tiene un costo establecido
•	Restricciones de ingreso por monto a solicitudes de compra dependiendo de las necesidades o del área involucrada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tc={657845C8-FE41-4C65-AC5E-C4A9442397E7}</author>
  </authors>
  <commentList>
    <comment ref="K5" authorId="0" shapeId="0" xr:uid="{657845C8-FE41-4C65-AC5E-C4A944239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si el ingreso de cada nuevo atributo es obligatorio u opcional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tc={50F9B2B8-F98A-4D02-A8B7-8B893D7596E0}</author>
  </authors>
  <commentList>
    <comment ref="I5" authorId="0" shapeId="0" xr:uid="{50F9B2B8-F98A-4D02-A8B7-8B893D759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si el ingreso de cada nuevo atributo es obligatorio u opcional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tc={F5CF31CD-174A-4B3D-8B07-AB1C635C3287}</author>
  </authors>
  <commentList>
    <comment ref="K5" authorId="0" shapeId="0" xr:uid="{F5CF31CD-174A-4B3D-8B07-AB1C635C32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si el ingreso de cada nuevo atributo es obligatorio u opcional</t>
      </text>
    </comment>
  </commentList>
</comments>
</file>

<file path=xl/sharedStrings.xml><?xml version="1.0" encoding="utf-8"?>
<sst xmlns="http://schemas.openxmlformats.org/spreadsheetml/2006/main" count="718" uniqueCount="392">
  <si>
    <t>Materia Prima</t>
  </si>
  <si>
    <t>Área de Secado</t>
  </si>
  <si>
    <t>Necesidad del área de Producción</t>
  </si>
  <si>
    <t>Jefe de Planta</t>
  </si>
  <si>
    <t>Supervisores</t>
  </si>
  <si>
    <t>Entrega de valor monetario para la Compra</t>
  </si>
  <si>
    <t>Centros de Acopio</t>
  </si>
  <si>
    <t>Bosques</t>
  </si>
  <si>
    <t>Proveedor Externo</t>
  </si>
  <si>
    <t>Planta de El Carmen</t>
  </si>
  <si>
    <t>Secretaría de Madera Prima</t>
  </si>
  <si>
    <t>Supervisor</t>
  </si>
  <si>
    <t>Proceso de Gestión de Presupuesto</t>
  </si>
  <si>
    <t>Gerencia Administrativa</t>
  </si>
  <si>
    <t>Realiza la compra, negocia descuentos y formas de pago</t>
  </si>
  <si>
    <t>Reciben los productos</t>
  </si>
  <si>
    <t>Registro de información en el formulario de Compra</t>
  </si>
  <si>
    <t>Recepción de requerimientos de las diferentes áreas de la empresa</t>
  </si>
  <si>
    <t>Genera la retención</t>
  </si>
  <si>
    <t>Charito Plúas</t>
  </si>
  <si>
    <t>Bodeguero</t>
  </si>
  <si>
    <t>Oficina Guayaquil</t>
  </si>
  <si>
    <t xml:space="preserve">Suministros </t>
  </si>
  <si>
    <t>Insumos</t>
  </si>
  <si>
    <t>Comprobante de Retención</t>
  </si>
  <si>
    <t>Ofic. Matriz Gye</t>
  </si>
  <si>
    <t>Proveedores</t>
  </si>
  <si>
    <t>Orden de Compra</t>
  </si>
  <si>
    <t>Área de Compras de la PLANTA</t>
  </si>
  <si>
    <t>Christian Paredes</t>
  </si>
  <si>
    <t>Esther Sepa</t>
  </si>
  <si>
    <t>Ofic. Administrativa de la PLANTA</t>
  </si>
  <si>
    <t>Asistente Administrativa Ofic. Gye</t>
  </si>
  <si>
    <t>Listado de Productos requeridos</t>
  </si>
  <si>
    <t>Cotizaciones</t>
  </si>
  <si>
    <t>Planta El Carmen</t>
  </si>
  <si>
    <t>Requerimiento de Compra de Materia Prima 
(sin especificación de cantidad)</t>
  </si>
  <si>
    <t>Envía la foto del Formulario a oficina Matriz y a la Planta</t>
  </si>
  <si>
    <t>Planta El Carmen (requisiciones urgentes)</t>
  </si>
  <si>
    <t>Fernando Guarderas (Bodeguero)</t>
  </si>
  <si>
    <t>Consolida las requisiciones en un archivo de excel (Orden de Requerimiento)</t>
  </si>
  <si>
    <t>Recibe y clasifica los artículos para solicitar cotizaciones</t>
  </si>
  <si>
    <t>Christian Paredes
Esther Sepa</t>
  </si>
  <si>
    <t>Recibe los productos</t>
  </si>
  <si>
    <t>Orden de Requerimiento</t>
  </si>
  <si>
    <t>PROVEEDOR</t>
  </si>
  <si>
    <t>ENTRADA</t>
  </si>
  <si>
    <t>PROCESO</t>
  </si>
  <si>
    <t>SALIDA</t>
  </si>
  <si>
    <t>CLIENTE</t>
  </si>
  <si>
    <t>Compra de Materia Prima</t>
  </si>
  <si>
    <t>Compra de Suministros e Insumos</t>
  </si>
  <si>
    <t>Recepción de monto asignado</t>
  </si>
  <si>
    <t>Informan el costo máximo por BFT (límite)</t>
  </si>
  <si>
    <t>Formulario de Compra</t>
  </si>
  <si>
    <t>Estado de Cuenta del Supervisor
Recibo del pago</t>
  </si>
  <si>
    <t>Libro Banco</t>
  </si>
  <si>
    <t>Bancos</t>
  </si>
  <si>
    <t>Secretaría de Materia Prima</t>
  </si>
  <si>
    <t>Reporte de valores por asignar para la compra</t>
  </si>
  <si>
    <t>Recepción de Materia Prima en la Planta</t>
  </si>
  <si>
    <t>Supervisor de Área de Aserrío
Supervisor de Área de Secado</t>
  </si>
  <si>
    <t>Informe quincenal de compra de Materia Prima (por Centro de Acopio)</t>
  </si>
  <si>
    <t>Compra de Materia Prima 
(tuco o aserrada)</t>
  </si>
  <si>
    <t>Registro de cantidad de Materia Prima Adquirida (quincenal)</t>
  </si>
  <si>
    <t>Registro en Bitácora de materia prima recibida</t>
  </si>
  <si>
    <t>Proveedores que entregan en la Planta la MP</t>
  </si>
  <si>
    <t>Recepta Facturas de Proveedores Externos</t>
  </si>
  <si>
    <t>Mensaje por Whatsapp</t>
  </si>
  <si>
    <t>Área de Aserrío</t>
  </si>
  <si>
    <t>Área de Contabilidad 
(Ofic. Matriz)</t>
  </si>
  <si>
    <t>Área de Producción 
(Taller)</t>
  </si>
  <si>
    <t>Secretaria de Materia Prima</t>
  </si>
  <si>
    <t>Envía la Orden de Requerimiento junto con las cotizaciones a Oficina Matriz Gye (por correo y por whastapp).</t>
  </si>
  <si>
    <t>Gerente Administrativa</t>
  </si>
  <si>
    <t>Área de Contabilidad 
(Ofic. Matriz Gye)</t>
  </si>
  <si>
    <t>Recepción de requerimientos</t>
  </si>
  <si>
    <t>Anderson Barreto</t>
  </si>
  <si>
    <t>Anderson Barreto
Junior Cevallos</t>
  </si>
  <si>
    <t xml:space="preserve">Solicitan valor monetario de caja chica </t>
  </si>
  <si>
    <t>Entrega valor monetario (recepta recibo firmado)</t>
  </si>
  <si>
    <t>José Veliz</t>
  </si>
  <si>
    <t>Entrega de Facturas</t>
  </si>
  <si>
    <t>Realiza compra de los productos</t>
  </si>
  <si>
    <t>Compra de Servicios</t>
  </si>
  <si>
    <t>Jefes de área de la Planta</t>
  </si>
  <si>
    <t>Elaboran Solicitud de Requerimiento</t>
  </si>
  <si>
    <t>Solicitan autorización para la compra</t>
  </si>
  <si>
    <t>Fernando Guarderas 
Bodeguero</t>
  </si>
  <si>
    <t>MPR</t>
  </si>
  <si>
    <t>COD. GRUPO</t>
  </si>
  <si>
    <t>Oficina Guayaquil y Planta El Carmen</t>
  </si>
  <si>
    <t>Comprobante de recepción del dinero</t>
  </si>
  <si>
    <t>Requerimiento</t>
  </si>
  <si>
    <t>Requerimientos (servicios básicos, internet, consultoría)</t>
  </si>
  <si>
    <t>Gerente Administrativo</t>
  </si>
  <si>
    <t>Personal de oficina</t>
  </si>
  <si>
    <t>Mariuxi Saman</t>
  </si>
  <si>
    <t>Solicitud de ofertas a proveedores</t>
  </si>
  <si>
    <t>Recepción de cotizaciones</t>
  </si>
  <si>
    <t>Análisis y aprobación de mejor oferta</t>
  </si>
  <si>
    <t>Charito Plúas
(Asist. Admin)</t>
  </si>
  <si>
    <t>Mariuxi Saman
(Gerente Adm.)</t>
  </si>
  <si>
    <t>Gerente General</t>
  </si>
  <si>
    <t>Archiva el documento físico</t>
  </si>
  <si>
    <t>Servicio</t>
  </si>
  <si>
    <t>Contrato</t>
  </si>
  <si>
    <t>Recibe factura</t>
  </si>
  <si>
    <t>Aprobación, firma de contrato, autorización de débito bancario.</t>
  </si>
  <si>
    <t>Documentos habilitantes</t>
  </si>
  <si>
    <t>Ofertas</t>
  </si>
  <si>
    <t>Oferta aprobada</t>
  </si>
  <si>
    <t>Comprobante tributario</t>
  </si>
  <si>
    <t>Walter Cadena
(Jefe de Planta)</t>
  </si>
  <si>
    <t>Requerimientos (Mantenimiento, construcción, etc)</t>
  </si>
  <si>
    <t>Envío de ofertas a Gerente General y Generente Administrativa</t>
  </si>
  <si>
    <t>Aprobación de la mejor oferta</t>
  </si>
  <si>
    <t>Gerente General / Gerente Administrativo</t>
  </si>
  <si>
    <t>Firma del contrato</t>
  </si>
  <si>
    <t>Elaboración de contrato</t>
  </si>
  <si>
    <t>Informar a proveedor ganador</t>
  </si>
  <si>
    <t>Walter  Cadena</t>
  </si>
  <si>
    <t>Recepción de Factura</t>
  </si>
  <si>
    <t>Abogado</t>
  </si>
  <si>
    <t>Recepción de Factura
En ocasiones no reciben facturas</t>
  </si>
  <si>
    <t>* Solicitud de ofertas a proveedores
* O a un proveedor específico por trabajos especializados.</t>
  </si>
  <si>
    <t>Walter  Cadena / Proveedor</t>
  </si>
  <si>
    <t>Comprobante de retención
Liquidación de Compra</t>
  </si>
  <si>
    <t>Libro Bancos Cta 562</t>
  </si>
  <si>
    <t>Entrega de anticipo (opcional)</t>
  </si>
  <si>
    <t>Planta El Carmen (requisiciones urgentes / compra directa)</t>
  </si>
  <si>
    <t>Autorización del trabajo y Costo</t>
  </si>
  <si>
    <t>* Envío de detalle del trabajo a realizar y costo.
* Solicitud de autorización para la compra (daño en el caldero, turbina, etc)</t>
  </si>
  <si>
    <t>Comprobantes de Retención</t>
  </si>
  <si>
    <t>Libro Bancos Cta 566</t>
  </si>
  <si>
    <t>Oferta</t>
  </si>
  <si>
    <t>FICHA DE CARACTERIZACION DEL PROCESO AS IS</t>
  </si>
  <si>
    <t>1. INFORMACION GENERAL</t>
  </si>
  <si>
    <t>MACROPROCESO</t>
  </si>
  <si>
    <t>ID PROCESO</t>
  </si>
  <si>
    <t>OBJETIVO</t>
  </si>
  <si>
    <t>PROPIETARIO</t>
  </si>
  <si>
    <t>2. DIAGRAMA SIPOC</t>
  </si>
  <si>
    <t>COMPRAS</t>
  </si>
  <si>
    <t>COMPRAS DE MATERIA PRIMA, SUMINISTROS / INSUMOS Y SERVICIOS</t>
  </si>
  <si>
    <t>COMPRA DE MATERIA PRIMA CON ORIGEN EN LOS CENTROS DE ACOPIO, BOSQUES Y PROVEEDORES EXTERNOS
COMPRA DE SUMINISTROS E INSUMOS PARA SER USADOS EN LA PLANTA DE EL CARMEN Y OFICINA MATRIZ DE GUAYAQUIL
COMPRAS DE SERVICIOS EN LA PLANTA DE EL CARMEN Y OFICINA MATRIZ DE GUAYAQUIL</t>
  </si>
  <si>
    <t>Pago (Transferencia / Cheque)</t>
  </si>
  <si>
    <t>Aprobación de la finalización del servicio</t>
  </si>
  <si>
    <t>Jefes de área y de Planta</t>
  </si>
  <si>
    <t>GRUPO DE ARTICULOS</t>
  </si>
  <si>
    <t>ARTICULOS</t>
  </si>
  <si>
    <t>MATERIA PRIMA</t>
  </si>
  <si>
    <t>MADERA ASERRADA</t>
  </si>
  <si>
    <t>MADERA EN TUCO</t>
  </si>
  <si>
    <t>SECADO</t>
  </si>
  <si>
    <t>SEC</t>
  </si>
  <si>
    <t>MADERA SECA</t>
  </si>
  <si>
    <t>MADERA HUMEDA</t>
  </si>
  <si>
    <t>MADERA EN PLANTILLAS</t>
  </si>
  <si>
    <t>PRODUCTO TERMINADO</t>
  </si>
  <si>
    <t>BLOQUE ENCOLADO</t>
  </si>
  <si>
    <t>BLOQUE SUNCHADO</t>
  </si>
  <si>
    <t xml:space="preserve">INSUMOS </t>
  </si>
  <si>
    <t>INS</t>
  </si>
  <si>
    <t>INSUMOS PARA MATERIA PRIMA (ASERRIO / ACOPIOS / BOSQUES)</t>
  </si>
  <si>
    <t>INSUMOS PARA AREA DE SECADO</t>
  </si>
  <si>
    <t>INSUMOS PARA PRODUCCION (TALLER / ENCOLAGE / DESPACHO)</t>
  </si>
  <si>
    <t>INSUMOS AREA ADMINISTRATIVA</t>
  </si>
  <si>
    <t>INSUMOS PARA VIVERO</t>
  </si>
  <si>
    <t>SUMINISTROS</t>
  </si>
  <si>
    <t>SUM</t>
  </si>
  <si>
    <t>SUMINISTROS PARA MATERIA PRIMA (ASERRIO / ACOPIOS / BOSQUES)</t>
  </si>
  <si>
    <t>SUMINISTROS PARA AREA DE SECADO</t>
  </si>
  <si>
    <t>SUMINISTROS PARA PRODUCCION (TALLER / ENCOLAGE / DESPACHO)</t>
  </si>
  <si>
    <t>SUMINISTROS PARA AREA ADMINISTRATIVA</t>
  </si>
  <si>
    <t>SUMINISTROS PARA VIVERO</t>
  </si>
  <si>
    <t>ACTIFOS FIJOS</t>
  </si>
  <si>
    <t>AFI</t>
  </si>
  <si>
    <t>CAMARAS DE SECADO</t>
  </si>
  <si>
    <t>MONTACARGAS</t>
  </si>
  <si>
    <t>VEHICULOS</t>
  </si>
  <si>
    <t>MOTOCICLETAS</t>
  </si>
  <si>
    <t>FINCAS</t>
  </si>
  <si>
    <t>CUENTA CONTABLE</t>
  </si>
  <si>
    <t>PENDULA</t>
  </si>
  <si>
    <t>PEN</t>
  </si>
  <si>
    <t>MADERA PENDULADA</t>
  </si>
  <si>
    <t>CEPILLO</t>
  </si>
  <si>
    <t>CEP</t>
  </si>
  <si>
    <t>MADERA CEPILLADA</t>
  </si>
  <si>
    <t>SIERRA DE MESA</t>
  </si>
  <si>
    <t>SIE</t>
  </si>
  <si>
    <t>PRESENTADO</t>
  </si>
  <si>
    <t>PRE</t>
  </si>
  <si>
    <t>MADERA PRESENTADA</t>
  </si>
  <si>
    <r>
      <rPr>
        <b/>
        <sz val="15"/>
        <color theme="1"/>
        <rFont val="Arial"/>
        <family val="2"/>
      </rPr>
      <t>OBSERVACIONES:</t>
    </r>
    <r>
      <rPr>
        <sz val="15"/>
        <color theme="1"/>
        <rFont val="Arial"/>
        <family val="2"/>
      </rPr>
      <t xml:space="preserve">
Esta es la definición para los grupos de artículos en el sistema sap. Los artículos como tal son a modo de empezar a moldear también este apartado, y claro que están sujetos a cambios.
</t>
    </r>
  </si>
  <si>
    <t>ATRIBUTOS ADICIONALES</t>
  </si>
  <si>
    <t>PREFIJO</t>
  </si>
  <si>
    <t>Junior Cevallos</t>
  </si>
  <si>
    <t>Definir atributos adicionales a los artículos</t>
  </si>
  <si>
    <t>Suministros / Insumos</t>
  </si>
  <si>
    <t>Artículos relacionados a Producción</t>
  </si>
  <si>
    <t>11H00</t>
  </si>
  <si>
    <t>MPR0001</t>
  </si>
  <si>
    <t>MPR0002</t>
  </si>
  <si>
    <t>SEC0001</t>
  </si>
  <si>
    <t>SEC0002</t>
  </si>
  <si>
    <t>PEN0001</t>
  </si>
  <si>
    <t>CEP0001</t>
  </si>
  <si>
    <t>SIE0001</t>
  </si>
  <si>
    <t>PRE0001</t>
  </si>
  <si>
    <t>PRT0001</t>
  </si>
  <si>
    <t>INS0001</t>
  </si>
  <si>
    <t>INS0002</t>
  </si>
  <si>
    <t>INS0003</t>
  </si>
  <si>
    <t>INS0004</t>
  </si>
  <si>
    <t>INS0005</t>
  </si>
  <si>
    <t>COD. ARTICULO</t>
  </si>
  <si>
    <t>SUM0001</t>
  </si>
  <si>
    <t>SUM0002</t>
  </si>
  <si>
    <t>SUM0003</t>
  </si>
  <si>
    <t>SUM0004</t>
  </si>
  <si>
    <t>SUM0005</t>
  </si>
  <si>
    <t>AFI0001</t>
  </si>
  <si>
    <t>AFI0002</t>
  </si>
  <si>
    <t>AFI0003</t>
  </si>
  <si>
    <t>AFI0004</t>
  </si>
  <si>
    <t>AFI0005</t>
  </si>
  <si>
    <t>No.</t>
  </si>
  <si>
    <t>DEFINICION</t>
  </si>
  <si>
    <t>RESPONSABLES</t>
  </si>
  <si>
    <t>HORA CITA</t>
  </si>
  <si>
    <t>REGISTRO</t>
  </si>
  <si>
    <t>MAESTRO DE ARTICULOS</t>
  </si>
  <si>
    <t>MATRIZ DE DEFINICIONES</t>
  </si>
  <si>
    <t>Definir el usuario o perfil que será el responsable del ingreso en SAP de la información de Maestro de Artículos</t>
  </si>
  <si>
    <t>Dpto. Compras / Bodega</t>
  </si>
  <si>
    <t>AREA PROPUESTA</t>
  </si>
  <si>
    <t>Dpto. Contable</t>
  </si>
  <si>
    <t>COMENTARIOS</t>
  </si>
  <si>
    <t>Artículos que no hayan sido definidos por Junior Cevallos</t>
  </si>
  <si>
    <t>AREA/PERFIL/USUARIO ASIGNADO</t>
  </si>
  <si>
    <t>Ana Patiño / Mónica Sánchez</t>
  </si>
  <si>
    <t>Confirmar si es necesario ingresar información adicional en el Maestro de Proveedores. Definir los nuevos datos.</t>
  </si>
  <si>
    <t>DATOS ADICIONALES</t>
  </si>
  <si>
    <t>INGRESO OBLIGATORIO / OPCIONAL</t>
  </si>
  <si>
    <t>MAESTRO DE PROVEEDORES</t>
  </si>
  <si>
    <t>Hoja Maestro de Artículos</t>
  </si>
  <si>
    <t>Hoja Maestro de Proveedores</t>
  </si>
  <si>
    <t>Definir el usuario o perfil que será el responsable del ingreso en SAP de la información de Maestro de Proveedores</t>
  </si>
  <si>
    <t>Mariuxi Samán / Walter Cadena</t>
  </si>
  <si>
    <t>Mariuxi Samán / Ana Patiño / Mónica Sánchez</t>
  </si>
  <si>
    <t>Definir si en la Compra de Servicios es necesario que el usuario que solicita el Servicio sea quien apruebe su correcta ejecución</t>
  </si>
  <si>
    <t>PENDIENTE</t>
  </si>
  <si>
    <t>Identificar las opciones del sistema SAP en las cuales se deben implementar validaciones (políticas) en el ingreso y definir las mismas</t>
  </si>
  <si>
    <t>Dpto. de Compras (Christian Paredes / Charito Plúas)</t>
  </si>
  <si>
    <t>Columna F</t>
  </si>
  <si>
    <t>Columna G</t>
  </si>
  <si>
    <t>OPCION</t>
  </si>
  <si>
    <t>ACCION
(INGRESO, ETC)</t>
  </si>
  <si>
    <t>POLITICA</t>
  </si>
  <si>
    <t>SOLICITUD DE COMPRA</t>
  </si>
  <si>
    <t>PEDIDO</t>
  </si>
  <si>
    <t>ENTRADA DE MERCANCIAS</t>
  </si>
  <si>
    <t>Hoja Políticas</t>
  </si>
  <si>
    <t>Definir el listado de usuarios que podrán registrar Órdenes de Compras (Pedidos)</t>
  </si>
  <si>
    <t>Definir el listado de usuarios que podrán registrar Requisiciones</t>
  </si>
  <si>
    <t>Definir el listado de usuarios o perfil de usuario que podrá registra la Entrada de Mercancías</t>
  </si>
  <si>
    <t>Dpto. de Compras / Charito Plúas</t>
  </si>
  <si>
    <t>Digitador / Asistentes Contables</t>
  </si>
  <si>
    <t>Definir si se implementan niveles de aprobación en las opciones de Solicitud de Compra, Pedido y Entrada de Mercancías; así como las preaprobaciones automáticas. (Listar las opciones y las políticas)</t>
  </si>
  <si>
    <t>Hoja Niveles de Autorización</t>
  </si>
  <si>
    <t>Definir Centros de Costos</t>
  </si>
  <si>
    <t>CENTRO DE COSTO</t>
  </si>
  <si>
    <t>Hoja Centro de Costos</t>
  </si>
  <si>
    <t>Definir que identificación de Proveedor se registrará en la Compra de Materia Prima cuando el éste no entregue su número de cédula</t>
  </si>
  <si>
    <t>De forma preliminar Mariuxi mencionó que se pueden distribuir grupos de Rise a los Centros de Acopio para que los ingresen como el proveedor que vendió la materia prima.</t>
  </si>
  <si>
    <t>CENTROS DE COSTO</t>
  </si>
  <si>
    <t>NIVELES DE AUTORIZACION</t>
  </si>
  <si>
    <t>POLITICAS</t>
  </si>
  <si>
    <t>Listar los artículos de los grupos de Suministros e Insumos</t>
  </si>
  <si>
    <t>FECHA CITA / ENTREGA</t>
  </si>
  <si>
    <t>ESTADO CITA / ENTREGA</t>
  </si>
  <si>
    <t>USUARIO / PERFIL APROBADO</t>
  </si>
  <si>
    <t>Nombre del Banco</t>
  </si>
  <si>
    <t>OPCIONAL</t>
  </si>
  <si>
    <t>Tipo de cuenta</t>
  </si>
  <si>
    <t>Número de la cuenta</t>
  </si>
  <si>
    <t>Cuenta de correo electrónico</t>
  </si>
  <si>
    <t>OBLIGATORIO</t>
  </si>
  <si>
    <t>Persona de contacto</t>
  </si>
  <si>
    <t>Número de teléfono</t>
  </si>
  <si>
    <t>Número de celular</t>
  </si>
  <si>
    <t>Dirección</t>
  </si>
  <si>
    <t>CTA CTBLE GRUPO</t>
  </si>
  <si>
    <t xml:space="preserve">Si puede configurar el punto de emisión + establecimiento </t>
  </si>
  <si>
    <t>Facturas Físicas - Número de autorización</t>
  </si>
  <si>
    <t>EJECUTADA</t>
  </si>
  <si>
    <t>En el módulo de Producción se podría aterrizar las cuentas contables porque se podría definir que insumos se usan en cada etapa de Taller</t>
  </si>
  <si>
    <t>ENC</t>
  </si>
  <si>
    <t>ENCOLADO</t>
  </si>
  <si>
    <t>SUBGRUPO</t>
  </si>
  <si>
    <t>TALLER</t>
  </si>
  <si>
    <t>DIENTES PARA SIERRA ALEMANES</t>
  </si>
  <si>
    <t>ACEITE DOS TIEMPOs (PARA MOTOSIERRAS)</t>
  </si>
  <si>
    <t>FIBRA</t>
  </si>
  <si>
    <t>QUIMICO PARA CALDEROS</t>
  </si>
  <si>
    <t>FLEXOMETRO</t>
  </si>
  <si>
    <t>CRAYONES</t>
  </si>
  <si>
    <t>INSMPR0002</t>
  </si>
  <si>
    <t>INSSEC0001</t>
  </si>
  <si>
    <t>INSSEC0002</t>
  </si>
  <si>
    <t>COD. SUBGRUPO</t>
  </si>
  <si>
    <t>SIERRA</t>
  </si>
  <si>
    <t>INSMPR</t>
  </si>
  <si>
    <t>INSSEC</t>
  </si>
  <si>
    <t>INSTAL</t>
  </si>
  <si>
    <t>INSUMOS PARA TALLER</t>
  </si>
  <si>
    <t>INSTAL0001</t>
  </si>
  <si>
    <t>INSTAL0002</t>
  </si>
  <si>
    <t>INSADM</t>
  </si>
  <si>
    <t>INSADM0001</t>
  </si>
  <si>
    <t>INSADM0002</t>
  </si>
  <si>
    <t>COMPUTADOR PORTATIL</t>
  </si>
  <si>
    <t>IMPRESORA</t>
  </si>
  <si>
    <t>INSVIV</t>
  </si>
  <si>
    <t>INSVIV0001</t>
  </si>
  <si>
    <t>INSVIV0002</t>
  </si>
  <si>
    <t>ABONO</t>
  </si>
  <si>
    <t>FUNGUISIDA</t>
  </si>
  <si>
    <t>SUMMPR0001</t>
  </si>
  <si>
    <t>SUMMPR0003</t>
  </si>
  <si>
    <t>SUMSEC001</t>
  </si>
  <si>
    <t>SUMSEC002</t>
  </si>
  <si>
    <t>SUMTAL0003</t>
  </si>
  <si>
    <t>SUMTAL0002</t>
  </si>
  <si>
    <t>SUMVIV0002</t>
  </si>
  <si>
    <t>SUMADM0001</t>
  </si>
  <si>
    <t>SUMADM0002</t>
  </si>
  <si>
    <t>SUMVIV0001</t>
  </si>
  <si>
    <t>SUMMPR</t>
  </si>
  <si>
    <t>SUMSEC</t>
  </si>
  <si>
    <t>SUMTAL</t>
  </si>
  <si>
    <t>SUMINISTROS PARA TALLER</t>
  </si>
  <si>
    <t>SUMADM</t>
  </si>
  <si>
    <t>SUMVIV</t>
  </si>
  <si>
    <t>PINTURA EN SPRAY</t>
  </si>
  <si>
    <t>CUADERNOS ACADEMICOS</t>
  </si>
  <si>
    <t>LAPICEROS</t>
  </si>
  <si>
    <t>CAJA DE LAPICEROS</t>
  </si>
  <si>
    <t>PLASTICO NEGRO</t>
  </si>
  <si>
    <t>CAJA DE RESALTADORES</t>
  </si>
  <si>
    <t>CAJA DE BORRADORES</t>
  </si>
  <si>
    <t>CUERDA</t>
  </si>
  <si>
    <t>MARCADORES</t>
  </si>
  <si>
    <t>ENCOLAGE Y DESPACHO
(PRODUCTO TERMINADO)</t>
  </si>
  <si>
    <t>INSUMOS PARA ENCOLAGE Y DESPACHO</t>
  </si>
  <si>
    <t>INSEYD</t>
  </si>
  <si>
    <t>GOMA / COLA</t>
  </si>
  <si>
    <t>INSDYP0001</t>
  </si>
  <si>
    <t>INSEYD0002</t>
  </si>
  <si>
    <t>CEPILLO ELECTRICO</t>
  </si>
  <si>
    <t>EYD</t>
  </si>
  <si>
    <t>EYD0001</t>
  </si>
  <si>
    <t>EYD0002</t>
  </si>
  <si>
    <t>SUMINISTROS PARA ENCOLAGE Y DESPACHO</t>
  </si>
  <si>
    <t>SUMEYD</t>
  </si>
  <si>
    <t>RESMAS DE HOJAS</t>
  </si>
  <si>
    <t>TINTA PARA IMPRESORA</t>
  </si>
  <si>
    <t>SUMEYD0001</t>
  </si>
  <si>
    <t>SUMEYD0002</t>
  </si>
  <si>
    <t>SON ACTIVOS FIJOS NO INSUMOS</t>
  </si>
  <si>
    <t>INMP000001</t>
  </si>
  <si>
    <t>MADERA DE BALSA PRESENTADO</t>
  </si>
  <si>
    <t>BLOQUE DE MADERA DE BALSA</t>
  </si>
  <si>
    <t>cte /aho</t>
  </si>
  <si>
    <t>Condición de pago</t>
  </si>
  <si>
    <t>30 días por defecto</t>
  </si>
  <si>
    <t>MP</t>
  </si>
  <si>
    <t>SM</t>
  </si>
  <si>
    <t>MS</t>
  </si>
  <si>
    <t>SC</t>
  </si>
  <si>
    <t>PE</t>
  </si>
  <si>
    <t>TAL</t>
  </si>
  <si>
    <t>ACTIVOS FIJOS</t>
  </si>
  <si>
    <t>MPR0100001</t>
  </si>
  <si>
    <t>001</t>
  </si>
  <si>
    <t>002</t>
  </si>
  <si>
    <t>003</t>
  </si>
  <si>
    <t>004</t>
  </si>
  <si>
    <t>005</t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</si>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</sst>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entury Gothic"/>
      <family val="2"/>
    </font>
    <font>
      <sz val="10"/>
      <color theme="1"/>
      <name val="Century Gothic"/>
      <family val="2"/>
    </font>
    <font>
      <sz val="10"/>
      <color theme="0" tint="-0.499984740745262"/>
      <name val="Century Gothic"/>
      <family val="2"/>
    </font>
    <font>
      <b/>
      <sz val="14"/>
      <color theme="0"/>
      <name val="Century Gothic"/>
      <family val="2"/>
    </font>
    <font>
      <b/>
      <sz val="10"/>
      <color theme="0"/>
      <name val="Century Gothic"/>
      <family val="2"/>
    </font>
    <font>
      <b/>
      <sz val="20"/>
      <color theme="1"/>
      <name val="Century Gothic"/>
      <family val="2"/>
    </font>
    <font>
      <sz val="10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8"/>
      <name val="Calibri"/>
      <family val="2"/>
      <scheme val="minor"/>
    </font>
    <font>
      <sz val="10"/>
      <color theme="4" tint="-0.249977111117893"/>
      <name val="Century Gothic"/>
      <family val="2"/>
    </font>
    <font>
      <sz val="11"/>
      <color theme="4" tint="-0.249977111117893"/>
      <name val="Calibri"/>
      <family val="2"/>
      <scheme val="minor"/>
    </font>
    <font>
      <sz val="1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6" xfId="0" applyBorder="1"/>
    <xf numFmtId="0" fontId="4" fillId="0" borderId="6" xfId="0" applyFont="1" applyBorder="1" applyAlignment="1">
      <alignment vertical="top"/>
    </xf>
    <xf numFmtId="0" fontId="4" fillId="2" borderId="6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4" fillId="4" borderId="11" xfId="0" applyFont="1" applyFill="1" applyBorder="1" applyAlignment="1">
      <alignment wrapText="1"/>
    </xf>
    <xf numFmtId="0" fontId="4" fillId="4" borderId="11" xfId="0" applyFont="1" applyFill="1" applyBorder="1" applyAlignment="1">
      <alignment vertical="top"/>
    </xf>
    <xf numFmtId="0" fontId="4" fillId="4" borderId="11" xfId="0" applyFont="1" applyFill="1" applyBorder="1"/>
    <xf numFmtId="0" fontId="4" fillId="0" borderId="12" xfId="0" applyFont="1" applyBorder="1"/>
    <xf numFmtId="0" fontId="4" fillId="4" borderId="13" xfId="0" applyFont="1" applyFill="1" applyBorder="1"/>
    <xf numFmtId="0" fontId="4" fillId="0" borderId="14" xfId="0" applyFont="1" applyBorder="1"/>
    <xf numFmtId="0" fontId="3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4" fillId="0" borderId="8" xfId="0" applyFont="1" applyBorder="1"/>
    <xf numFmtId="0" fontId="4" fillId="0" borderId="16" xfId="0" applyFont="1" applyBorder="1"/>
    <xf numFmtId="0" fontId="4" fillId="4" borderId="17" xfId="0" applyFont="1" applyFill="1" applyBorder="1" applyAlignment="1">
      <alignment wrapText="1"/>
    </xf>
    <xf numFmtId="0" fontId="5" fillId="0" borderId="18" xfId="0" applyFont="1" applyBorder="1" applyAlignment="1">
      <alignment vertical="top" wrapText="1"/>
    </xf>
    <xf numFmtId="0" fontId="4" fillId="0" borderId="15" xfId="0" applyFont="1" applyBorder="1"/>
    <xf numFmtId="0" fontId="4" fillId="2" borderId="22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3" fillId="6" borderId="9" xfId="0" applyFont="1" applyFill="1" applyBorder="1"/>
    <xf numFmtId="0" fontId="3" fillId="6" borderId="10" xfId="0" applyFont="1" applyFill="1" applyBorder="1"/>
    <xf numFmtId="0" fontId="4" fillId="0" borderId="11" xfId="0" applyFont="1" applyBorder="1" applyAlignment="1">
      <alignment vertical="top"/>
    </xf>
    <xf numFmtId="0" fontId="4" fillId="7" borderId="12" xfId="0" applyFont="1" applyFill="1" applyBorder="1" applyAlignment="1">
      <alignment vertical="top"/>
    </xf>
    <xf numFmtId="0" fontId="4" fillId="0" borderId="11" xfId="0" applyFont="1" applyBorder="1" applyAlignment="1">
      <alignment vertical="top" wrapText="1"/>
    </xf>
    <xf numFmtId="0" fontId="4" fillId="7" borderId="12" xfId="0" applyFont="1" applyFill="1" applyBorder="1" applyAlignment="1">
      <alignment vertical="top" wrapText="1"/>
    </xf>
    <xf numFmtId="0" fontId="4" fillId="7" borderId="14" xfId="0" applyFont="1" applyFill="1" applyBorder="1"/>
    <xf numFmtId="0" fontId="4" fillId="2" borderId="17" xfId="0" applyFont="1" applyFill="1" applyBorder="1" applyAlignment="1">
      <alignment vertical="top" wrapText="1"/>
    </xf>
    <xf numFmtId="0" fontId="4" fillId="0" borderId="17" xfId="0" applyFont="1" applyBorder="1"/>
    <xf numFmtId="0" fontId="4" fillId="0" borderId="13" xfId="0" applyFont="1" applyBorder="1" applyAlignment="1">
      <alignment wrapText="1"/>
    </xf>
    <xf numFmtId="0" fontId="4" fillId="7" borderId="18" xfId="0" applyFont="1" applyFill="1" applyBorder="1" applyAlignment="1">
      <alignment vertical="top"/>
    </xf>
    <xf numFmtId="0" fontId="5" fillId="0" borderId="12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6" borderId="23" xfId="0" applyFont="1" applyFill="1" applyBorder="1"/>
    <xf numFmtId="0" fontId="4" fillId="7" borderId="24" xfId="0" applyFont="1" applyFill="1" applyBorder="1" applyAlignment="1">
      <alignment vertical="top"/>
    </xf>
    <xf numFmtId="0" fontId="4" fillId="7" borderId="24" xfId="0" applyFont="1" applyFill="1" applyBorder="1" applyAlignment="1">
      <alignment vertical="top" wrapText="1"/>
    </xf>
    <xf numFmtId="0" fontId="4" fillId="7" borderId="25" xfId="0" applyFont="1" applyFill="1" applyBorder="1" applyAlignment="1">
      <alignment vertical="top"/>
    </xf>
    <xf numFmtId="0" fontId="3" fillId="6" borderId="7" xfId="0" applyFont="1" applyFill="1" applyBorder="1"/>
    <xf numFmtId="0" fontId="4" fillId="0" borderId="8" xfId="0" applyFont="1" applyFill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4" fillId="4" borderId="20" xfId="0" applyFont="1" applyFill="1" applyBorder="1" applyAlignment="1">
      <alignment vertical="top" wrapText="1"/>
    </xf>
    <xf numFmtId="0" fontId="4" fillId="4" borderId="20" xfId="0" applyFont="1" applyFill="1" applyBorder="1" applyAlignment="1">
      <alignment vertical="top"/>
    </xf>
    <xf numFmtId="0" fontId="4" fillId="4" borderId="20" xfId="0" applyFont="1" applyFill="1" applyBorder="1" applyAlignment="1">
      <alignment wrapText="1"/>
    </xf>
    <xf numFmtId="0" fontId="4" fillId="4" borderId="27" xfId="0" applyFont="1" applyFill="1" applyBorder="1" applyAlignment="1">
      <alignment wrapText="1"/>
    </xf>
    <xf numFmtId="0" fontId="4" fillId="4" borderId="28" xfId="0" applyFont="1" applyFill="1" applyBorder="1"/>
    <xf numFmtId="0" fontId="5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 wrapText="1"/>
    </xf>
    <xf numFmtId="0" fontId="7" fillId="8" borderId="6" xfId="0" applyFont="1" applyFill="1" applyBorder="1" applyAlignment="1">
      <alignment horizontal="right" vertical="center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horizontal="right" vertical="top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/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4" fillId="0" borderId="0" xfId="0" applyFont="1" applyBorder="1" applyAlignment="1">
      <alignment vertical="top" wrapText="1"/>
    </xf>
    <xf numFmtId="0" fontId="7" fillId="8" borderId="6" xfId="0" applyFont="1" applyFill="1" applyBorder="1" applyAlignment="1">
      <alignment horizontal="right" vertical="top"/>
    </xf>
    <xf numFmtId="0" fontId="5" fillId="0" borderId="21" xfId="0" applyFont="1" applyBorder="1" applyAlignment="1">
      <alignment horizontal="center" vertical="top" wrapText="1"/>
    </xf>
    <xf numFmtId="0" fontId="4" fillId="2" borderId="9" xfId="0" applyFont="1" applyFill="1" applyBorder="1" applyAlignment="1">
      <alignment vertical="top" wrapText="1"/>
    </xf>
    <xf numFmtId="0" fontId="5" fillId="0" borderId="30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top" wrapText="1"/>
    </xf>
    <xf numFmtId="0" fontId="5" fillId="0" borderId="31" xfId="0" applyFont="1" applyBorder="1" applyAlignment="1">
      <alignment horizontal="center" vertical="top" wrapText="1"/>
    </xf>
    <xf numFmtId="0" fontId="4" fillId="0" borderId="8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7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 wrapText="1"/>
    </xf>
    <xf numFmtId="0" fontId="4" fillId="7" borderId="16" xfId="0" applyFont="1" applyFill="1" applyBorder="1" applyAlignment="1">
      <alignment vertical="top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7" borderId="15" xfId="0" applyFont="1" applyFill="1" applyBorder="1" applyAlignment="1">
      <alignment vertical="top"/>
    </xf>
    <xf numFmtId="0" fontId="4" fillId="7" borderId="16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Alignment="1">
      <alignment horizontal="center"/>
    </xf>
    <xf numFmtId="0" fontId="7" fillId="8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7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0" fontId="4" fillId="0" borderId="6" xfId="0" applyFont="1" applyBorder="1"/>
    <xf numFmtId="164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3" fillId="0" borderId="6" xfId="0" applyFont="1" applyBorder="1"/>
    <xf numFmtId="0" fontId="13" fillId="0" borderId="6" xfId="0" applyFont="1" applyBorder="1" applyAlignment="1">
      <alignment vertical="center" wrapText="1"/>
    </xf>
    <xf numFmtId="0" fontId="14" fillId="0" borderId="6" xfId="0" applyFont="1" applyBorder="1"/>
    <xf numFmtId="0" fontId="7" fillId="8" borderId="6" xfId="0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/>
    </xf>
    <xf numFmtId="0" fontId="13" fillId="0" borderId="6" xfId="0" applyFont="1" applyBorder="1" applyAlignment="1">
      <alignment wrapText="1"/>
    </xf>
    <xf numFmtId="0" fontId="4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0" xfId="0"/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0" xfId="0"/>
    <xf numFmtId="0" fontId="4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center"/>
    </xf>
    <xf numFmtId="0" fontId="9" fillId="0" borderId="0" xfId="0" applyFont="1" applyBorder="1"/>
    <xf numFmtId="20" fontId="4" fillId="0" borderId="6" xfId="0" applyNumberFormat="1" applyFont="1" applyBorder="1" applyAlignment="1">
      <alignment horizontal="center" vertical="center"/>
    </xf>
    <xf numFmtId="0" fontId="0" fillId="0" borderId="0" xfId="0"/>
    <xf numFmtId="0" fontId="4" fillId="0" borderId="6" xfId="0" applyFont="1" applyBorder="1" applyAlignment="1">
      <alignment horizontal="center"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9" borderId="6" xfId="0" applyFont="1" applyFill="1" applyBorder="1" applyAlignment="1">
      <alignment vertical="top" wrapText="1"/>
    </xf>
    <xf numFmtId="0" fontId="15" fillId="0" borderId="6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4" fillId="0" borderId="6" xfId="0" applyNumberFormat="1" applyFont="1" applyBorder="1" applyAlignment="1">
      <alignment horizontal="center" vertical="top" wrapText="1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left" vertical="top"/>
    </xf>
    <xf numFmtId="0" fontId="8" fillId="6" borderId="4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left" vertical="top" wrapText="1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3" fillId="3" borderId="26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40" xfId="0" applyFont="1" applyFill="1" applyBorder="1" applyAlignment="1">
      <alignment horizontal="left" vertical="center" wrapText="1"/>
    </xf>
    <xf numFmtId="0" fontId="4" fillId="0" borderId="41" xfId="0" applyFont="1" applyFill="1" applyBorder="1" applyAlignment="1">
      <alignment horizontal="left" vertical="center" wrapText="1"/>
    </xf>
    <xf numFmtId="49" fontId="4" fillId="0" borderId="40" xfId="0" applyNumberFormat="1" applyFont="1" applyFill="1" applyBorder="1" applyAlignment="1">
      <alignment horizontal="center" vertical="center" wrapText="1"/>
    </xf>
    <xf numFmtId="49" fontId="4" fillId="0" borderId="4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49" fontId="4" fillId="0" borderId="40" xfId="0" quotePrefix="1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top" wrapText="1"/>
    </xf>
    <xf numFmtId="0" fontId="4" fillId="0" borderId="41" xfId="0" applyFont="1" applyBorder="1" applyAlignment="1">
      <alignment horizontal="center" vertical="top" wrapText="1"/>
    </xf>
    <xf numFmtId="0" fontId="10" fillId="0" borderId="32" xfId="0" applyFont="1" applyBorder="1" applyAlignment="1">
      <alignment vertical="center" wrapText="1"/>
    </xf>
    <xf numFmtId="0" fontId="9" fillId="0" borderId="33" xfId="0" applyFont="1" applyBorder="1"/>
    <xf numFmtId="0" fontId="9" fillId="0" borderId="34" xfId="0" applyFont="1" applyBorder="1"/>
    <xf numFmtId="0" fontId="9" fillId="0" borderId="35" xfId="0" applyFont="1" applyBorder="1"/>
    <xf numFmtId="0" fontId="0" fillId="0" borderId="0" xfId="0"/>
    <xf numFmtId="0" fontId="9" fillId="0" borderId="36" xfId="0" applyFont="1" applyBorder="1"/>
    <xf numFmtId="0" fontId="9" fillId="0" borderId="37" xfId="0" applyFont="1" applyBorder="1"/>
    <xf numFmtId="0" fontId="9" fillId="0" borderId="38" xfId="0" applyFont="1" applyBorder="1"/>
    <xf numFmtId="0" fontId="9" fillId="0" borderId="39" xfId="0" applyFont="1" applyBorder="1"/>
    <xf numFmtId="0" fontId="4" fillId="0" borderId="42" xfId="0" applyFont="1" applyBorder="1" applyAlignment="1">
      <alignment horizontal="left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ía Inés Ballagán" id="{77F095A1-B0E5-4603-AB51-ADD5A274C24D}" userId="S::mballagan@sipecom.com::65d5c95b-8ef8-4d27-97ba-62d0ce2c9287" providerId="AD"/>
  <person displayName="Carlos Fabián_x000a_ Pazmiño Zapatier" id="{19C0A70B-DFA6-454D-A79F-D7B81B4F36D8}" userId="S::carlos.pazmino101@alu.ulpgc.es::3c524e84-7539-46fd-9fa2-049ca0c3680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1-05-17T03:04:29.78" personId="{77F095A1-B0E5-4603-AB51-ADD5A274C24D}" id="{5D3B052A-48E7-4C3C-985F-9EA531658977}">
    <text>Albán y Ramírez</text>
  </threadedComment>
  <threadedComment ref="E16" dT="2021-05-16T23:52:10.59" personId="{77F095A1-B0E5-4603-AB51-ADD5A274C24D}" id="{7C8D2A9E-6EEE-4D5E-A4D3-5A07218A36E8}">
    <text>Existen varias operativas en los Centros de Acopio:
1. El proveedor llega a CA a vender su madera.
2. El supervisor recorre la zona en busca de madera.</text>
  </threadedComment>
  <threadedComment ref="E17" dT="2021-05-16T23:40:35.19" personId="{77F095A1-B0E5-4603-AB51-ADD5A274C24D}" id="{9E83BCE2-4B6E-427D-8AB5-68AE185F01EC}">
    <text>En ciertos Centros de Acopio la madera no es etiquetada con la identificación del comprador correspondiente (San Francisco)</text>
  </threadedComment>
  <threadedComment ref="E20" dT="2021-05-17T05:16:37.88" personId="{77F095A1-B0E5-4603-AB51-ADD5A274C24D}" id="{DDF97040-DFF9-440F-B704-81BDD8787139}">
    <text>Albán y Ramirez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6" dT="2021-05-20T06:51:00.19" personId="{19C0A70B-DFA6-454D-A79F-D7B81B4F36D8}" id="{6D34C21D-AD21-457C-9635-4615BB0595C8}">
    <text>Políticas sugeridas:
•	Los supervisores puedan gestionar solo en sus almacenes por defecto
•	Se manejaran Series de Documentos por cada localidad
•	Se debería poder controlar la venta de items sin decimales a menos q la unidad de medida sea el bloque, si es btf si se podria (SAP por defecto permite decimales)
•	Cómo se realizará la valoración del servicio de transporte como se calculara?  sera un articulo mas?, estará dentro del costo de la MP?
•	Limitar el ingreso de una MP para un proceso q no le corresponda. Es decir para el 1er proceso  solo puede entrar madera en tuco. no madera aserrada.
•	no se puede vender si el artículo no tiene un costo establecido
•	Restricciones de ingreso por monto a solicitudes de compra dependiendo de las necesidades o del área involucrada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5" dT="2021-05-20T06:59:38.25" personId="{19C0A70B-DFA6-454D-A79F-D7B81B4F36D8}" id="{657845C8-FE41-4C65-AC5E-C4A9442397E7}">
    <text>Definir si el ingreso de cada nuevo atributo es obligatorio u opcional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5" dT="2021-05-20T06:59:38.25" personId="{19C0A70B-DFA6-454D-A79F-D7B81B4F36D8}" id="{50F9B2B8-F98A-4D02-A8B7-8B893D7596E0}">
    <text>Definir si el ingreso de cada nuevo atributo es obligatorio u opcional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5" dT="2021-05-20T06:59:38.25" personId="{19C0A70B-DFA6-454D-A79F-D7B81B4F36D8}" id="{F5CF31CD-174A-4B3D-8B07-AB1C635C3287}">
    <text>Definir si el ingreso de cada nuevo atributo es obligatorio u opcional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6F5C-585D-4DDD-A968-D76C73983249}">
  <dimension ref="A1:K86"/>
  <sheetViews>
    <sheetView zoomScale="80" zoomScaleNormal="80" workbookViewId="0">
      <selection sqref="A1:H1"/>
    </sheetView>
  </sheetViews>
  <sheetFormatPr baseColWidth="10" defaultRowHeight="15" x14ac:dyDescent="0.25"/>
  <cols>
    <col min="1" max="1" width="17.5703125" customWidth="1"/>
    <col min="2" max="2" width="26.5703125" customWidth="1"/>
    <col min="3" max="3" width="15" customWidth="1"/>
    <col min="4" max="4" width="20.5703125" customWidth="1"/>
    <col min="5" max="5" width="38" customWidth="1"/>
    <col min="6" max="6" width="19.140625" customWidth="1"/>
    <col min="7" max="7" width="21.42578125" customWidth="1"/>
    <col min="8" max="8" width="30.42578125" customWidth="1"/>
  </cols>
  <sheetData>
    <row r="1" spans="1:11" ht="26.25" thickBot="1" x14ac:dyDescent="0.4">
      <c r="A1" s="144" t="s">
        <v>136</v>
      </c>
      <c r="B1" s="145"/>
      <c r="C1" s="145"/>
      <c r="D1" s="145"/>
      <c r="E1" s="145"/>
      <c r="F1" s="145"/>
      <c r="G1" s="145"/>
      <c r="H1" s="146"/>
      <c r="I1" s="68"/>
      <c r="J1" s="68"/>
      <c r="K1" s="68"/>
    </row>
    <row r="3" spans="1:11" ht="18" x14ac:dyDescent="0.25">
      <c r="A3" s="147" t="s">
        <v>137</v>
      </c>
      <c r="B3" s="147"/>
      <c r="C3" s="147"/>
      <c r="D3" s="147"/>
      <c r="E3" s="147"/>
      <c r="F3" s="147"/>
      <c r="G3" s="147"/>
      <c r="H3" s="147"/>
      <c r="I3" s="67"/>
      <c r="J3" s="67"/>
      <c r="K3" s="67"/>
    </row>
    <row r="4" spans="1:11" x14ac:dyDescent="0.25">
      <c r="A4" s="62" t="s">
        <v>138</v>
      </c>
      <c r="B4" s="143" t="s">
        <v>143</v>
      </c>
      <c r="C4" s="143"/>
      <c r="D4" s="143"/>
      <c r="E4" s="143"/>
      <c r="F4" s="143"/>
      <c r="G4" s="7"/>
      <c r="H4" s="7"/>
      <c r="I4" s="63"/>
      <c r="J4" s="63"/>
      <c r="K4" s="63"/>
    </row>
    <row r="5" spans="1:11" x14ac:dyDescent="0.25">
      <c r="A5" s="62" t="s">
        <v>47</v>
      </c>
      <c r="B5" s="143" t="s">
        <v>144</v>
      </c>
      <c r="C5" s="143"/>
      <c r="D5" s="143"/>
      <c r="E5" s="143"/>
      <c r="F5" s="143"/>
      <c r="G5" s="70" t="s">
        <v>139</v>
      </c>
      <c r="H5" s="64">
        <v>1</v>
      </c>
      <c r="J5" s="63"/>
      <c r="K5" s="63"/>
    </row>
    <row r="6" spans="1:11" ht="44.25" customHeight="1" x14ac:dyDescent="0.25">
      <c r="A6" s="62" t="s">
        <v>140</v>
      </c>
      <c r="B6" s="148" t="s">
        <v>145</v>
      </c>
      <c r="C6" s="148"/>
      <c r="D6" s="148"/>
      <c r="E6" s="148"/>
      <c r="F6" s="148"/>
      <c r="G6" s="148"/>
      <c r="H6" s="148"/>
      <c r="I6" s="69"/>
      <c r="J6" s="69"/>
      <c r="K6" s="69"/>
    </row>
    <row r="7" spans="1:11" x14ac:dyDescent="0.25">
      <c r="A7" s="62" t="s">
        <v>141</v>
      </c>
      <c r="B7" s="143"/>
      <c r="C7" s="143"/>
      <c r="D7" s="143"/>
      <c r="E7" s="143"/>
      <c r="F7" s="143"/>
      <c r="G7" s="63"/>
      <c r="H7" s="63"/>
      <c r="I7" s="63"/>
      <c r="J7" s="63"/>
      <c r="K7" s="63"/>
    </row>
    <row r="8" spans="1:11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</row>
    <row r="9" spans="1:11" ht="18" x14ac:dyDescent="0.25">
      <c r="A9" s="147" t="s">
        <v>142</v>
      </c>
      <c r="B9" s="147"/>
      <c r="C9" s="147"/>
      <c r="D9" s="147"/>
      <c r="E9" s="147"/>
      <c r="F9" s="147"/>
      <c r="G9" s="147"/>
      <c r="H9" s="147"/>
      <c r="I9" s="67"/>
      <c r="J9" s="67"/>
      <c r="K9" s="67"/>
    </row>
    <row r="10" spans="1:11" ht="15" customHeight="1" thickBot="1" x14ac:dyDescent="0.3">
      <c r="B10" s="5"/>
      <c r="C10" s="1"/>
    </row>
    <row r="11" spans="1:11" x14ac:dyDescent="0.25">
      <c r="A11" s="142" t="s">
        <v>50</v>
      </c>
      <c r="B11" s="149" t="s">
        <v>45</v>
      </c>
      <c r="C11" s="150"/>
      <c r="D11" s="17" t="s">
        <v>46</v>
      </c>
      <c r="E11" s="140" t="s">
        <v>47</v>
      </c>
      <c r="F11" s="141"/>
      <c r="G11" s="28" t="s">
        <v>48</v>
      </c>
      <c r="H11" s="29" t="s">
        <v>49</v>
      </c>
    </row>
    <row r="12" spans="1:11" ht="40.5" x14ac:dyDescent="0.25">
      <c r="A12" s="142"/>
      <c r="B12" s="12" t="s">
        <v>6</v>
      </c>
      <c r="C12" s="39" t="s">
        <v>13</v>
      </c>
      <c r="D12" s="18" t="s">
        <v>2</v>
      </c>
      <c r="E12" s="25" t="s">
        <v>36</v>
      </c>
      <c r="F12" s="39" t="s">
        <v>3</v>
      </c>
      <c r="G12" s="30" t="s">
        <v>0</v>
      </c>
      <c r="H12" s="31" t="s">
        <v>9</v>
      </c>
    </row>
    <row r="13" spans="1:11" ht="27" x14ac:dyDescent="0.25">
      <c r="A13" s="142"/>
      <c r="B13" s="12" t="s">
        <v>7</v>
      </c>
      <c r="C13" s="39" t="s">
        <v>3</v>
      </c>
      <c r="D13" s="19" t="s">
        <v>3</v>
      </c>
      <c r="E13" s="26" t="s">
        <v>53</v>
      </c>
      <c r="F13" s="40" t="s">
        <v>3</v>
      </c>
      <c r="H13" s="31" t="s">
        <v>69</v>
      </c>
    </row>
    <row r="14" spans="1:11" ht="27" x14ac:dyDescent="0.25">
      <c r="A14" s="142"/>
      <c r="B14" s="9" t="s">
        <v>66</v>
      </c>
      <c r="C14" s="39" t="s">
        <v>58</v>
      </c>
      <c r="D14" s="19"/>
      <c r="E14" s="26" t="s">
        <v>5</v>
      </c>
      <c r="F14" s="39" t="s">
        <v>58</v>
      </c>
      <c r="G14" s="32" t="s">
        <v>56</v>
      </c>
      <c r="H14" s="31" t="s">
        <v>1</v>
      </c>
    </row>
    <row r="15" spans="1:11" ht="40.5" x14ac:dyDescent="0.25">
      <c r="A15" s="142"/>
      <c r="B15" s="13"/>
      <c r="C15" s="42"/>
      <c r="D15" s="19"/>
      <c r="E15" s="26" t="s">
        <v>52</v>
      </c>
      <c r="F15" s="40" t="s">
        <v>11</v>
      </c>
      <c r="G15" s="32" t="s">
        <v>55</v>
      </c>
      <c r="H15" s="33" t="s">
        <v>70</v>
      </c>
    </row>
    <row r="16" spans="1:11" ht="47.25" customHeight="1" x14ac:dyDescent="0.25">
      <c r="A16" s="142"/>
      <c r="B16" s="9" t="s">
        <v>12</v>
      </c>
      <c r="C16" s="40" t="s">
        <v>4</v>
      </c>
      <c r="D16" s="20"/>
      <c r="E16" s="26" t="s">
        <v>63</v>
      </c>
      <c r="F16" s="40" t="s">
        <v>11</v>
      </c>
      <c r="H16" s="33" t="s">
        <v>71</v>
      </c>
    </row>
    <row r="17" spans="1:8" ht="27" x14ac:dyDescent="0.25">
      <c r="A17" s="142"/>
      <c r="B17" s="11" t="s">
        <v>59</v>
      </c>
      <c r="C17" s="40" t="s">
        <v>4</v>
      </c>
      <c r="D17" s="20"/>
      <c r="E17" s="26" t="s">
        <v>16</v>
      </c>
      <c r="F17" s="40" t="s">
        <v>11</v>
      </c>
      <c r="G17" s="30" t="s">
        <v>54</v>
      </c>
      <c r="H17" s="31" t="s">
        <v>13</v>
      </c>
    </row>
    <row r="18" spans="1:8" ht="27" x14ac:dyDescent="0.25">
      <c r="A18" s="142"/>
      <c r="B18" s="12" t="s">
        <v>57</v>
      </c>
      <c r="C18" s="39" t="s">
        <v>8</v>
      </c>
      <c r="D18" s="20"/>
      <c r="E18" s="26" t="s">
        <v>37</v>
      </c>
      <c r="F18" s="40" t="s">
        <v>11</v>
      </c>
      <c r="G18" s="30" t="s">
        <v>68</v>
      </c>
      <c r="H18" s="31" t="s">
        <v>3</v>
      </c>
    </row>
    <row r="19" spans="1:8" ht="54" x14ac:dyDescent="0.25">
      <c r="A19" s="142"/>
      <c r="B19" s="2"/>
      <c r="C19" s="23"/>
      <c r="D19" s="24"/>
      <c r="E19" s="26" t="s">
        <v>64</v>
      </c>
      <c r="F19" s="40" t="s">
        <v>10</v>
      </c>
      <c r="G19" s="32" t="s">
        <v>62</v>
      </c>
      <c r="H19" s="31" t="s">
        <v>72</v>
      </c>
    </row>
    <row r="20" spans="1:8" ht="27" x14ac:dyDescent="0.25">
      <c r="A20" s="142"/>
      <c r="B20" s="2"/>
      <c r="C20" s="23"/>
      <c r="D20" s="24"/>
      <c r="E20" s="35" t="s">
        <v>67</v>
      </c>
      <c r="F20" s="40" t="s">
        <v>10</v>
      </c>
      <c r="G20" s="36"/>
      <c r="H20" s="38" t="s">
        <v>26</v>
      </c>
    </row>
    <row r="21" spans="1:8" ht="27" customHeight="1" thickBot="1" x14ac:dyDescent="0.3">
      <c r="A21" s="142"/>
      <c r="B21" s="3"/>
      <c r="C21" s="16"/>
      <c r="D21" s="21"/>
      <c r="E21" s="27" t="s">
        <v>60</v>
      </c>
      <c r="F21" s="41" t="s">
        <v>61</v>
      </c>
      <c r="G21" s="37" t="s">
        <v>65</v>
      </c>
      <c r="H21" s="34"/>
    </row>
    <row r="24" spans="1:8" ht="15.75" thickBot="1" x14ac:dyDescent="0.3">
      <c r="B24" t="s">
        <v>91</v>
      </c>
    </row>
    <row r="25" spans="1:8" ht="16.5" customHeight="1" x14ac:dyDescent="0.25">
      <c r="A25" s="153" t="s">
        <v>51</v>
      </c>
      <c r="B25" s="149" t="s">
        <v>45</v>
      </c>
      <c r="C25" s="150"/>
      <c r="D25" s="17" t="s">
        <v>46</v>
      </c>
      <c r="E25" s="140" t="s">
        <v>47</v>
      </c>
      <c r="F25" s="141"/>
      <c r="G25" s="52" t="s">
        <v>48</v>
      </c>
      <c r="H25" s="48" t="s">
        <v>49</v>
      </c>
    </row>
    <row r="26" spans="1:8" ht="40.5" x14ac:dyDescent="0.25">
      <c r="A26" s="153"/>
      <c r="B26" s="9" t="s">
        <v>28</v>
      </c>
      <c r="C26" s="39" t="s">
        <v>29</v>
      </c>
      <c r="D26" s="18" t="s">
        <v>33</v>
      </c>
      <c r="E26" s="26" t="s">
        <v>17</v>
      </c>
      <c r="F26" s="45" t="s">
        <v>39</v>
      </c>
      <c r="G26" s="18" t="s">
        <v>22</v>
      </c>
      <c r="H26" s="49" t="s">
        <v>9</v>
      </c>
    </row>
    <row r="27" spans="1:8" ht="40.5" x14ac:dyDescent="0.25">
      <c r="A27" s="153"/>
      <c r="B27" s="9" t="s">
        <v>31</v>
      </c>
      <c r="C27" s="39" t="s">
        <v>30</v>
      </c>
      <c r="D27" s="19" t="s">
        <v>34</v>
      </c>
      <c r="E27" s="26" t="s">
        <v>40</v>
      </c>
      <c r="F27" s="156" t="s">
        <v>42</v>
      </c>
      <c r="G27" s="18" t="s">
        <v>23</v>
      </c>
      <c r="H27" s="49" t="s">
        <v>25</v>
      </c>
    </row>
    <row r="28" spans="1:8" ht="40.5" x14ac:dyDescent="0.25">
      <c r="A28" s="153"/>
      <c r="B28" s="9" t="s">
        <v>32</v>
      </c>
      <c r="C28" s="40" t="s">
        <v>19</v>
      </c>
      <c r="D28" s="19"/>
      <c r="E28" s="26" t="s">
        <v>73</v>
      </c>
      <c r="F28" s="156"/>
      <c r="G28" s="18" t="s">
        <v>44</v>
      </c>
      <c r="H28" s="49" t="s">
        <v>26</v>
      </c>
    </row>
    <row r="29" spans="1:8" ht="27" x14ac:dyDescent="0.25">
      <c r="A29" s="153"/>
      <c r="B29" s="11"/>
      <c r="C29" s="14"/>
      <c r="D29" s="20"/>
      <c r="E29" s="26" t="s">
        <v>41</v>
      </c>
      <c r="F29" s="156" t="s">
        <v>19</v>
      </c>
      <c r="G29" s="53" t="s">
        <v>27</v>
      </c>
      <c r="H29" s="50" t="s">
        <v>75</v>
      </c>
    </row>
    <row r="30" spans="1:8" ht="27" x14ac:dyDescent="0.25">
      <c r="A30" s="153"/>
      <c r="B30" s="11"/>
      <c r="C30" s="43"/>
      <c r="D30" s="20"/>
      <c r="E30" s="26" t="s">
        <v>14</v>
      </c>
      <c r="F30" s="156"/>
      <c r="G30" s="18"/>
      <c r="H30" s="49" t="s">
        <v>74</v>
      </c>
    </row>
    <row r="31" spans="1:8" x14ac:dyDescent="0.25">
      <c r="A31" s="153"/>
      <c r="B31" s="11"/>
      <c r="C31" s="14"/>
      <c r="D31" s="20"/>
      <c r="E31" s="26" t="s">
        <v>43</v>
      </c>
      <c r="F31" s="46" t="s">
        <v>20</v>
      </c>
      <c r="G31" s="19"/>
      <c r="H31" s="49"/>
    </row>
    <row r="32" spans="1:8" ht="27.75" thickBot="1" x14ac:dyDescent="0.3">
      <c r="A32" s="153"/>
      <c r="B32" s="44"/>
      <c r="C32" s="16"/>
      <c r="D32" s="21"/>
      <c r="E32" s="27" t="s">
        <v>18</v>
      </c>
      <c r="F32" s="47" t="s">
        <v>19</v>
      </c>
      <c r="G32" s="54" t="s">
        <v>24</v>
      </c>
      <c r="H32" s="51"/>
    </row>
    <row r="33" spans="1:8" x14ac:dyDescent="0.25">
      <c r="A33" s="154"/>
    </row>
    <row r="34" spans="1:8" x14ac:dyDescent="0.25">
      <c r="A34" s="154"/>
    </row>
    <row r="35" spans="1:8" ht="15.75" thickBot="1" x14ac:dyDescent="0.3">
      <c r="A35" s="154"/>
      <c r="B35" t="s">
        <v>38</v>
      </c>
    </row>
    <row r="36" spans="1:8" x14ac:dyDescent="0.25">
      <c r="A36" s="153"/>
      <c r="B36" s="149" t="s">
        <v>45</v>
      </c>
      <c r="C36" s="150"/>
      <c r="D36" s="17" t="s">
        <v>46</v>
      </c>
      <c r="E36" s="140" t="s">
        <v>47</v>
      </c>
      <c r="F36" s="141"/>
      <c r="G36" s="52" t="s">
        <v>48</v>
      </c>
      <c r="H36" s="52" t="s">
        <v>49</v>
      </c>
    </row>
    <row r="37" spans="1:8" ht="40.5" x14ac:dyDescent="0.25">
      <c r="A37" s="153"/>
      <c r="B37" s="9" t="s">
        <v>85</v>
      </c>
      <c r="C37" s="10" t="s">
        <v>78</v>
      </c>
      <c r="D37" s="18" t="s">
        <v>33</v>
      </c>
      <c r="E37" s="26" t="s">
        <v>76</v>
      </c>
      <c r="F37" s="39" t="s">
        <v>78</v>
      </c>
      <c r="G37" s="19" t="s">
        <v>22</v>
      </c>
      <c r="H37" s="80" t="s">
        <v>9</v>
      </c>
    </row>
    <row r="38" spans="1:8" x14ac:dyDescent="0.25">
      <c r="A38" s="153"/>
      <c r="B38" s="11"/>
      <c r="C38" s="10"/>
      <c r="D38" s="20"/>
      <c r="E38" s="26" t="s">
        <v>86</v>
      </c>
      <c r="F38" s="39" t="s">
        <v>77</v>
      </c>
      <c r="G38" s="19" t="s">
        <v>23</v>
      </c>
      <c r="H38" s="80" t="s">
        <v>26</v>
      </c>
    </row>
    <row r="39" spans="1:8" ht="27" x14ac:dyDescent="0.25">
      <c r="A39" s="153"/>
      <c r="B39" s="11"/>
      <c r="C39" s="10"/>
      <c r="D39" s="20"/>
      <c r="E39" s="26" t="s">
        <v>87</v>
      </c>
      <c r="F39" s="39" t="s">
        <v>77</v>
      </c>
      <c r="G39" s="19"/>
      <c r="H39" s="81" t="s">
        <v>75</v>
      </c>
    </row>
    <row r="40" spans="1:8" ht="27" x14ac:dyDescent="0.25">
      <c r="A40" s="153"/>
      <c r="B40" s="11"/>
      <c r="C40" s="10"/>
      <c r="D40" s="20"/>
      <c r="E40" s="26" t="s">
        <v>79</v>
      </c>
      <c r="F40" s="39" t="s">
        <v>78</v>
      </c>
      <c r="G40" s="53"/>
      <c r="H40" s="80" t="s">
        <v>74</v>
      </c>
    </row>
    <row r="41" spans="1:8" ht="27" x14ac:dyDescent="0.25">
      <c r="A41" s="153"/>
      <c r="B41" s="11"/>
      <c r="C41" s="10"/>
      <c r="D41" s="20"/>
      <c r="E41" s="26" t="s">
        <v>80</v>
      </c>
      <c r="F41" s="46" t="s">
        <v>58</v>
      </c>
      <c r="G41" s="53" t="s">
        <v>92</v>
      </c>
      <c r="H41" s="81"/>
    </row>
    <row r="42" spans="1:8" x14ac:dyDescent="0.25">
      <c r="A42" s="153"/>
      <c r="B42" s="11"/>
      <c r="C42" s="43"/>
      <c r="D42" s="20"/>
      <c r="E42" s="26" t="s">
        <v>83</v>
      </c>
      <c r="F42" s="46" t="s">
        <v>81</v>
      </c>
      <c r="G42" s="78"/>
      <c r="H42" s="81"/>
    </row>
    <row r="43" spans="1:8" ht="40.5" x14ac:dyDescent="0.25">
      <c r="A43" s="153"/>
      <c r="B43" s="11"/>
      <c r="C43" s="14"/>
      <c r="D43" s="20"/>
      <c r="E43" s="26" t="s">
        <v>15</v>
      </c>
      <c r="F43" s="45" t="s">
        <v>88</v>
      </c>
      <c r="G43" s="19"/>
      <c r="H43" s="80"/>
    </row>
    <row r="44" spans="1:8" ht="27.75" thickBot="1" x14ac:dyDescent="0.3">
      <c r="A44" s="153"/>
      <c r="B44" s="44"/>
      <c r="C44" s="16"/>
      <c r="D44" s="21"/>
      <c r="E44" s="27" t="s">
        <v>82</v>
      </c>
      <c r="F44" s="41" t="s">
        <v>78</v>
      </c>
      <c r="G44" s="79"/>
      <c r="H44" s="82"/>
    </row>
    <row r="48" spans="1:8" ht="15.75" thickBot="1" x14ac:dyDescent="0.3">
      <c r="B48" t="s">
        <v>21</v>
      </c>
    </row>
    <row r="49" spans="1:8" ht="15" customHeight="1" x14ac:dyDescent="0.25">
      <c r="A49" s="153" t="s">
        <v>84</v>
      </c>
      <c r="B49" s="149" t="s">
        <v>45</v>
      </c>
      <c r="C49" s="150"/>
      <c r="D49" s="17" t="s">
        <v>46</v>
      </c>
      <c r="E49" s="140" t="s">
        <v>47</v>
      </c>
      <c r="F49" s="141"/>
      <c r="G49" s="52" t="s">
        <v>48</v>
      </c>
      <c r="H49" s="52" t="s">
        <v>49</v>
      </c>
    </row>
    <row r="50" spans="1:8" ht="40.5" x14ac:dyDescent="0.25">
      <c r="A50" s="153"/>
      <c r="B50" s="9" t="s">
        <v>95</v>
      </c>
      <c r="C50" s="39" t="s">
        <v>97</v>
      </c>
      <c r="D50" s="18" t="s">
        <v>94</v>
      </c>
      <c r="E50" s="26" t="s">
        <v>76</v>
      </c>
      <c r="F50" s="39" t="s">
        <v>101</v>
      </c>
      <c r="G50" s="19" t="s">
        <v>105</v>
      </c>
      <c r="H50" s="80" t="s">
        <v>103</v>
      </c>
    </row>
    <row r="51" spans="1:8" ht="27" x14ac:dyDescent="0.25">
      <c r="A51" s="153"/>
      <c r="B51" s="12" t="s">
        <v>96</v>
      </c>
      <c r="C51" s="42"/>
      <c r="D51" s="19"/>
      <c r="E51" s="26" t="s">
        <v>98</v>
      </c>
      <c r="F51" s="39" t="s">
        <v>101</v>
      </c>
      <c r="G51" s="18" t="s">
        <v>111</v>
      </c>
      <c r="H51" s="80" t="s">
        <v>13</v>
      </c>
    </row>
    <row r="52" spans="1:8" ht="27" x14ac:dyDescent="0.25">
      <c r="A52" s="153"/>
      <c r="B52" s="12"/>
      <c r="C52" s="40"/>
      <c r="D52" s="20"/>
      <c r="E52" s="26" t="s">
        <v>99</v>
      </c>
      <c r="F52" s="39" t="s">
        <v>101</v>
      </c>
      <c r="G52" s="19" t="s">
        <v>106</v>
      </c>
      <c r="H52" s="81" t="s">
        <v>70</v>
      </c>
    </row>
    <row r="53" spans="1:8" ht="27" x14ac:dyDescent="0.25">
      <c r="A53" s="153"/>
      <c r="B53" s="11" t="s">
        <v>110</v>
      </c>
      <c r="C53" s="39"/>
      <c r="D53" s="20"/>
      <c r="E53" s="26" t="s">
        <v>100</v>
      </c>
      <c r="F53" s="39" t="s">
        <v>102</v>
      </c>
      <c r="G53" s="18" t="s">
        <v>109</v>
      </c>
      <c r="H53" s="80"/>
    </row>
    <row r="54" spans="1:8" ht="27" x14ac:dyDescent="0.25">
      <c r="A54" s="153"/>
      <c r="B54" s="22" t="s">
        <v>112</v>
      </c>
      <c r="C54" s="23"/>
      <c r="D54" s="24"/>
      <c r="E54" s="26" t="s">
        <v>108</v>
      </c>
      <c r="F54" s="40" t="s">
        <v>103</v>
      </c>
      <c r="G54" s="4"/>
      <c r="H54" s="85" t="s">
        <v>26</v>
      </c>
    </row>
    <row r="55" spans="1:8" ht="27" x14ac:dyDescent="0.25">
      <c r="A55" s="153"/>
      <c r="B55" s="22"/>
      <c r="C55" s="23"/>
      <c r="D55" s="24"/>
      <c r="E55" s="35" t="s">
        <v>104</v>
      </c>
      <c r="F55" s="39" t="s">
        <v>101</v>
      </c>
      <c r="G55" s="24"/>
      <c r="H55" s="80"/>
    </row>
    <row r="56" spans="1:8" x14ac:dyDescent="0.25">
      <c r="A56" s="153"/>
      <c r="B56" s="22"/>
      <c r="C56" s="23"/>
      <c r="D56" s="24"/>
      <c r="E56" s="35"/>
      <c r="F56" s="60"/>
      <c r="G56" s="24"/>
      <c r="H56" s="85"/>
    </row>
    <row r="57" spans="1:8" ht="27.75" thickBot="1" x14ac:dyDescent="0.3">
      <c r="A57" s="153"/>
      <c r="B57" s="15"/>
      <c r="C57" s="16"/>
      <c r="D57" s="21"/>
      <c r="E57" s="27" t="s">
        <v>107</v>
      </c>
      <c r="F57" s="41" t="s">
        <v>101</v>
      </c>
      <c r="G57" s="84" t="s">
        <v>24</v>
      </c>
      <c r="H57" s="86"/>
    </row>
    <row r="58" spans="1:8" x14ac:dyDescent="0.25">
      <c r="A58" s="154"/>
    </row>
    <row r="59" spans="1:8" x14ac:dyDescent="0.25">
      <c r="A59" s="154"/>
    </row>
    <row r="60" spans="1:8" ht="15.75" thickBot="1" x14ac:dyDescent="0.3">
      <c r="A60" s="154"/>
      <c r="B60" t="s">
        <v>35</v>
      </c>
    </row>
    <row r="61" spans="1:8" x14ac:dyDescent="0.25">
      <c r="A61" s="154"/>
      <c r="B61" s="155" t="s">
        <v>45</v>
      </c>
      <c r="C61" s="150"/>
      <c r="D61" s="17" t="s">
        <v>46</v>
      </c>
      <c r="E61" s="140" t="s">
        <v>47</v>
      </c>
      <c r="F61" s="141"/>
      <c r="G61" s="52" t="s">
        <v>48</v>
      </c>
      <c r="H61" s="52" t="s">
        <v>49</v>
      </c>
    </row>
    <row r="62" spans="1:8" ht="40.5" x14ac:dyDescent="0.25">
      <c r="A62" s="154"/>
      <c r="B62" s="55" t="s">
        <v>85</v>
      </c>
      <c r="C62" s="39"/>
      <c r="D62" s="18" t="s">
        <v>114</v>
      </c>
      <c r="E62" s="8" t="s">
        <v>76</v>
      </c>
      <c r="F62" s="39" t="s">
        <v>113</v>
      </c>
      <c r="G62" s="19" t="s">
        <v>105</v>
      </c>
      <c r="H62" s="80" t="s">
        <v>9</v>
      </c>
    </row>
    <row r="63" spans="1:8" ht="40.5" x14ac:dyDescent="0.25">
      <c r="A63" s="154"/>
      <c r="B63" s="56" t="s">
        <v>3</v>
      </c>
      <c r="C63" s="42"/>
      <c r="D63" s="19"/>
      <c r="E63" s="26" t="s">
        <v>125</v>
      </c>
      <c r="F63" s="39" t="s">
        <v>121</v>
      </c>
      <c r="G63" s="18" t="s">
        <v>111</v>
      </c>
      <c r="H63" s="81" t="s">
        <v>70</v>
      </c>
    </row>
    <row r="64" spans="1:8" ht="27" x14ac:dyDescent="0.25">
      <c r="A64" s="154"/>
      <c r="B64" s="56"/>
      <c r="C64" s="40"/>
      <c r="D64" s="20"/>
      <c r="E64" s="26" t="s">
        <v>115</v>
      </c>
      <c r="F64" s="39" t="s">
        <v>121</v>
      </c>
      <c r="G64" s="19" t="s">
        <v>106</v>
      </c>
      <c r="H64" s="80" t="s">
        <v>13</v>
      </c>
    </row>
    <row r="65" spans="1:8" ht="40.5" x14ac:dyDescent="0.25">
      <c r="A65" s="154"/>
      <c r="B65" s="57" t="s">
        <v>110</v>
      </c>
      <c r="C65" s="39"/>
      <c r="D65" s="20"/>
      <c r="E65" s="26" t="s">
        <v>116</v>
      </c>
      <c r="F65" s="39" t="s">
        <v>117</v>
      </c>
      <c r="G65" s="18" t="s">
        <v>109</v>
      </c>
      <c r="H65" s="80" t="s">
        <v>3</v>
      </c>
    </row>
    <row r="66" spans="1:8" x14ac:dyDescent="0.25">
      <c r="A66" s="154"/>
      <c r="B66" s="58" t="s">
        <v>112</v>
      </c>
      <c r="C66" s="23"/>
      <c r="D66" s="24"/>
      <c r="E66" s="26" t="s">
        <v>119</v>
      </c>
      <c r="F66" s="39" t="s">
        <v>123</v>
      </c>
      <c r="G66" s="18"/>
      <c r="H66" s="80"/>
    </row>
    <row r="67" spans="1:8" x14ac:dyDescent="0.25">
      <c r="A67" s="154"/>
      <c r="B67" s="58"/>
      <c r="C67" s="23"/>
      <c r="D67" s="24"/>
      <c r="E67" s="35" t="s">
        <v>120</v>
      </c>
      <c r="F67" s="39" t="s">
        <v>121</v>
      </c>
      <c r="G67" s="24"/>
      <c r="H67" s="85" t="s">
        <v>26</v>
      </c>
    </row>
    <row r="68" spans="1:8" ht="27" x14ac:dyDescent="0.25">
      <c r="A68" s="154"/>
      <c r="B68" s="58"/>
      <c r="C68" s="23"/>
      <c r="D68" s="24"/>
      <c r="E68" s="35" t="s">
        <v>118</v>
      </c>
      <c r="F68" s="39" t="s">
        <v>126</v>
      </c>
      <c r="G68" s="24"/>
      <c r="H68" s="85"/>
    </row>
    <row r="69" spans="1:8" x14ac:dyDescent="0.25">
      <c r="A69" s="154"/>
      <c r="B69" s="58"/>
      <c r="C69" s="23"/>
      <c r="D69" s="24"/>
      <c r="E69" s="35"/>
      <c r="F69" s="61"/>
      <c r="G69" s="24"/>
      <c r="H69" s="85"/>
    </row>
    <row r="70" spans="1:8" ht="54" x14ac:dyDescent="0.25">
      <c r="A70" s="154"/>
      <c r="B70" s="58"/>
      <c r="C70" s="23"/>
      <c r="D70" s="24"/>
      <c r="E70" s="35" t="s">
        <v>124</v>
      </c>
      <c r="F70" s="61" t="s">
        <v>30</v>
      </c>
      <c r="G70" s="83" t="s">
        <v>127</v>
      </c>
      <c r="H70" s="85"/>
    </row>
    <row r="71" spans="1:8" x14ac:dyDescent="0.25">
      <c r="A71" s="154"/>
      <c r="B71" s="58"/>
      <c r="C71" s="23"/>
      <c r="D71" s="24"/>
      <c r="E71" s="35" t="s">
        <v>129</v>
      </c>
      <c r="F71" s="61" t="s">
        <v>30</v>
      </c>
      <c r="G71" s="24" t="s">
        <v>128</v>
      </c>
      <c r="H71" s="85"/>
    </row>
    <row r="72" spans="1:8" ht="27" x14ac:dyDescent="0.25">
      <c r="A72" s="154"/>
      <c r="B72" s="58"/>
      <c r="C72" s="23"/>
      <c r="D72" s="24"/>
      <c r="E72" s="35" t="s">
        <v>147</v>
      </c>
      <c r="F72" s="61" t="s">
        <v>148</v>
      </c>
      <c r="G72" s="24"/>
      <c r="H72" s="85"/>
    </row>
    <row r="73" spans="1:8" ht="15.75" thickBot="1" x14ac:dyDescent="0.3">
      <c r="A73" s="154"/>
      <c r="B73" s="59"/>
      <c r="C73" s="16"/>
      <c r="D73" s="21"/>
      <c r="E73" s="27"/>
      <c r="F73" s="41"/>
      <c r="G73" s="84"/>
      <c r="H73" s="86"/>
    </row>
    <row r="74" spans="1:8" x14ac:dyDescent="0.25">
      <c r="A74" s="154"/>
    </row>
    <row r="75" spans="1:8" x14ac:dyDescent="0.25">
      <c r="A75" s="154"/>
    </row>
    <row r="76" spans="1:8" ht="15.75" thickBot="1" x14ac:dyDescent="0.3">
      <c r="A76" s="154"/>
      <c r="B76" t="s">
        <v>130</v>
      </c>
    </row>
    <row r="77" spans="1:8" ht="15.75" thickBot="1" x14ac:dyDescent="0.3">
      <c r="A77" s="153"/>
      <c r="B77" s="149" t="s">
        <v>45</v>
      </c>
      <c r="C77" s="150"/>
      <c r="D77" s="17" t="s">
        <v>46</v>
      </c>
      <c r="E77" s="151" t="s">
        <v>47</v>
      </c>
      <c r="F77" s="152"/>
      <c r="G77" s="52" t="s">
        <v>48</v>
      </c>
      <c r="H77" s="52" t="s">
        <v>49</v>
      </c>
    </row>
    <row r="78" spans="1:8" ht="27" x14ac:dyDescent="0.25">
      <c r="A78" s="153"/>
      <c r="B78" s="9" t="s">
        <v>85</v>
      </c>
      <c r="C78" s="10"/>
      <c r="D78" s="18" t="s">
        <v>93</v>
      </c>
      <c r="E78" s="72" t="s">
        <v>76</v>
      </c>
      <c r="F78" s="73" t="s">
        <v>113</v>
      </c>
      <c r="G78" s="19" t="s">
        <v>105</v>
      </c>
      <c r="H78" s="80" t="s">
        <v>9</v>
      </c>
    </row>
    <row r="79" spans="1:8" ht="67.5" x14ac:dyDescent="0.25">
      <c r="A79" s="153"/>
      <c r="B79" s="11"/>
      <c r="C79" s="10"/>
      <c r="D79" s="20"/>
      <c r="E79" s="26" t="s">
        <v>132</v>
      </c>
      <c r="F79" s="71" t="s">
        <v>121</v>
      </c>
      <c r="G79" s="19"/>
      <c r="H79" s="80" t="s">
        <v>26</v>
      </c>
    </row>
    <row r="80" spans="1:8" ht="40.5" x14ac:dyDescent="0.25">
      <c r="A80" s="153"/>
      <c r="B80" s="11" t="s">
        <v>135</v>
      </c>
      <c r="C80" s="10"/>
      <c r="D80" s="20"/>
      <c r="E80" s="26" t="s">
        <v>131</v>
      </c>
      <c r="F80" s="71" t="s">
        <v>117</v>
      </c>
      <c r="G80" s="19"/>
      <c r="H80" s="81" t="s">
        <v>75</v>
      </c>
    </row>
    <row r="81" spans="1:8" x14ac:dyDescent="0.25">
      <c r="A81" s="153"/>
      <c r="B81" s="22" t="s">
        <v>112</v>
      </c>
      <c r="C81" s="10"/>
      <c r="D81" s="20"/>
      <c r="E81" s="26"/>
      <c r="F81" s="71"/>
      <c r="G81" s="19"/>
      <c r="H81" s="81"/>
    </row>
    <row r="82" spans="1:8" x14ac:dyDescent="0.25">
      <c r="A82" s="153"/>
      <c r="B82" s="22"/>
      <c r="C82" s="10"/>
      <c r="D82" s="20"/>
      <c r="E82" s="35" t="s">
        <v>146</v>
      </c>
      <c r="F82" s="74" t="s">
        <v>30</v>
      </c>
      <c r="G82" s="78" t="s">
        <v>134</v>
      </c>
      <c r="H82" s="81"/>
    </row>
    <row r="83" spans="1:8" x14ac:dyDescent="0.25">
      <c r="A83" s="153"/>
      <c r="B83" s="22"/>
      <c r="C83" s="10"/>
      <c r="D83" s="20"/>
      <c r="E83" s="35" t="s">
        <v>129</v>
      </c>
      <c r="F83" s="75" t="s">
        <v>30</v>
      </c>
      <c r="G83" s="19"/>
      <c r="H83" s="81"/>
    </row>
    <row r="84" spans="1:8" ht="27" x14ac:dyDescent="0.25">
      <c r="A84" s="153"/>
      <c r="B84" s="22"/>
      <c r="C84" s="10"/>
      <c r="D84" s="20"/>
      <c r="E84" s="35" t="s">
        <v>122</v>
      </c>
      <c r="F84" s="71" t="s">
        <v>30</v>
      </c>
      <c r="G84" s="53" t="s">
        <v>133</v>
      </c>
      <c r="H84" s="80" t="s">
        <v>74</v>
      </c>
    </row>
    <row r="85" spans="1:8" ht="27" x14ac:dyDescent="0.25">
      <c r="A85" s="153"/>
      <c r="B85" s="22"/>
      <c r="C85" s="23"/>
      <c r="D85" s="24"/>
      <c r="E85" s="35" t="s">
        <v>147</v>
      </c>
      <c r="F85" s="76" t="s">
        <v>148</v>
      </c>
      <c r="G85" s="53"/>
      <c r="H85" s="80"/>
    </row>
    <row r="86" spans="1:8" ht="15.75" thickBot="1" x14ac:dyDescent="0.3">
      <c r="A86" s="153"/>
      <c r="B86" s="44"/>
      <c r="C86" s="16"/>
      <c r="D86" s="21"/>
      <c r="E86" s="27"/>
      <c r="F86" s="77"/>
      <c r="G86" s="79"/>
      <c r="H86" s="82"/>
    </row>
  </sheetData>
  <mergeCells count="24">
    <mergeCell ref="B77:C77"/>
    <mergeCell ref="E77:F77"/>
    <mergeCell ref="A49:A86"/>
    <mergeCell ref="A9:H9"/>
    <mergeCell ref="B49:C49"/>
    <mergeCell ref="E49:F49"/>
    <mergeCell ref="B61:C61"/>
    <mergeCell ref="E61:F61"/>
    <mergeCell ref="B36:C36"/>
    <mergeCell ref="E36:F36"/>
    <mergeCell ref="A25:A44"/>
    <mergeCell ref="F27:F28"/>
    <mergeCell ref="F29:F30"/>
    <mergeCell ref="B11:C11"/>
    <mergeCell ref="E11:F11"/>
    <mergeCell ref="B25:C25"/>
    <mergeCell ref="E25:F25"/>
    <mergeCell ref="A11:A21"/>
    <mergeCell ref="B7:F7"/>
    <mergeCell ref="A1:H1"/>
    <mergeCell ref="A3:H3"/>
    <mergeCell ref="B5:F5"/>
    <mergeCell ref="B6:H6"/>
    <mergeCell ref="B4:F4"/>
  </mergeCells>
  <pageMargins left="0.7" right="0.7" top="0.75" bottom="0.75" header="0.3" footer="0.3"/>
  <pageSetup paperSize="9" scale="7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0AD1-9297-44C3-B6B4-9D30E565AECD}">
  <dimension ref="B1:K33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RowHeight="15" x14ac:dyDescent="0.25"/>
  <cols>
    <col min="1" max="1" width="2" customWidth="1"/>
    <col min="2" max="2" width="6.85546875" customWidth="1"/>
    <col min="3" max="3" width="45.5703125" customWidth="1"/>
    <col min="4" max="4" width="27.5703125" customWidth="1"/>
    <col min="5" max="5" width="18.5703125" customWidth="1"/>
    <col min="6" max="6" width="22.5703125" customWidth="1"/>
    <col min="7" max="7" width="31.5703125" customWidth="1"/>
    <col min="8" max="8" width="15.5703125" customWidth="1"/>
    <col min="9" max="9" width="14.7109375" customWidth="1"/>
    <col min="10" max="10" width="17.140625" customWidth="1"/>
    <col min="11" max="11" width="31" customWidth="1"/>
  </cols>
  <sheetData>
    <row r="1" spans="2:11" ht="15.75" thickBot="1" x14ac:dyDescent="0.3"/>
    <row r="2" spans="2:11" ht="26.25" thickBot="1" x14ac:dyDescent="0.4">
      <c r="B2" s="144" t="s">
        <v>234</v>
      </c>
      <c r="C2" s="145"/>
      <c r="D2" s="145"/>
      <c r="E2" s="145"/>
      <c r="F2" s="145"/>
      <c r="G2" s="145"/>
      <c r="H2" s="145"/>
      <c r="I2" s="145"/>
      <c r="J2" s="145"/>
      <c r="K2" s="146"/>
    </row>
    <row r="4" spans="2:11" ht="30" customHeight="1" x14ac:dyDescent="0.25">
      <c r="B4" s="94" t="s">
        <v>228</v>
      </c>
      <c r="C4" s="95" t="s">
        <v>229</v>
      </c>
      <c r="D4" s="95" t="s">
        <v>230</v>
      </c>
      <c r="E4" s="95" t="s">
        <v>237</v>
      </c>
      <c r="F4" s="91" t="s">
        <v>241</v>
      </c>
      <c r="G4" s="95" t="s">
        <v>239</v>
      </c>
      <c r="H4" s="108" t="s">
        <v>281</v>
      </c>
      <c r="I4" s="95" t="s">
        <v>231</v>
      </c>
      <c r="J4" s="91" t="s">
        <v>282</v>
      </c>
      <c r="K4" s="94" t="s">
        <v>232</v>
      </c>
    </row>
    <row r="5" spans="2:11" ht="27" x14ac:dyDescent="0.25">
      <c r="B5" s="96">
        <v>1</v>
      </c>
      <c r="C5" s="97" t="s">
        <v>280</v>
      </c>
      <c r="D5" s="98" t="s">
        <v>29</v>
      </c>
      <c r="E5" s="104"/>
      <c r="F5" s="98"/>
      <c r="G5" s="103" t="s">
        <v>240</v>
      </c>
      <c r="H5" s="99">
        <v>44336</v>
      </c>
      <c r="I5" s="96" t="s">
        <v>202</v>
      </c>
      <c r="J5" s="96" t="s">
        <v>253</v>
      </c>
      <c r="K5" s="98" t="s">
        <v>247</v>
      </c>
    </row>
    <row r="6" spans="2:11" x14ac:dyDescent="0.25">
      <c r="B6" s="158">
        <v>2</v>
      </c>
      <c r="C6" s="157" t="s">
        <v>199</v>
      </c>
      <c r="D6" s="100" t="s">
        <v>29</v>
      </c>
      <c r="E6" s="105"/>
      <c r="F6" s="100"/>
      <c r="G6" s="100" t="s">
        <v>200</v>
      </c>
      <c r="H6" s="101">
        <v>44336</v>
      </c>
      <c r="I6" s="102" t="s">
        <v>202</v>
      </c>
      <c r="J6" s="96" t="s">
        <v>253</v>
      </c>
      <c r="K6" s="157" t="s">
        <v>247</v>
      </c>
    </row>
    <row r="7" spans="2:11" ht="27" x14ac:dyDescent="0.25">
      <c r="B7" s="158"/>
      <c r="C7" s="157"/>
      <c r="D7" s="98" t="s">
        <v>198</v>
      </c>
      <c r="E7" s="105"/>
      <c r="F7" s="100"/>
      <c r="G7" s="97" t="s">
        <v>201</v>
      </c>
      <c r="H7" s="99">
        <v>44336</v>
      </c>
      <c r="I7" s="102"/>
      <c r="J7" s="96" t="s">
        <v>253</v>
      </c>
      <c r="K7" s="157"/>
    </row>
    <row r="8" spans="2:11" ht="40.5" x14ac:dyDescent="0.25">
      <c r="B8" s="96">
        <v>3</v>
      </c>
      <c r="C8" s="97" t="s">
        <v>235</v>
      </c>
      <c r="D8" s="103" t="s">
        <v>250</v>
      </c>
      <c r="E8" s="106" t="s">
        <v>236</v>
      </c>
      <c r="F8" s="103"/>
      <c r="G8" s="100"/>
      <c r="H8" s="99"/>
      <c r="I8" s="100"/>
      <c r="J8" s="96" t="s">
        <v>253</v>
      </c>
      <c r="K8" s="98" t="s">
        <v>256</v>
      </c>
    </row>
    <row r="9" spans="2:11" ht="40.5" x14ac:dyDescent="0.25">
      <c r="B9" s="96">
        <v>4</v>
      </c>
      <c r="C9" s="97" t="s">
        <v>249</v>
      </c>
      <c r="D9" s="103" t="s">
        <v>251</v>
      </c>
      <c r="E9" s="106" t="s">
        <v>238</v>
      </c>
      <c r="F9" s="103"/>
      <c r="G9" s="100"/>
      <c r="H9" s="99"/>
      <c r="I9" s="100"/>
      <c r="J9" s="96" t="s">
        <v>253</v>
      </c>
      <c r="K9" s="98" t="s">
        <v>256</v>
      </c>
    </row>
    <row r="10" spans="2:11" ht="40.5" x14ac:dyDescent="0.25">
      <c r="B10" s="96">
        <v>5</v>
      </c>
      <c r="C10" s="97" t="s">
        <v>243</v>
      </c>
      <c r="D10" s="103" t="s">
        <v>242</v>
      </c>
      <c r="E10" s="105"/>
      <c r="F10" s="100"/>
      <c r="G10" s="100"/>
      <c r="H10" s="109">
        <v>44336</v>
      </c>
      <c r="I10" s="126">
        <v>0.52083333333333337</v>
      </c>
      <c r="J10" s="96" t="s">
        <v>297</v>
      </c>
      <c r="K10" s="98" t="s">
        <v>248</v>
      </c>
    </row>
    <row r="11" spans="2:11" ht="51.75" customHeight="1" x14ac:dyDescent="0.25">
      <c r="B11" s="96">
        <v>6</v>
      </c>
      <c r="C11" s="97" t="s">
        <v>252</v>
      </c>
      <c r="D11" s="103" t="s">
        <v>250</v>
      </c>
      <c r="E11" s="105"/>
      <c r="F11" s="100"/>
      <c r="G11" s="100"/>
      <c r="H11" s="99"/>
      <c r="I11" s="100"/>
      <c r="J11" s="96" t="s">
        <v>253</v>
      </c>
      <c r="K11" s="113" t="s">
        <v>257</v>
      </c>
    </row>
    <row r="12" spans="2:11" ht="57" customHeight="1" x14ac:dyDescent="0.25">
      <c r="B12" s="96">
        <v>7</v>
      </c>
      <c r="C12" s="103" t="s">
        <v>266</v>
      </c>
      <c r="D12" s="103" t="s">
        <v>250</v>
      </c>
      <c r="E12" s="112" t="s">
        <v>255</v>
      </c>
      <c r="F12" s="100"/>
      <c r="G12" s="100"/>
      <c r="H12" s="99"/>
      <c r="I12" s="100"/>
      <c r="J12" s="96" t="s">
        <v>253</v>
      </c>
      <c r="K12" s="113" t="s">
        <v>257</v>
      </c>
    </row>
    <row r="13" spans="2:11" ht="57" customHeight="1" x14ac:dyDescent="0.25">
      <c r="B13" s="96">
        <v>8</v>
      </c>
      <c r="C13" s="103" t="s">
        <v>265</v>
      </c>
      <c r="D13" s="103" t="s">
        <v>250</v>
      </c>
      <c r="E13" s="106" t="s">
        <v>268</v>
      </c>
      <c r="F13" s="100"/>
      <c r="G13" s="100"/>
      <c r="H13" s="99"/>
      <c r="I13" s="100"/>
      <c r="J13" s="96" t="s">
        <v>253</v>
      </c>
      <c r="K13" s="113" t="s">
        <v>257</v>
      </c>
    </row>
    <row r="14" spans="2:11" ht="57" customHeight="1" x14ac:dyDescent="0.25">
      <c r="B14" s="96">
        <v>9</v>
      </c>
      <c r="C14" s="103" t="s">
        <v>267</v>
      </c>
      <c r="D14" s="103" t="s">
        <v>250</v>
      </c>
      <c r="E14" s="112" t="s">
        <v>269</v>
      </c>
      <c r="F14" s="100"/>
      <c r="G14" s="100"/>
      <c r="H14" s="99"/>
      <c r="I14" s="100"/>
      <c r="J14" s="96" t="s">
        <v>253</v>
      </c>
      <c r="K14" s="113" t="s">
        <v>257</v>
      </c>
    </row>
    <row r="15" spans="2:11" ht="67.5" x14ac:dyDescent="0.25">
      <c r="B15" s="96">
        <v>10</v>
      </c>
      <c r="C15" s="97" t="s">
        <v>270</v>
      </c>
      <c r="D15" s="103" t="s">
        <v>250</v>
      </c>
      <c r="E15" s="105"/>
      <c r="F15" s="100"/>
      <c r="G15" s="100"/>
      <c r="H15" s="99"/>
      <c r="I15" s="100"/>
      <c r="J15" s="96" t="s">
        <v>253</v>
      </c>
      <c r="K15" s="98" t="s">
        <v>271</v>
      </c>
    </row>
    <row r="16" spans="2:11" ht="40.5" x14ac:dyDescent="0.25">
      <c r="B16" s="96">
        <v>11</v>
      </c>
      <c r="C16" s="97" t="s">
        <v>254</v>
      </c>
      <c r="D16" s="103" t="s">
        <v>250</v>
      </c>
      <c r="E16" s="105"/>
      <c r="F16" s="100"/>
      <c r="G16" s="100"/>
      <c r="H16" s="99"/>
      <c r="I16" s="100"/>
      <c r="J16" s="96" t="s">
        <v>253</v>
      </c>
      <c r="K16" s="98" t="s">
        <v>264</v>
      </c>
    </row>
    <row r="17" spans="2:11" ht="27" x14ac:dyDescent="0.25">
      <c r="B17" s="96">
        <v>12</v>
      </c>
      <c r="C17" s="98" t="s">
        <v>272</v>
      </c>
      <c r="D17" s="103" t="s">
        <v>242</v>
      </c>
      <c r="E17" s="105"/>
      <c r="F17" s="100"/>
      <c r="G17" s="100"/>
      <c r="H17" s="109">
        <v>44336</v>
      </c>
      <c r="I17" s="100"/>
      <c r="J17" s="96" t="s">
        <v>253</v>
      </c>
      <c r="K17" s="100" t="s">
        <v>274</v>
      </c>
    </row>
    <row r="18" spans="2:11" ht="81" x14ac:dyDescent="0.25">
      <c r="B18" s="96">
        <v>13</v>
      </c>
      <c r="C18" s="103" t="s">
        <v>275</v>
      </c>
      <c r="D18" s="103" t="s">
        <v>251</v>
      </c>
      <c r="E18" s="105"/>
      <c r="F18" s="100"/>
      <c r="G18" s="97" t="s">
        <v>276</v>
      </c>
      <c r="H18" s="99"/>
      <c r="I18" s="100"/>
      <c r="J18" s="96" t="s">
        <v>253</v>
      </c>
      <c r="K18" s="113" t="s">
        <v>257</v>
      </c>
    </row>
    <row r="19" spans="2:11" x14ac:dyDescent="0.25">
      <c r="B19" s="96">
        <v>14</v>
      </c>
      <c r="C19" s="100"/>
      <c r="D19" s="100"/>
      <c r="E19" s="105"/>
      <c r="F19" s="100"/>
      <c r="G19" s="100"/>
      <c r="H19" s="99"/>
      <c r="I19" s="100"/>
      <c r="J19" s="96" t="s">
        <v>253</v>
      </c>
      <c r="K19" s="100"/>
    </row>
    <row r="20" spans="2:11" x14ac:dyDescent="0.25">
      <c r="B20" s="96">
        <v>15</v>
      </c>
      <c r="C20" s="100"/>
      <c r="D20" s="100"/>
      <c r="E20" s="105"/>
      <c r="F20" s="100"/>
      <c r="G20" s="100"/>
      <c r="H20" s="99"/>
      <c r="I20" s="100"/>
      <c r="J20" s="96" t="s">
        <v>253</v>
      </c>
      <c r="K20" s="100"/>
    </row>
    <row r="21" spans="2:11" x14ac:dyDescent="0.25">
      <c r="B21" s="96">
        <v>16</v>
      </c>
      <c r="C21" s="100"/>
      <c r="D21" s="100"/>
      <c r="E21" s="105"/>
      <c r="F21" s="100"/>
      <c r="G21" s="100"/>
      <c r="H21" s="99"/>
      <c r="I21" s="100"/>
      <c r="J21" s="96" t="s">
        <v>253</v>
      </c>
      <c r="K21" s="100"/>
    </row>
    <row r="22" spans="2:11" x14ac:dyDescent="0.25">
      <c r="B22" s="96">
        <v>17</v>
      </c>
      <c r="C22" s="100"/>
      <c r="D22" s="100"/>
      <c r="E22" s="105"/>
      <c r="F22" s="100"/>
      <c r="G22" s="100"/>
      <c r="H22" s="99"/>
      <c r="I22" s="100"/>
      <c r="J22" s="96" t="s">
        <v>253</v>
      </c>
      <c r="K22" s="100"/>
    </row>
    <row r="23" spans="2:11" x14ac:dyDescent="0.25">
      <c r="B23" s="96">
        <v>18</v>
      </c>
      <c r="C23" s="100"/>
      <c r="D23" s="100"/>
      <c r="E23" s="105"/>
      <c r="F23" s="100"/>
      <c r="G23" s="100"/>
      <c r="H23" s="99"/>
      <c r="I23" s="100"/>
      <c r="J23" s="96" t="s">
        <v>253</v>
      </c>
      <c r="K23" s="100"/>
    </row>
    <row r="24" spans="2:11" x14ac:dyDescent="0.25">
      <c r="B24" s="96">
        <v>19</v>
      </c>
      <c r="C24" s="100"/>
      <c r="D24" s="100"/>
      <c r="E24" s="105"/>
      <c r="F24" s="100"/>
      <c r="G24" s="100"/>
      <c r="H24" s="99"/>
      <c r="I24" s="100"/>
      <c r="J24" s="96" t="s">
        <v>253</v>
      </c>
      <c r="K24" s="100"/>
    </row>
    <row r="25" spans="2:11" x14ac:dyDescent="0.25">
      <c r="B25" s="96">
        <v>20</v>
      </c>
      <c r="C25" s="100"/>
      <c r="D25" s="100"/>
      <c r="E25" s="105"/>
      <c r="F25" s="100"/>
      <c r="G25" s="100"/>
      <c r="H25" s="99"/>
      <c r="I25" s="100"/>
      <c r="J25" s="96" t="s">
        <v>253</v>
      </c>
      <c r="K25" s="100"/>
    </row>
    <row r="26" spans="2:11" x14ac:dyDescent="0.25">
      <c r="B26" s="96">
        <v>21</v>
      </c>
      <c r="C26" s="100"/>
      <c r="D26" s="100"/>
      <c r="E26" s="105"/>
      <c r="F26" s="100"/>
      <c r="G26" s="100"/>
      <c r="H26" s="99"/>
      <c r="I26" s="100"/>
      <c r="J26" s="96" t="s">
        <v>253</v>
      </c>
      <c r="K26" s="100"/>
    </row>
    <row r="27" spans="2:11" x14ac:dyDescent="0.25">
      <c r="B27" s="96">
        <v>22</v>
      </c>
      <c r="C27" s="100"/>
      <c r="D27" s="100"/>
      <c r="E27" s="105"/>
      <c r="F27" s="100"/>
      <c r="G27" s="100"/>
      <c r="H27" s="99"/>
      <c r="I27" s="100"/>
      <c r="J27" s="96" t="s">
        <v>253</v>
      </c>
      <c r="K27" s="100"/>
    </row>
    <row r="28" spans="2:11" x14ac:dyDescent="0.25">
      <c r="B28" s="96">
        <v>23</v>
      </c>
      <c r="C28" s="100"/>
      <c r="D28" s="100"/>
      <c r="E28" s="105"/>
      <c r="F28" s="100"/>
      <c r="G28" s="100"/>
      <c r="H28" s="99"/>
      <c r="I28" s="100"/>
      <c r="J28" s="96" t="s">
        <v>253</v>
      </c>
      <c r="K28" s="100"/>
    </row>
    <row r="29" spans="2:11" x14ac:dyDescent="0.25">
      <c r="B29" s="96">
        <v>24</v>
      </c>
      <c r="C29" s="100"/>
      <c r="D29" s="100"/>
      <c r="E29" s="105"/>
      <c r="F29" s="100"/>
      <c r="G29" s="100"/>
      <c r="H29" s="99"/>
      <c r="I29" s="100"/>
      <c r="J29" s="96" t="s">
        <v>253</v>
      </c>
      <c r="K29" s="100"/>
    </row>
    <row r="30" spans="2:11" x14ac:dyDescent="0.25">
      <c r="B30" s="96">
        <v>25</v>
      </c>
      <c r="C30" s="6"/>
      <c r="D30" s="6"/>
      <c r="E30" s="107"/>
      <c r="F30" s="6"/>
      <c r="G30" s="6"/>
      <c r="H30" s="99"/>
      <c r="I30" s="6"/>
      <c r="J30" s="96" t="s">
        <v>253</v>
      </c>
      <c r="K30" s="6"/>
    </row>
    <row r="31" spans="2:11" x14ac:dyDescent="0.25">
      <c r="B31" s="96">
        <v>26</v>
      </c>
      <c r="C31" s="6"/>
      <c r="D31" s="6"/>
      <c r="E31" s="107"/>
      <c r="F31" s="6"/>
      <c r="G31" s="6"/>
      <c r="H31" s="99"/>
      <c r="I31" s="6"/>
      <c r="J31" s="96" t="s">
        <v>253</v>
      </c>
      <c r="K31" s="6"/>
    </row>
    <row r="32" spans="2:11" x14ac:dyDescent="0.25">
      <c r="B32" s="96">
        <v>27</v>
      </c>
      <c r="C32" s="6"/>
      <c r="D32" s="6"/>
      <c r="E32" s="107"/>
      <c r="F32" s="6"/>
      <c r="G32" s="6"/>
      <c r="H32" s="99"/>
      <c r="I32" s="6"/>
      <c r="J32" s="96" t="s">
        <v>253</v>
      </c>
      <c r="K32" s="6"/>
    </row>
    <row r="33" spans="2:11" x14ac:dyDescent="0.25">
      <c r="B33" s="96">
        <v>28</v>
      </c>
      <c r="C33" s="6"/>
      <c r="D33" s="6"/>
      <c r="E33" s="107"/>
      <c r="F33" s="6"/>
      <c r="G33" s="6"/>
      <c r="H33" s="99"/>
      <c r="I33" s="6"/>
      <c r="J33" s="96" t="s">
        <v>253</v>
      </c>
      <c r="K33" s="6"/>
    </row>
  </sheetData>
  <autoFilter ref="B4:K33" xr:uid="{89D2BB2D-392A-4021-89B9-DB4DF3D93463}"/>
  <mergeCells count="4">
    <mergeCell ref="B2:K2"/>
    <mergeCell ref="C6:C7"/>
    <mergeCell ref="B6:B7"/>
    <mergeCell ref="K6:K7"/>
  </mergeCells>
  <dataValidations count="1">
    <dataValidation type="list" allowBlank="1" showInputMessage="1" showErrorMessage="1" sqref="J5:J33" xr:uid="{ADDABD54-4AC8-4AE6-BD08-1E4419375958}">
      <formula1>"PENDIENTE,PLANIFICADA,EJECUTADA"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67A7-E938-48EA-A5FF-E368B85D412E}">
  <dimension ref="A1:L58"/>
  <sheetViews>
    <sheetView tabSelected="1" topLeftCell="A2" zoomScale="80" zoomScaleNormal="80" workbookViewId="0">
      <pane ySplit="3" topLeftCell="A5" activePane="bottomLeft" state="frozen"/>
      <selection activeCell="B2" sqref="B2"/>
      <selection pane="bottomLeft" activeCell="A2" sqref="A2"/>
    </sheetView>
  </sheetViews>
  <sheetFormatPr baseColWidth="10" defaultRowHeight="15" x14ac:dyDescent="0.25"/>
  <cols>
    <col min="1" max="1" width="5.85546875" style="90" customWidth="1"/>
    <col min="2" max="2" width="11.42578125" style="118"/>
    <col min="3" max="3" width="27.28515625" style="118" customWidth="1"/>
    <col min="4" max="4" width="12.7109375" style="118" bestFit="1" customWidth="1"/>
    <col min="5" max="5" width="44.42578125" style="118" customWidth="1"/>
    <col min="6" max="6" width="14.42578125" style="90" customWidth="1"/>
    <col min="7" max="7" width="67" style="118" bestFit="1" customWidth="1"/>
    <col min="8" max="8" width="16.42578125" style="90" customWidth="1"/>
    <col min="9" max="9" width="19" style="90" hidden="1" customWidth="1"/>
    <col min="10" max="10" width="24.42578125" style="118" customWidth="1"/>
    <col min="11" max="11" width="27" style="118" customWidth="1"/>
    <col min="12" max="12" width="11.42578125" style="118"/>
    <col min="13" max="13" width="17.140625" style="118" customWidth="1"/>
    <col min="14" max="16384" width="11.42578125" style="118"/>
  </cols>
  <sheetData>
    <row r="1" spans="1:12" ht="15.75" thickBot="1" x14ac:dyDescent="0.3"/>
    <row r="2" spans="1:12" ht="26.25" thickBot="1" x14ac:dyDescent="0.4">
      <c r="B2" s="144" t="s">
        <v>233</v>
      </c>
      <c r="C2" s="145"/>
      <c r="D2" s="145"/>
      <c r="E2" s="145"/>
      <c r="F2" s="145"/>
      <c r="G2" s="145"/>
      <c r="H2" s="145"/>
      <c r="I2" s="145"/>
      <c r="J2" s="145"/>
      <c r="K2" s="146"/>
      <c r="L2" s="68"/>
    </row>
    <row r="3" spans="1:12" ht="8.25" customHeight="1" x14ac:dyDescent="0.25"/>
    <row r="4" spans="1:12" ht="25.5" x14ac:dyDescent="0.25">
      <c r="A4" s="137" t="s">
        <v>155</v>
      </c>
      <c r="B4" s="91" t="s">
        <v>90</v>
      </c>
      <c r="C4" s="95" t="s">
        <v>149</v>
      </c>
      <c r="D4" s="94" t="s">
        <v>197</v>
      </c>
      <c r="E4" s="94" t="s">
        <v>301</v>
      </c>
      <c r="F4" s="91" t="s">
        <v>312</v>
      </c>
      <c r="G4" s="95" t="s">
        <v>150</v>
      </c>
      <c r="H4" s="94" t="s">
        <v>217</v>
      </c>
      <c r="I4" s="94" t="s">
        <v>294</v>
      </c>
      <c r="J4" s="94" t="s">
        <v>183</v>
      </c>
      <c r="K4" s="94" t="s">
        <v>196</v>
      </c>
    </row>
    <row r="5" spans="1:12" x14ac:dyDescent="0.25">
      <c r="A5" s="138">
        <v>1</v>
      </c>
      <c r="B5" s="173">
        <v>100</v>
      </c>
      <c r="C5" s="163" t="s">
        <v>151</v>
      </c>
      <c r="D5" s="174" t="s">
        <v>89</v>
      </c>
      <c r="E5" s="170" t="s">
        <v>151</v>
      </c>
      <c r="F5" s="164" t="s">
        <v>386</v>
      </c>
      <c r="G5" s="92" t="s">
        <v>152</v>
      </c>
      <c r="H5" s="119" t="str">
        <f>+CONCATENATE(D$5,F$5,TEXT(A5,"00000"))</f>
        <v>MPR00100001</v>
      </c>
      <c r="I5" s="119">
        <v>111401</v>
      </c>
      <c r="J5" s="175">
        <v>11140100</v>
      </c>
      <c r="K5" s="92"/>
    </row>
    <row r="6" spans="1:12" x14ac:dyDescent="0.25">
      <c r="A6" s="138">
        <v>2</v>
      </c>
      <c r="B6" s="173"/>
      <c r="C6" s="163"/>
      <c r="D6" s="174"/>
      <c r="E6" s="171"/>
      <c r="F6" s="166"/>
      <c r="G6" s="92" t="s">
        <v>153</v>
      </c>
      <c r="H6" s="131" t="str">
        <f>+CONCATENATE(D$5,F$5,TEXT(A6,"00000"))</f>
        <v>MPR00100002</v>
      </c>
      <c r="I6" s="119"/>
      <c r="J6" s="176"/>
      <c r="K6" s="92"/>
    </row>
    <row r="7" spans="1:12" x14ac:dyDescent="0.25">
      <c r="A7" s="138">
        <v>1</v>
      </c>
      <c r="B7" s="173">
        <v>101</v>
      </c>
      <c r="C7" s="163" t="s">
        <v>154</v>
      </c>
      <c r="D7" s="173" t="s">
        <v>155</v>
      </c>
      <c r="E7" s="170" t="s">
        <v>154</v>
      </c>
      <c r="F7" s="164" t="s">
        <v>386</v>
      </c>
      <c r="G7" s="92" t="s">
        <v>156</v>
      </c>
      <c r="H7" s="131" t="str">
        <f>+CONCATENATE(D$7,F$7,TEXT(A7,"00000"))</f>
        <v>SEC00100001</v>
      </c>
      <c r="I7" s="119">
        <v>111402</v>
      </c>
      <c r="J7" s="175">
        <v>11140101</v>
      </c>
      <c r="K7" s="92"/>
    </row>
    <row r="8" spans="1:12" x14ac:dyDescent="0.25">
      <c r="A8" s="138">
        <v>2</v>
      </c>
      <c r="B8" s="173"/>
      <c r="C8" s="163"/>
      <c r="D8" s="173"/>
      <c r="E8" s="171"/>
      <c r="F8" s="166"/>
      <c r="G8" s="92" t="s">
        <v>157</v>
      </c>
      <c r="H8" s="131" t="str">
        <f>+CONCATENATE(D$7,F$7,TEXT(A8,"00000"))</f>
        <v>SEC00100002</v>
      </c>
      <c r="I8" s="119"/>
      <c r="J8" s="176"/>
      <c r="K8" s="92"/>
    </row>
    <row r="9" spans="1:12" x14ac:dyDescent="0.25">
      <c r="A9" s="138">
        <v>1</v>
      </c>
      <c r="B9" s="167">
        <v>102</v>
      </c>
      <c r="C9" s="170" t="s">
        <v>302</v>
      </c>
      <c r="D9" s="167" t="s">
        <v>383</v>
      </c>
      <c r="E9" s="115" t="s">
        <v>184</v>
      </c>
      <c r="F9" s="139" t="s">
        <v>386</v>
      </c>
      <c r="G9" s="92" t="s">
        <v>186</v>
      </c>
      <c r="H9" s="131" t="str">
        <f>+CONCATENATE(D$9,F9,TEXT(A9,"00000"))</f>
        <v>TAL00100001</v>
      </c>
      <c r="I9" s="119"/>
      <c r="J9" s="167">
        <v>11140102</v>
      </c>
      <c r="K9" s="92"/>
    </row>
    <row r="10" spans="1:12" x14ac:dyDescent="0.25">
      <c r="A10" s="138">
        <v>1</v>
      </c>
      <c r="B10" s="168"/>
      <c r="C10" s="186"/>
      <c r="D10" s="168"/>
      <c r="E10" s="115" t="s">
        <v>187</v>
      </c>
      <c r="F10" s="139" t="s">
        <v>387</v>
      </c>
      <c r="G10" s="92" t="s">
        <v>189</v>
      </c>
      <c r="H10" s="131" t="str">
        <f>+CONCATENATE(D$9,F$10,TEXT(A10,"00000"))</f>
        <v>TAL00200001</v>
      </c>
      <c r="I10" s="119"/>
      <c r="J10" s="168"/>
      <c r="K10" s="92"/>
    </row>
    <row r="11" spans="1:12" x14ac:dyDescent="0.25">
      <c r="A11" s="138">
        <v>1</v>
      </c>
      <c r="B11" s="168"/>
      <c r="C11" s="186"/>
      <c r="D11" s="168"/>
      <c r="E11" s="115" t="s">
        <v>313</v>
      </c>
      <c r="F11" s="139" t="s">
        <v>388</v>
      </c>
      <c r="G11" s="92" t="s">
        <v>158</v>
      </c>
      <c r="H11" s="131" t="str">
        <f>+CONCATENATE(D$9,F11,TEXT(A11,"00000"))</f>
        <v>TAL00300001</v>
      </c>
      <c r="I11" s="119"/>
      <c r="J11" s="168"/>
      <c r="K11" s="92"/>
    </row>
    <row r="12" spans="1:12" x14ac:dyDescent="0.25">
      <c r="A12" s="138">
        <v>1</v>
      </c>
      <c r="B12" s="169"/>
      <c r="C12" s="171"/>
      <c r="D12" s="169"/>
      <c r="E12" s="120" t="s">
        <v>192</v>
      </c>
      <c r="F12" s="139" t="s">
        <v>389</v>
      </c>
      <c r="G12" s="92" t="s">
        <v>194</v>
      </c>
      <c r="H12" s="131" t="str">
        <f>+CONCATENATE(D$9,F12,TEXT(A12,"00000"))</f>
        <v>TAL00400001</v>
      </c>
      <c r="I12" s="119"/>
      <c r="J12" s="169"/>
      <c r="K12" s="92"/>
    </row>
    <row r="13" spans="1:12" x14ac:dyDescent="0.25">
      <c r="A13" s="138">
        <v>1</v>
      </c>
      <c r="B13" s="187">
        <v>110</v>
      </c>
      <c r="C13" s="159" t="s">
        <v>355</v>
      </c>
      <c r="D13" s="187" t="s">
        <v>362</v>
      </c>
      <c r="E13" s="159" t="s">
        <v>355</v>
      </c>
      <c r="F13" s="161" t="s">
        <v>386</v>
      </c>
      <c r="G13" s="129" t="s">
        <v>374</v>
      </c>
      <c r="H13" s="131" t="str">
        <f>+CONCATENATE(D$13,F$13,TEXT(A13,"00000"))</f>
        <v>EYD00100001</v>
      </c>
      <c r="I13" s="119"/>
      <c r="J13" s="167">
        <v>11140110</v>
      </c>
      <c r="K13" s="92"/>
    </row>
    <row r="14" spans="1:12" x14ac:dyDescent="0.25">
      <c r="A14" s="138">
        <v>2</v>
      </c>
      <c r="B14" s="188"/>
      <c r="C14" s="160"/>
      <c r="D14" s="188"/>
      <c r="E14" s="160"/>
      <c r="F14" s="162"/>
      <c r="G14" s="129" t="s">
        <v>373</v>
      </c>
      <c r="H14" s="131" t="str">
        <f>+CONCATENATE(D$13,F$13,TEXT(A14,"00000"))</f>
        <v>EYD00100002</v>
      </c>
      <c r="I14" s="119"/>
      <c r="J14" s="169"/>
      <c r="K14" s="92"/>
    </row>
    <row r="15" spans="1:12" x14ac:dyDescent="0.25">
      <c r="A15" s="138">
        <v>1</v>
      </c>
      <c r="B15" s="167">
        <v>115</v>
      </c>
      <c r="C15" s="170" t="s">
        <v>162</v>
      </c>
      <c r="D15" s="167" t="s">
        <v>163</v>
      </c>
      <c r="E15" s="170" t="s">
        <v>164</v>
      </c>
      <c r="F15" s="161" t="s">
        <v>386</v>
      </c>
      <c r="G15" s="92" t="s">
        <v>304</v>
      </c>
      <c r="H15" s="131" t="str">
        <f>+CONCATENATE(D$15,F$15,TEXT(A15,"00000"))</f>
        <v>INS00100001</v>
      </c>
      <c r="I15" s="119"/>
      <c r="J15" s="167">
        <v>11140115</v>
      </c>
      <c r="K15" s="92"/>
    </row>
    <row r="16" spans="1:12" s="121" customFormat="1" x14ac:dyDescent="0.25">
      <c r="A16" s="138">
        <v>2</v>
      </c>
      <c r="B16" s="168"/>
      <c r="C16" s="186"/>
      <c r="D16" s="168"/>
      <c r="E16" s="171"/>
      <c r="F16" s="162"/>
      <c r="G16" s="92" t="s">
        <v>303</v>
      </c>
      <c r="H16" s="131" t="str">
        <f>+CONCATENATE(D$15,F$15,TEXT(A16,"00000"))</f>
        <v>INS00100002</v>
      </c>
      <c r="I16" s="122"/>
      <c r="J16" s="168"/>
      <c r="K16" s="92"/>
    </row>
    <row r="17" spans="1:11" x14ac:dyDescent="0.25">
      <c r="A17" s="138">
        <v>1</v>
      </c>
      <c r="B17" s="168"/>
      <c r="C17" s="186"/>
      <c r="D17" s="168"/>
      <c r="E17" s="170" t="s">
        <v>165</v>
      </c>
      <c r="F17" s="161" t="s">
        <v>387</v>
      </c>
      <c r="G17" s="92" t="s">
        <v>305</v>
      </c>
      <c r="H17" s="131" t="str">
        <f>+CONCATENATE(D$15,F$17,TEXT(A17,"00000"))</f>
        <v>INS00200001</v>
      </c>
      <c r="I17" s="119"/>
      <c r="J17" s="168"/>
      <c r="K17" s="92"/>
    </row>
    <row r="18" spans="1:11" s="121" customFormat="1" x14ac:dyDescent="0.25">
      <c r="A18" s="138">
        <v>2</v>
      </c>
      <c r="B18" s="168"/>
      <c r="C18" s="186"/>
      <c r="D18" s="168"/>
      <c r="E18" s="171"/>
      <c r="F18" s="162"/>
      <c r="G18" s="92" t="s">
        <v>306</v>
      </c>
      <c r="H18" s="131" t="str">
        <f>+CONCATENATE(D$15,F$17,TEXT(A18,"00000"))</f>
        <v>INS00200002</v>
      </c>
      <c r="I18" s="122"/>
      <c r="J18" s="168"/>
      <c r="K18" s="92"/>
    </row>
    <row r="19" spans="1:11" x14ac:dyDescent="0.25">
      <c r="A19" s="138">
        <v>1</v>
      </c>
      <c r="B19" s="168"/>
      <c r="C19" s="186"/>
      <c r="D19" s="168"/>
      <c r="E19" s="170" t="s">
        <v>317</v>
      </c>
      <c r="F19" s="161" t="s">
        <v>388</v>
      </c>
      <c r="G19" s="92" t="s">
        <v>307</v>
      </c>
      <c r="H19" s="131" t="str">
        <f>+CONCATENATE(D$15,F$19,TEXT(A19,"00000"))</f>
        <v>INS00300001</v>
      </c>
      <c r="I19" s="119"/>
      <c r="J19" s="168"/>
      <c r="K19" s="92"/>
    </row>
    <row r="20" spans="1:11" s="121" customFormat="1" x14ac:dyDescent="0.25">
      <c r="A20" s="138">
        <v>2</v>
      </c>
      <c r="B20" s="168"/>
      <c r="C20" s="186"/>
      <c r="D20" s="168"/>
      <c r="E20" s="171"/>
      <c r="F20" s="162"/>
      <c r="G20" s="129" t="s">
        <v>308</v>
      </c>
      <c r="H20" s="131" t="str">
        <f>+CONCATENATE(D$15,F$19,TEXT(A20,"00000"))</f>
        <v>INS00300002</v>
      </c>
      <c r="I20" s="122"/>
      <c r="J20" s="168"/>
      <c r="K20" s="92"/>
    </row>
    <row r="21" spans="1:11" s="121" customFormat="1" x14ac:dyDescent="0.25">
      <c r="A21" s="138">
        <v>1</v>
      </c>
      <c r="B21" s="168"/>
      <c r="C21" s="186"/>
      <c r="D21" s="168"/>
      <c r="E21" s="170" t="s">
        <v>167</v>
      </c>
      <c r="F21" s="161" t="s">
        <v>389</v>
      </c>
      <c r="G21" s="129" t="s">
        <v>323</v>
      </c>
      <c r="H21" s="131" t="str">
        <f>+CONCATENATE(D$15,F$21,TEXT(A21,"00000"))</f>
        <v>INS00400001</v>
      </c>
      <c r="I21" s="122"/>
      <c r="J21" s="168"/>
      <c r="K21" s="175" t="s">
        <v>371</v>
      </c>
    </row>
    <row r="22" spans="1:11" x14ac:dyDescent="0.25">
      <c r="A22" s="138">
        <v>2</v>
      </c>
      <c r="B22" s="168"/>
      <c r="C22" s="186"/>
      <c r="D22" s="168"/>
      <c r="E22" s="171"/>
      <c r="F22" s="162"/>
      <c r="G22" s="129" t="s">
        <v>324</v>
      </c>
      <c r="H22" s="131" t="str">
        <f>+CONCATENATE(D$15,F$21,TEXT(A22,"00000"))</f>
        <v>INS00400002</v>
      </c>
      <c r="I22" s="119"/>
      <c r="J22" s="168"/>
      <c r="K22" s="176"/>
    </row>
    <row r="23" spans="1:11" s="121" customFormat="1" x14ac:dyDescent="0.25">
      <c r="A23" s="138">
        <v>1</v>
      </c>
      <c r="B23" s="168"/>
      <c r="C23" s="186"/>
      <c r="D23" s="168"/>
      <c r="E23" s="163" t="s">
        <v>168</v>
      </c>
      <c r="F23" s="161" t="s">
        <v>390</v>
      </c>
      <c r="G23" s="129" t="s">
        <v>328</v>
      </c>
      <c r="H23" s="131" t="str">
        <f>+CONCATENATE(D$15,F$23,TEXT(A23,"00000"))</f>
        <v>INS00500001</v>
      </c>
      <c r="I23" s="122"/>
      <c r="J23" s="168"/>
      <c r="K23" s="92"/>
    </row>
    <row r="24" spans="1:11" x14ac:dyDescent="0.25">
      <c r="A24" s="138">
        <v>2</v>
      </c>
      <c r="B24" s="168"/>
      <c r="C24" s="186"/>
      <c r="D24" s="168"/>
      <c r="E24" s="163"/>
      <c r="F24" s="162"/>
      <c r="G24" s="6" t="s">
        <v>329</v>
      </c>
      <c r="H24" s="131" t="str">
        <f>+CONCATENATE(D$15,F$23,TEXT(A24,"00000"))</f>
        <v>INS00500002</v>
      </c>
      <c r="I24" s="119"/>
      <c r="J24" s="168"/>
      <c r="K24" s="92"/>
    </row>
    <row r="25" spans="1:11" s="121" customFormat="1" x14ac:dyDescent="0.25">
      <c r="A25" s="138">
        <v>1</v>
      </c>
      <c r="B25" s="168"/>
      <c r="C25" s="186"/>
      <c r="D25" s="168"/>
      <c r="E25" s="170" t="s">
        <v>356</v>
      </c>
      <c r="F25" s="161" t="s">
        <v>391</v>
      </c>
      <c r="G25" s="6" t="s">
        <v>358</v>
      </c>
      <c r="H25" s="131" t="str">
        <f>+CONCATENATE(D$15,F$25,TEXT(A25,"00000"))</f>
        <v>INS00600001</v>
      </c>
      <c r="I25" s="122"/>
      <c r="J25" s="168"/>
      <c r="K25" s="92"/>
    </row>
    <row r="26" spans="1:11" s="121" customFormat="1" x14ac:dyDescent="0.25">
      <c r="A26" s="138">
        <v>2</v>
      </c>
      <c r="B26" s="169"/>
      <c r="C26" s="171"/>
      <c r="D26" s="169"/>
      <c r="E26" s="171"/>
      <c r="F26" s="162"/>
      <c r="G26" s="6" t="s">
        <v>361</v>
      </c>
      <c r="H26" s="131" t="str">
        <f>+CONCATENATE(D$15,F$25,TEXT(A26,"00000"))</f>
        <v>INS00600002</v>
      </c>
      <c r="I26" s="122"/>
      <c r="J26" s="169"/>
      <c r="K26" s="92"/>
    </row>
    <row r="27" spans="1:11" x14ac:dyDescent="0.25">
      <c r="A27" s="138">
        <v>1</v>
      </c>
      <c r="B27" s="167">
        <v>116</v>
      </c>
      <c r="C27" s="170" t="s">
        <v>169</v>
      </c>
      <c r="D27" s="167" t="s">
        <v>170</v>
      </c>
      <c r="E27" s="168" t="s">
        <v>171</v>
      </c>
      <c r="F27" s="172" t="s">
        <v>386</v>
      </c>
      <c r="G27" s="6" t="s">
        <v>346</v>
      </c>
      <c r="H27" s="131" t="str">
        <f>+CONCATENATE(D$27,F$27,TEXT(A27,"00000"))</f>
        <v>SUM00100001</v>
      </c>
      <c r="I27" s="119"/>
      <c r="J27" s="167">
        <v>11140116</v>
      </c>
      <c r="K27" s="92"/>
    </row>
    <row r="28" spans="1:11" s="121" customFormat="1" x14ac:dyDescent="0.25">
      <c r="A28" s="138">
        <v>2</v>
      </c>
      <c r="B28" s="168"/>
      <c r="C28" s="186"/>
      <c r="D28" s="168"/>
      <c r="E28" s="169"/>
      <c r="F28" s="162"/>
      <c r="G28" s="6" t="s">
        <v>347</v>
      </c>
      <c r="H28" s="131" t="str">
        <f>+CONCATENATE(D$27,F$27,TEXT(A28,"00000"))</f>
        <v>SUM00100002</v>
      </c>
      <c r="I28" s="122"/>
      <c r="J28" s="168"/>
      <c r="K28" s="92"/>
    </row>
    <row r="29" spans="1:11" x14ac:dyDescent="0.25">
      <c r="A29" s="138">
        <v>1</v>
      </c>
      <c r="B29" s="168"/>
      <c r="C29" s="186"/>
      <c r="D29" s="168"/>
      <c r="E29" s="170" t="s">
        <v>172</v>
      </c>
      <c r="F29" s="161" t="s">
        <v>387</v>
      </c>
      <c r="G29" s="6" t="s">
        <v>348</v>
      </c>
      <c r="H29" s="131" t="str">
        <f>+CONCATENATE(D$27,F$29,TEXT(A29,"00000"))</f>
        <v>SUM00200001</v>
      </c>
      <c r="I29" s="119"/>
      <c r="J29" s="168"/>
      <c r="K29" s="92"/>
    </row>
    <row r="30" spans="1:11" s="121" customFormat="1" x14ac:dyDescent="0.25">
      <c r="A30" s="138">
        <v>2</v>
      </c>
      <c r="B30" s="168"/>
      <c r="C30" s="186"/>
      <c r="D30" s="168"/>
      <c r="E30" s="171"/>
      <c r="F30" s="162"/>
      <c r="G30" s="6" t="s">
        <v>349</v>
      </c>
      <c r="H30" s="131" t="str">
        <f>+CONCATENATE(D$27,F$29,TEXT(A30,"00000"))</f>
        <v>SUM00200002</v>
      </c>
      <c r="I30" s="122"/>
      <c r="J30" s="168"/>
      <c r="K30" s="92"/>
    </row>
    <row r="31" spans="1:11" ht="22.5" customHeight="1" x14ac:dyDescent="0.25">
      <c r="A31" s="138">
        <v>1</v>
      </c>
      <c r="B31" s="168"/>
      <c r="C31" s="186"/>
      <c r="D31" s="168"/>
      <c r="E31" s="189" t="s">
        <v>343</v>
      </c>
      <c r="F31" s="161" t="s">
        <v>388</v>
      </c>
      <c r="G31" s="6" t="s">
        <v>347</v>
      </c>
      <c r="H31" s="131" t="str">
        <f>+CONCATENATE(D$27,F$31,TEXT(A31,"00000"))</f>
        <v>SUM00300001</v>
      </c>
      <c r="I31" s="119"/>
      <c r="J31" s="168"/>
      <c r="K31" s="92"/>
    </row>
    <row r="32" spans="1:11" s="121" customFormat="1" ht="22.5" customHeight="1" x14ac:dyDescent="0.25">
      <c r="A32" s="138">
        <v>2</v>
      </c>
      <c r="B32" s="168"/>
      <c r="C32" s="186"/>
      <c r="D32" s="168"/>
      <c r="E32" s="190"/>
      <c r="F32" s="162"/>
      <c r="G32" s="92" t="s">
        <v>350</v>
      </c>
      <c r="H32" s="131" t="str">
        <f>+CONCATENATE(D$27,F$31,TEXT(A32,"00000"))</f>
        <v>SUM00300002</v>
      </c>
      <c r="I32" s="122"/>
      <c r="J32" s="168"/>
      <c r="K32" s="92"/>
    </row>
    <row r="33" spans="1:11" s="121" customFormat="1" x14ac:dyDescent="0.25">
      <c r="A33" s="138">
        <v>1</v>
      </c>
      <c r="B33" s="168"/>
      <c r="C33" s="186"/>
      <c r="D33" s="168"/>
      <c r="E33" s="189" t="s">
        <v>174</v>
      </c>
      <c r="F33" s="161" t="s">
        <v>389</v>
      </c>
      <c r="G33" s="92" t="s">
        <v>351</v>
      </c>
      <c r="H33" s="131" t="str">
        <f>+CONCATENATE(D$27,F$33,TEXT(A33,"00000"))</f>
        <v>SUM00400001</v>
      </c>
      <c r="I33" s="122"/>
      <c r="J33" s="168"/>
      <c r="K33" s="92"/>
    </row>
    <row r="34" spans="1:11" x14ac:dyDescent="0.25">
      <c r="A34" s="138">
        <v>2</v>
      </c>
      <c r="B34" s="168"/>
      <c r="C34" s="186"/>
      <c r="D34" s="168"/>
      <c r="E34" s="190"/>
      <c r="F34" s="162"/>
      <c r="G34" s="92" t="s">
        <v>352</v>
      </c>
      <c r="H34" s="131" t="str">
        <f>+CONCATENATE(D$27,F$33,TEXT(A34,"00000"))</f>
        <v>SUM00400002</v>
      </c>
      <c r="I34" s="119"/>
      <c r="J34" s="168"/>
      <c r="K34" s="92"/>
    </row>
    <row r="35" spans="1:11" s="121" customFormat="1" x14ac:dyDescent="0.25">
      <c r="A35" s="138">
        <v>1</v>
      </c>
      <c r="B35" s="168"/>
      <c r="C35" s="186"/>
      <c r="D35" s="168"/>
      <c r="E35" s="170" t="s">
        <v>175</v>
      </c>
      <c r="F35" s="161" t="s">
        <v>390</v>
      </c>
      <c r="G35" s="92" t="s">
        <v>353</v>
      </c>
      <c r="H35" s="131" t="str">
        <f>+CONCATENATE(D$27,F$35,TEXT(A35,"00000"))</f>
        <v>SUM00500001</v>
      </c>
      <c r="I35" s="122"/>
      <c r="J35" s="168"/>
      <c r="K35" s="92"/>
    </row>
    <row r="36" spans="1:11" x14ac:dyDescent="0.25">
      <c r="A36" s="138">
        <v>2</v>
      </c>
      <c r="B36" s="168"/>
      <c r="C36" s="186"/>
      <c r="D36" s="168"/>
      <c r="E36" s="171"/>
      <c r="F36" s="162"/>
      <c r="G36" s="92" t="s">
        <v>354</v>
      </c>
      <c r="H36" s="131" t="str">
        <f>+CONCATENATE(D$27,F$35,TEXT(A36,"00000"))</f>
        <v>SUM00500002</v>
      </c>
      <c r="I36" s="119"/>
      <c r="J36" s="168"/>
      <c r="K36" s="92"/>
    </row>
    <row r="37" spans="1:11" s="121" customFormat="1" x14ac:dyDescent="0.25">
      <c r="A37" s="138">
        <v>1</v>
      </c>
      <c r="B37" s="168"/>
      <c r="C37" s="186"/>
      <c r="D37" s="168"/>
      <c r="E37" s="170" t="s">
        <v>365</v>
      </c>
      <c r="F37" s="161" t="s">
        <v>391</v>
      </c>
      <c r="G37" s="92" t="s">
        <v>367</v>
      </c>
      <c r="H37" s="131" t="str">
        <f>+CONCATENATE(D$27,F$37,TEXT(A37,"00000"))</f>
        <v>SUM00600001</v>
      </c>
      <c r="I37" s="122"/>
      <c r="J37" s="168"/>
      <c r="K37" s="92"/>
    </row>
    <row r="38" spans="1:11" s="121" customFormat="1" x14ac:dyDescent="0.25">
      <c r="A38" s="138">
        <v>2</v>
      </c>
      <c r="B38" s="169"/>
      <c r="C38" s="171"/>
      <c r="D38" s="169"/>
      <c r="E38" s="171"/>
      <c r="F38" s="162"/>
      <c r="G38" s="92" t="s">
        <v>368</v>
      </c>
      <c r="H38" s="131" t="str">
        <f>+CONCATENATE(D$27,F$37,TEXT(A38,"00000"))</f>
        <v>SUM00600002</v>
      </c>
      <c r="I38" s="122"/>
      <c r="J38" s="169"/>
      <c r="K38" s="92"/>
    </row>
    <row r="39" spans="1:11" x14ac:dyDescent="0.25">
      <c r="A39" s="138">
        <v>1</v>
      </c>
      <c r="B39" s="173">
        <v>109</v>
      </c>
      <c r="C39" s="163" t="s">
        <v>384</v>
      </c>
      <c r="D39" s="173" t="s">
        <v>177</v>
      </c>
      <c r="E39" s="163" t="s">
        <v>384</v>
      </c>
      <c r="F39" s="164" t="s">
        <v>386</v>
      </c>
      <c r="G39" s="92" t="s">
        <v>178</v>
      </c>
      <c r="H39" s="131" t="str">
        <f>+CONCATENATE(D$39,F$39,TEXT(A39,"00000"))</f>
        <v>AFI00100001</v>
      </c>
      <c r="I39" s="119"/>
      <c r="J39" s="167">
        <v>12110100</v>
      </c>
      <c r="K39" s="92"/>
    </row>
    <row r="40" spans="1:11" x14ac:dyDescent="0.25">
      <c r="A40" s="138">
        <v>2</v>
      </c>
      <c r="B40" s="173"/>
      <c r="C40" s="163"/>
      <c r="D40" s="173"/>
      <c r="E40" s="163"/>
      <c r="F40" s="165"/>
      <c r="G40" s="92" t="s">
        <v>179</v>
      </c>
      <c r="H40" s="131" t="str">
        <f t="shared" ref="H40:H45" si="0">+CONCATENATE(D$39,F$39,TEXT(A40,"00000"))</f>
        <v>AFI00100002</v>
      </c>
      <c r="I40" s="119"/>
      <c r="J40" s="168"/>
      <c r="K40" s="92"/>
    </row>
    <row r="41" spans="1:11" x14ac:dyDescent="0.25">
      <c r="A41" s="138">
        <v>3</v>
      </c>
      <c r="B41" s="173"/>
      <c r="C41" s="163"/>
      <c r="D41" s="173"/>
      <c r="E41" s="163"/>
      <c r="F41" s="165"/>
      <c r="G41" s="92" t="s">
        <v>180</v>
      </c>
      <c r="H41" s="131" t="str">
        <f t="shared" si="0"/>
        <v>AFI00100003</v>
      </c>
      <c r="I41" s="119"/>
      <c r="J41" s="168"/>
      <c r="K41" s="92"/>
    </row>
    <row r="42" spans="1:11" x14ac:dyDescent="0.25">
      <c r="A42" s="138">
        <v>4</v>
      </c>
      <c r="B42" s="173"/>
      <c r="C42" s="163"/>
      <c r="D42" s="173"/>
      <c r="E42" s="163"/>
      <c r="F42" s="165"/>
      <c r="G42" s="92" t="s">
        <v>181</v>
      </c>
      <c r="H42" s="131" t="str">
        <f t="shared" si="0"/>
        <v>AFI00100004</v>
      </c>
      <c r="I42" s="119"/>
      <c r="J42" s="168"/>
      <c r="K42" s="92"/>
    </row>
    <row r="43" spans="1:11" s="127" customFormat="1" x14ac:dyDescent="0.25">
      <c r="A43" s="138">
        <v>5</v>
      </c>
      <c r="B43" s="173"/>
      <c r="C43" s="163"/>
      <c r="D43" s="173"/>
      <c r="E43" s="163"/>
      <c r="F43" s="165"/>
      <c r="G43" s="129" t="s">
        <v>323</v>
      </c>
      <c r="H43" s="131" t="str">
        <f t="shared" si="0"/>
        <v>AFI00100005</v>
      </c>
      <c r="I43" s="128"/>
      <c r="J43" s="168"/>
      <c r="K43" s="92"/>
    </row>
    <row r="44" spans="1:11" s="127" customFormat="1" x14ac:dyDescent="0.25">
      <c r="A44" s="138">
        <v>6</v>
      </c>
      <c r="B44" s="173"/>
      <c r="C44" s="163"/>
      <c r="D44" s="173"/>
      <c r="E44" s="163"/>
      <c r="F44" s="165"/>
      <c r="G44" s="129" t="s">
        <v>324</v>
      </c>
      <c r="H44" s="131" t="str">
        <f t="shared" si="0"/>
        <v>AFI00100006</v>
      </c>
      <c r="I44" s="128"/>
      <c r="J44" s="168"/>
      <c r="K44" s="92"/>
    </row>
    <row r="45" spans="1:11" x14ac:dyDescent="0.25">
      <c r="A45" s="138">
        <v>7</v>
      </c>
      <c r="B45" s="173"/>
      <c r="C45" s="163"/>
      <c r="D45" s="173"/>
      <c r="E45" s="163"/>
      <c r="F45" s="166"/>
      <c r="G45" s="92" t="s">
        <v>182</v>
      </c>
      <c r="H45" s="131" t="str">
        <f t="shared" si="0"/>
        <v>AFI00100007</v>
      </c>
      <c r="I45" s="119"/>
      <c r="J45" s="169"/>
      <c r="K45" s="92"/>
    </row>
    <row r="47" spans="1:11" x14ac:dyDescent="0.25">
      <c r="B47" s="177" t="s">
        <v>195</v>
      </c>
      <c r="C47" s="178"/>
      <c r="D47" s="178"/>
      <c r="E47" s="178"/>
      <c r="F47" s="178"/>
      <c r="G47" s="178"/>
      <c r="H47" s="179"/>
      <c r="I47" s="125"/>
    </row>
    <row r="48" spans="1:11" x14ac:dyDescent="0.25">
      <c r="B48" s="180"/>
      <c r="C48" s="181"/>
      <c r="D48" s="181"/>
      <c r="E48" s="181"/>
      <c r="F48" s="181"/>
      <c r="G48" s="181"/>
      <c r="H48" s="182"/>
      <c r="I48" s="125"/>
    </row>
    <row r="49" spans="2:9" x14ac:dyDescent="0.25">
      <c r="B49" s="183"/>
      <c r="C49" s="184"/>
      <c r="D49" s="184"/>
      <c r="E49" s="184"/>
      <c r="F49" s="184"/>
      <c r="G49" s="184"/>
      <c r="H49" s="185"/>
      <c r="I49" s="125"/>
    </row>
    <row r="54" spans="2:9" x14ac:dyDescent="0.25">
      <c r="B54" s="118" t="s">
        <v>298</v>
      </c>
    </row>
    <row r="58" spans="2:9" x14ac:dyDescent="0.25">
      <c r="E58" s="118" t="s">
        <v>385</v>
      </c>
    </row>
  </sheetData>
  <mergeCells count="63">
    <mergeCell ref="J27:J38"/>
    <mergeCell ref="J13:J14"/>
    <mergeCell ref="K21:K22"/>
    <mergeCell ref="J9:J12"/>
    <mergeCell ref="J39:J45"/>
    <mergeCell ref="J15:J26"/>
    <mergeCell ref="B39:B45"/>
    <mergeCell ref="C39:C45"/>
    <mergeCell ref="D39:D45"/>
    <mergeCell ref="E19:E20"/>
    <mergeCell ref="F15:F16"/>
    <mergeCell ref="F17:F18"/>
    <mergeCell ref="F19:F20"/>
    <mergeCell ref="F21:F22"/>
    <mergeCell ref="E21:E22"/>
    <mergeCell ref="E23:E24"/>
    <mergeCell ref="F23:F24"/>
    <mergeCell ref="E31:E32"/>
    <mergeCell ref="E33:E34"/>
    <mergeCell ref="C15:C26"/>
    <mergeCell ref="D15:D26"/>
    <mergeCell ref="B15:B26"/>
    <mergeCell ref="B47:H49"/>
    <mergeCell ref="C9:C12"/>
    <mergeCell ref="B9:B12"/>
    <mergeCell ref="C13:C14"/>
    <mergeCell ref="B13:B14"/>
    <mergeCell ref="D13:D14"/>
    <mergeCell ref="E27:E28"/>
    <mergeCell ref="E29:E30"/>
    <mergeCell ref="E15:E16"/>
    <mergeCell ref="E17:E18"/>
    <mergeCell ref="F37:F38"/>
    <mergeCell ref="E25:E26"/>
    <mergeCell ref="D27:D38"/>
    <mergeCell ref="C27:C38"/>
    <mergeCell ref="B27:B38"/>
    <mergeCell ref="E37:E38"/>
    <mergeCell ref="B2:K2"/>
    <mergeCell ref="B5:B6"/>
    <mergeCell ref="C5:C6"/>
    <mergeCell ref="D5:D6"/>
    <mergeCell ref="B7:B8"/>
    <mergeCell ref="C7:C8"/>
    <mergeCell ref="D7:D8"/>
    <mergeCell ref="J5:J6"/>
    <mergeCell ref="J7:J8"/>
    <mergeCell ref="E5:E6"/>
    <mergeCell ref="F5:F6"/>
    <mergeCell ref="E7:E8"/>
    <mergeCell ref="F7:F8"/>
    <mergeCell ref="E13:E14"/>
    <mergeCell ref="F13:F14"/>
    <mergeCell ref="E39:E45"/>
    <mergeCell ref="F39:F45"/>
    <mergeCell ref="D9:D12"/>
    <mergeCell ref="F25:F26"/>
    <mergeCell ref="E35:E36"/>
    <mergeCell ref="F27:F28"/>
    <mergeCell ref="F29:F30"/>
    <mergeCell ref="F31:F32"/>
    <mergeCell ref="F33:F34"/>
    <mergeCell ref="F35:F36"/>
  </mergeCells>
  <phoneticPr fontId="12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1A1F-531B-4C29-A4E5-AA50AD58DEA2}">
  <dimension ref="B1:H14"/>
  <sheetViews>
    <sheetView zoomScale="110" zoomScaleNormal="110" workbookViewId="0">
      <selection activeCell="F5" sqref="F5"/>
    </sheetView>
  </sheetViews>
  <sheetFormatPr baseColWidth="10" defaultRowHeight="15" x14ac:dyDescent="0.25"/>
  <cols>
    <col min="1" max="1" width="2.28515625" customWidth="1"/>
    <col min="2" max="2" width="11.42578125" style="90" customWidth="1"/>
    <col min="3" max="3" width="35.85546875" customWidth="1"/>
    <col min="4" max="4" width="23.42578125" customWidth="1"/>
    <col min="5" max="5" width="19.7109375" customWidth="1"/>
  </cols>
  <sheetData>
    <row r="1" spans="2:8" ht="15.75" thickBot="1" x14ac:dyDescent="0.3"/>
    <row r="2" spans="2:8" ht="26.25" thickBot="1" x14ac:dyDescent="0.4">
      <c r="B2" s="144" t="s">
        <v>246</v>
      </c>
      <c r="C2" s="145"/>
      <c r="D2" s="146"/>
      <c r="E2" s="68"/>
      <c r="F2" s="68"/>
      <c r="G2" s="68"/>
      <c r="H2" s="68"/>
    </row>
    <row r="3" spans="2:8" ht="7.5" customHeight="1" x14ac:dyDescent="0.25"/>
    <row r="4" spans="2:8" ht="25.5" x14ac:dyDescent="0.25">
      <c r="B4" s="94" t="s">
        <v>228</v>
      </c>
      <c r="C4" s="95" t="s">
        <v>244</v>
      </c>
      <c r="D4" s="91" t="s">
        <v>245</v>
      </c>
    </row>
    <row r="5" spans="2:8" x14ac:dyDescent="0.25">
      <c r="B5" s="111">
        <v>1</v>
      </c>
      <c r="C5" s="92" t="s">
        <v>284</v>
      </c>
      <c r="D5" s="110" t="s">
        <v>285</v>
      </c>
    </row>
    <row r="6" spans="2:8" x14ac:dyDescent="0.25">
      <c r="B6" s="111">
        <v>2</v>
      </c>
      <c r="C6" s="92" t="s">
        <v>286</v>
      </c>
      <c r="D6" s="6" t="s">
        <v>285</v>
      </c>
      <c r="E6" t="s">
        <v>375</v>
      </c>
    </row>
    <row r="7" spans="2:8" x14ac:dyDescent="0.25">
      <c r="B7" s="111">
        <v>3</v>
      </c>
      <c r="C7" s="92" t="s">
        <v>287</v>
      </c>
      <c r="D7" s="6" t="s">
        <v>285</v>
      </c>
    </row>
    <row r="8" spans="2:8" x14ac:dyDescent="0.25">
      <c r="B8" s="111">
        <v>4</v>
      </c>
      <c r="C8" s="92" t="s">
        <v>288</v>
      </c>
      <c r="D8" s="6" t="s">
        <v>289</v>
      </c>
    </row>
    <row r="9" spans="2:8" x14ac:dyDescent="0.25">
      <c r="B9" s="111">
        <v>5</v>
      </c>
      <c r="C9" s="65" t="s">
        <v>290</v>
      </c>
      <c r="D9" s="6" t="s">
        <v>289</v>
      </c>
    </row>
    <row r="10" spans="2:8" x14ac:dyDescent="0.25">
      <c r="B10" s="111">
        <v>6</v>
      </c>
      <c r="C10" s="65" t="s">
        <v>291</v>
      </c>
      <c r="D10" s="6" t="s">
        <v>285</v>
      </c>
    </row>
    <row r="11" spans="2:8" ht="19.5" customHeight="1" x14ac:dyDescent="0.25">
      <c r="B11" s="111">
        <v>7</v>
      </c>
      <c r="C11" s="65" t="s">
        <v>292</v>
      </c>
      <c r="D11" s="123" t="s">
        <v>285</v>
      </c>
    </row>
    <row r="12" spans="2:8" ht="21.75" customHeight="1" x14ac:dyDescent="0.25">
      <c r="B12" s="111">
        <v>8</v>
      </c>
      <c r="C12" s="117" t="s">
        <v>293</v>
      </c>
      <c r="D12" s="124" t="s">
        <v>285</v>
      </c>
    </row>
    <row r="13" spans="2:8" x14ac:dyDescent="0.25">
      <c r="B13" s="111">
        <v>9</v>
      </c>
      <c r="C13" s="136" t="s">
        <v>376</v>
      </c>
      <c r="D13" s="6" t="s">
        <v>289</v>
      </c>
      <c r="E13" t="s">
        <v>377</v>
      </c>
    </row>
    <row r="14" spans="2:8" ht="27" x14ac:dyDescent="0.25">
      <c r="B14" s="111">
        <v>10</v>
      </c>
      <c r="C14" s="136" t="s">
        <v>296</v>
      </c>
      <c r="D14" s="6" t="s">
        <v>285</v>
      </c>
      <c r="F14" t="s">
        <v>295</v>
      </c>
    </row>
  </sheetData>
  <mergeCells count="1">
    <mergeCell ref="B2:D2"/>
  </mergeCells>
  <dataValidations count="1">
    <dataValidation type="list" allowBlank="1" showInputMessage="1" showErrorMessage="1" sqref="D5:D14" xr:uid="{88F03C8A-784E-4860-BFF6-0031CAEFE58A}">
      <formula1>"OBLIGATORIO,OPCIONAL"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EFC4-3505-4672-9B31-CE4F4FBEF20D}">
  <dimension ref="B1:E22"/>
  <sheetViews>
    <sheetView zoomScale="90" zoomScaleNormal="90" workbookViewId="0">
      <selection activeCell="E4" sqref="E4"/>
    </sheetView>
  </sheetViews>
  <sheetFormatPr baseColWidth="10" defaultRowHeight="15" x14ac:dyDescent="0.25"/>
  <cols>
    <col min="1" max="1" width="3" customWidth="1"/>
    <col min="2" max="2" width="26.140625" customWidth="1"/>
    <col min="3" max="3" width="18.7109375" customWidth="1"/>
    <col min="4" max="4" width="58.85546875" customWidth="1"/>
    <col min="5" max="5" width="25.85546875" customWidth="1"/>
  </cols>
  <sheetData>
    <row r="1" spans="2:5" ht="15.75" thickBot="1" x14ac:dyDescent="0.3"/>
    <row r="2" spans="2:5" ht="26.25" thickBot="1" x14ac:dyDescent="0.4">
      <c r="B2" s="144" t="s">
        <v>279</v>
      </c>
      <c r="C2" s="145"/>
      <c r="D2" s="145"/>
      <c r="E2" s="146"/>
    </row>
    <row r="3" spans="2:5" ht="8.25" customHeight="1" x14ac:dyDescent="0.25"/>
    <row r="4" spans="2:5" ht="51" x14ac:dyDescent="0.25">
      <c r="B4" s="94" t="s">
        <v>258</v>
      </c>
      <c r="C4" s="91" t="s">
        <v>259</v>
      </c>
      <c r="D4" s="91" t="s">
        <v>260</v>
      </c>
      <c r="E4" s="91" t="s">
        <v>283</v>
      </c>
    </row>
    <row r="5" spans="2:5" x14ac:dyDescent="0.25">
      <c r="B5" s="114" t="s">
        <v>261</v>
      </c>
      <c r="C5" s="92"/>
      <c r="D5" s="110"/>
      <c r="E5" s="6"/>
    </row>
    <row r="6" spans="2:5" x14ac:dyDescent="0.25">
      <c r="B6" s="6" t="s">
        <v>262</v>
      </c>
      <c r="C6" s="6"/>
      <c r="D6" s="6"/>
      <c r="E6" s="6"/>
    </row>
    <row r="7" spans="2:5" x14ac:dyDescent="0.25">
      <c r="B7" s="6" t="s">
        <v>263</v>
      </c>
      <c r="C7" s="6"/>
      <c r="D7" s="6"/>
      <c r="E7" s="6"/>
    </row>
    <row r="8" spans="2:5" x14ac:dyDescent="0.25">
      <c r="B8" s="6"/>
      <c r="C8" s="6"/>
      <c r="D8" s="6"/>
      <c r="E8" s="6"/>
    </row>
    <row r="9" spans="2:5" x14ac:dyDescent="0.25">
      <c r="B9" s="6"/>
      <c r="C9" s="6"/>
      <c r="D9" s="6"/>
      <c r="E9" s="6"/>
    </row>
    <row r="10" spans="2:5" x14ac:dyDescent="0.25">
      <c r="B10" s="6"/>
      <c r="C10" s="6"/>
      <c r="D10" s="6"/>
      <c r="E10" s="6"/>
    </row>
    <row r="11" spans="2:5" x14ac:dyDescent="0.25">
      <c r="B11" s="6"/>
      <c r="C11" s="6"/>
      <c r="D11" s="6"/>
      <c r="E11" s="6"/>
    </row>
    <row r="12" spans="2:5" x14ac:dyDescent="0.25">
      <c r="B12" s="6"/>
      <c r="C12" s="6"/>
      <c r="D12" s="6"/>
      <c r="E12" s="6"/>
    </row>
    <row r="13" spans="2:5" x14ac:dyDescent="0.25">
      <c r="B13" s="6"/>
      <c r="C13" s="6"/>
      <c r="D13" s="6"/>
      <c r="E13" s="6"/>
    </row>
    <row r="14" spans="2:5" x14ac:dyDescent="0.25">
      <c r="B14" s="6"/>
      <c r="C14" s="6"/>
      <c r="D14" s="6"/>
      <c r="E14" s="6"/>
    </row>
    <row r="15" spans="2:5" x14ac:dyDescent="0.25">
      <c r="B15" s="6"/>
      <c r="C15" s="6"/>
      <c r="D15" s="6"/>
      <c r="E15" s="6"/>
    </row>
    <row r="16" spans="2:5" x14ac:dyDescent="0.25">
      <c r="B16" s="6"/>
      <c r="C16" s="6"/>
      <c r="D16" s="6"/>
      <c r="E16" s="6"/>
    </row>
    <row r="17" spans="2:5" x14ac:dyDescent="0.25">
      <c r="B17" s="6"/>
      <c r="C17" s="6"/>
      <c r="D17" s="6"/>
      <c r="E17" s="6"/>
    </row>
    <row r="18" spans="2:5" x14ac:dyDescent="0.25">
      <c r="B18" s="6"/>
      <c r="C18" s="6"/>
      <c r="D18" s="6"/>
      <c r="E18" s="6"/>
    </row>
    <row r="19" spans="2:5" x14ac:dyDescent="0.25">
      <c r="B19" s="6"/>
      <c r="C19" s="6"/>
      <c r="D19" s="6"/>
      <c r="E19" s="6"/>
    </row>
    <row r="20" spans="2:5" x14ac:dyDescent="0.25">
      <c r="B20" s="6"/>
      <c r="C20" s="6"/>
      <c r="D20" s="6"/>
      <c r="E20" s="6"/>
    </row>
    <row r="21" spans="2:5" x14ac:dyDescent="0.25">
      <c r="B21" s="6"/>
      <c r="C21" s="6"/>
      <c r="D21" s="6"/>
      <c r="E21" s="6"/>
    </row>
    <row r="22" spans="2:5" x14ac:dyDescent="0.25">
      <c r="B22" s="6"/>
      <c r="C22" s="6"/>
      <c r="D22" s="6"/>
      <c r="E22" s="6"/>
    </row>
  </sheetData>
  <mergeCells count="1">
    <mergeCell ref="B2:E2"/>
  </mergeCells>
  <dataValidations count="1">
    <dataValidation type="list" allowBlank="1" showInputMessage="1" showErrorMessage="1" sqref="D5" xr:uid="{79045A18-0872-4297-8AEB-9F1661753F6E}">
      <formula1>"OBLIGATORIO,OPCIONAL"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2291-5F5C-46A2-A1F8-57C214B154CD}">
  <dimension ref="B1:E22"/>
  <sheetViews>
    <sheetView zoomScale="90" zoomScaleNormal="90" workbookViewId="0">
      <selection activeCell="B1" sqref="B1"/>
    </sheetView>
  </sheetViews>
  <sheetFormatPr baseColWidth="10" defaultRowHeight="15" x14ac:dyDescent="0.25"/>
  <cols>
    <col min="2" max="2" width="26.140625" customWidth="1"/>
    <col min="3" max="3" width="18.7109375" customWidth="1"/>
    <col min="4" max="4" width="58.85546875" customWidth="1"/>
    <col min="5" max="5" width="22.5703125" customWidth="1"/>
  </cols>
  <sheetData>
    <row r="1" spans="2:5" ht="15.75" thickBot="1" x14ac:dyDescent="0.3"/>
    <row r="2" spans="2:5" ht="26.25" thickBot="1" x14ac:dyDescent="0.4">
      <c r="B2" s="144" t="s">
        <v>278</v>
      </c>
      <c r="C2" s="145"/>
      <c r="D2" s="145"/>
      <c r="E2" s="146"/>
    </row>
    <row r="3" spans="2:5" ht="8.25" customHeight="1" x14ac:dyDescent="0.25"/>
    <row r="4" spans="2:5" ht="51" x14ac:dyDescent="0.25">
      <c r="B4" s="94" t="s">
        <v>258</v>
      </c>
      <c r="C4" s="91" t="s">
        <v>259</v>
      </c>
      <c r="D4" s="91" t="s">
        <v>260</v>
      </c>
      <c r="E4" s="91" t="s">
        <v>283</v>
      </c>
    </row>
    <row r="5" spans="2:5" x14ac:dyDescent="0.25">
      <c r="B5" s="114" t="s">
        <v>261</v>
      </c>
      <c r="C5" s="92"/>
      <c r="D5" s="110"/>
      <c r="E5" s="6"/>
    </row>
    <row r="6" spans="2:5" x14ac:dyDescent="0.25">
      <c r="B6" s="6" t="s">
        <v>262</v>
      </c>
      <c r="C6" s="6"/>
      <c r="D6" s="6"/>
      <c r="E6" s="6"/>
    </row>
    <row r="7" spans="2:5" x14ac:dyDescent="0.25">
      <c r="B7" s="6" t="s">
        <v>263</v>
      </c>
      <c r="C7" s="6"/>
      <c r="D7" s="6"/>
      <c r="E7" s="6"/>
    </row>
    <row r="8" spans="2:5" x14ac:dyDescent="0.25">
      <c r="B8" s="6"/>
      <c r="C8" s="6"/>
      <c r="D8" s="6"/>
      <c r="E8" s="6"/>
    </row>
    <row r="9" spans="2:5" x14ac:dyDescent="0.25">
      <c r="B9" s="6"/>
      <c r="C9" s="6"/>
      <c r="D9" s="6"/>
      <c r="E9" s="6"/>
    </row>
    <row r="10" spans="2:5" x14ac:dyDescent="0.25">
      <c r="B10" s="6"/>
      <c r="C10" s="6"/>
      <c r="D10" s="6"/>
      <c r="E10" s="6"/>
    </row>
    <row r="11" spans="2:5" x14ac:dyDescent="0.25">
      <c r="B11" s="6"/>
      <c r="C11" s="6"/>
      <c r="D11" s="6"/>
      <c r="E11" s="6"/>
    </row>
    <row r="12" spans="2:5" x14ac:dyDescent="0.25">
      <c r="B12" s="6"/>
      <c r="C12" s="6"/>
      <c r="D12" s="6"/>
      <c r="E12" s="6"/>
    </row>
    <row r="13" spans="2:5" x14ac:dyDescent="0.25">
      <c r="B13" s="6"/>
      <c r="C13" s="6"/>
      <c r="D13" s="6"/>
      <c r="E13" s="6"/>
    </row>
    <row r="14" spans="2:5" x14ac:dyDescent="0.25">
      <c r="B14" s="6"/>
      <c r="C14" s="6"/>
      <c r="D14" s="6"/>
      <c r="E14" s="6"/>
    </row>
    <row r="15" spans="2:5" x14ac:dyDescent="0.25">
      <c r="B15" s="6"/>
      <c r="C15" s="6"/>
      <c r="D15" s="6"/>
      <c r="E15" s="6"/>
    </row>
    <row r="16" spans="2:5" x14ac:dyDescent="0.25">
      <c r="B16" s="6"/>
      <c r="C16" s="6"/>
      <c r="D16" s="6"/>
      <c r="E16" s="6"/>
    </row>
    <row r="17" spans="2:5" x14ac:dyDescent="0.25">
      <c r="B17" s="6"/>
      <c r="C17" s="6"/>
      <c r="D17" s="6"/>
      <c r="E17" s="6"/>
    </row>
    <row r="18" spans="2:5" x14ac:dyDescent="0.25">
      <c r="B18" s="6"/>
      <c r="C18" s="6"/>
      <c r="D18" s="6"/>
      <c r="E18" s="6"/>
    </row>
    <row r="19" spans="2:5" x14ac:dyDescent="0.25">
      <c r="B19" s="6"/>
      <c r="C19" s="6"/>
      <c r="D19" s="6"/>
      <c r="E19" s="6"/>
    </row>
    <row r="20" spans="2:5" x14ac:dyDescent="0.25">
      <c r="B20" s="6"/>
      <c r="C20" s="6"/>
      <c r="D20" s="6"/>
      <c r="E20" s="6"/>
    </row>
    <row r="21" spans="2:5" x14ac:dyDescent="0.25">
      <c r="B21" s="6"/>
      <c r="C21" s="6"/>
      <c r="D21" s="6"/>
      <c r="E21" s="6"/>
    </row>
    <row r="22" spans="2:5" x14ac:dyDescent="0.25">
      <c r="B22" s="6"/>
      <c r="C22" s="6"/>
      <c r="D22" s="6"/>
      <c r="E22" s="6"/>
    </row>
  </sheetData>
  <mergeCells count="1">
    <mergeCell ref="B2:E2"/>
  </mergeCells>
  <dataValidations disablePrompts="1" count="1">
    <dataValidation type="list" allowBlank="1" showInputMessage="1" showErrorMessage="1" sqref="D5" xr:uid="{AC46FCED-C8F7-4710-A495-AE976C4A4851}">
      <formula1>"OBLIGATORIO,OPCIONAL"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4E1E-79F4-409D-BD08-577863AD3CCA}">
  <dimension ref="B1:C12"/>
  <sheetViews>
    <sheetView zoomScale="80" zoomScaleNormal="80" workbookViewId="0">
      <selection activeCell="D14" sqref="D14"/>
    </sheetView>
  </sheetViews>
  <sheetFormatPr baseColWidth="10" defaultRowHeight="15" x14ac:dyDescent="0.25"/>
  <cols>
    <col min="1" max="1" width="3.42578125" customWidth="1"/>
    <col min="2" max="2" width="47.42578125" customWidth="1"/>
    <col min="3" max="3" width="16.42578125" customWidth="1"/>
  </cols>
  <sheetData>
    <row r="1" spans="2:3" ht="15.75" thickBot="1" x14ac:dyDescent="0.3"/>
    <row r="2" spans="2:3" ht="26.25" thickBot="1" x14ac:dyDescent="0.4">
      <c r="B2" s="144" t="s">
        <v>277</v>
      </c>
      <c r="C2" s="146"/>
    </row>
    <row r="3" spans="2:3" ht="6.75" customHeight="1" x14ac:dyDescent="0.25"/>
    <row r="4" spans="2:3" x14ac:dyDescent="0.25">
      <c r="B4" s="95" t="s">
        <v>273</v>
      </c>
      <c r="C4" s="95"/>
    </row>
    <row r="5" spans="2:3" x14ac:dyDescent="0.25">
      <c r="B5" s="114"/>
      <c r="C5" s="92"/>
    </row>
    <row r="6" spans="2:3" x14ac:dyDescent="0.25">
      <c r="B6" s="6"/>
      <c r="C6" s="6"/>
    </row>
    <row r="7" spans="2:3" x14ac:dyDescent="0.25">
      <c r="B7" s="6"/>
      <c r="C7" s="6"/>
    </row>
    <row r="8" spans="2:3" x14ac:dyDescent="0.25">
      <c r="B8" s="6"/>
      <c r="C8" s="6"/>
    </row>
    <row r="9" spans="2:3" x14ac:dyDescent="0.25">
      <c r="B9" s="6"/>
      <c r="C9" s="6"/>
    </row>
    <row r="10" spans="2:3" x14ac:dyDescent="0.25">
      <c r="B10" s="6"/>
      <c r="C10" s="6"/>
    </row>
    <row r="11" spans="2:3" x14ac:dyDescent="0.25">
      <c r="B11" s="6"/>
      <c r="C11" s="6"/>
    </row>
    <row r="12" spans="2:3" x14ac:dyDescent="0.25">
      <c r="B12" s="6"/>
      <c r="C12" s="6"/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4CEC-8503-48FF-8865-99AB1E65E224}">
  <dimension ref="A1:J39"/>
  <sheetViews>
    <sheetView topLeftCell="A2" zoomScale="120" zoomScaleNormal="120" workbookViewId="0">
      <pane ySplit="3" topLeftCell="A5" activePane="bottomLeft" state="frozen"/>
      <selection activeCell="B2" sqref="B2"/>
      <selection pane="bottomLeft" activeCell="E7" sqref="E7"/>
    </sheetView>
  </sheetViews>
  <sheetFormatPr baseColWidth="10" defaultRowHeight="15" x14ac:dyDescent="0.25"/>
  <cols>
    <col min="1" max="1" width="3.7109375" customWidth="1"/>
    <col min="3" max="3" width="27.28515625" customWidth="1"/>
    <col min="5" max="5" width="67" bestFit="1" customWidth="1"/>
    <col min="6" max="6" width="16.42578125" style="90" customWidth="1"/>
    <col min="7" max="7" width="19" style="90" customWidth="1"/>
    <col min="8" max="8" width="24.42578125" customWidth="1"/>
    <col min="9" max="9" width="27" customWidth="1"/>
  </cols>
  <sheetData>
    <row r="1" spans="1:10" ht="15.75" thickBot="1" x14ac:dyDescent="0.3"/>
    <row r="2" spans="1:10" ht="26.25" thickBot="1" x14ac:dyDescent="0.4">
      <c r="B2" s="144" t="s">
        <v>233</v>
      </c>
      <c r="C2" s="145"/>
      <c r="D2" s="145"/>
      <c r="E2" s="145"/>
      <c r="F2" s="145"/>
      <c r="G2" s="145"/>
      <c r="H2" s="145"/>
      <c r="I2" s="146"/>
      <c r="J2" s="68"/>
    </row>
    <row r="3" spans="1:10" ht="8.25" customHeight="1" x14ac:dyDescent="0.25"/>
    <row r="4" spans="1:10" ht="25.5" x14ac:dyDescent="0.25">
      <c r="A4" s="87"/>
      <c r="B4" s="91" t="s">
        <v>90</v>
      </c>
      <c r="C4" s="95" t="s">
        <v>149</v>
      </c>
      <c r="D4" s="94" t="s">
        <v>197</v>
      </c>
      <c r="E4" s="95" t="s">
        <v>150</v>
      </c>
      <c r="F4" s="94" t="s">
        <v>217</v>
      </c>
      <c r="G4" s="94" t="s">
        <v>294</v>
      </c>
      <c r="H4" s="94" t="s">
        <v>183</v>
      </c>
      <c r="I4" s="94" t="s">
        <v>196</v>
      </c>
    </row>
    <row r="5" spans="1:10" x14ac:dyDescent="0.25">
      <c r="A5" s="89"/>
      <c r="B5" s="191">
        <v>100</v>
      </c>
      <c r="C5" s="148" t="s">
        <v>151</v>
      </c>
      <c r="D5" s="191" t="s">
        <v>89</v>
      </c>
      <c r="E5" s="92" t="s">
        <v>152</v>
      </c>
      <c r="F5" s="93" t="s">
        <v>203</v>
      </c>
      <c r="G5" s="119">
        <v>111401</v>
      </c>
      <c r="H5" s="92">
        <v>11140101</v>
      </c>
      <c r="I5" s="92"/>
    </row>
    <row r="6" spans="1:10" x14ac:dyDescent="0.25">
      <c r="A6" s="89"/>
      <c r="B6" s="191"/>
      <c r="C6" s="148"/>
      <c r="D6" s="191"/>
      <c r="E6" s="92" t="s">
        <v>153</v>
      </c>
      <c r="F6" s="93" t="s">
        <v>204</v>
      </c>
      <c r="G6" s="119"/>
      <c r="H6" s="92">
        <v>11140102</v>
      </c>
      <c r="I6" s="92"/>
    </row>
    <row r="7" spans="1:10" x14ac:dyDescent="0.25">
      <c r="A7" s="88"/>
      <c r="B7" s="191">
        <v>101</v>
      </c>
      <c r="C7" s="148" t="s">
        <v>154</v>
      </c>
      <c r="D7" s="191" t="s">
        <v>155</v>
      </c>
      <c r="E7" s="92"/>
      <c r="F7" s="93" t="s">
        <v>205</v>
      </c>
      <c r="G7" s="119">
        <v>111402</v>
      </c>
      <c r="H7" s="92">
        <v>11140201</v>
      </c>
      <c r="I7" s="92"/>
    </row>
    <row r="8" spans="1:10" x14ac:dyDescent="0.25">
      <c r="A8" s="88"/>
      <c r="B8" s="191"/>
      <c r="C8" s="148"/>
      <c r="D8" s="191"/>
      <c r="E8" s="92" t="s">
        <v>157</v>
      </c>
      <c r="F8" s="93" t="s">
        <v>206</v>
      </c>
      <c r="G8" s="119"/>
      <c r="H8" s="92">
        <v>11140202</v>
      </c>
      <c r="I8" s="92"/>
    </row>
    <row r="9" spans="1:10" x14ac:dyDescent="0.25">
      <c r="A9" s="88"/>
      <c r="B9" s="93">
        <v>102</v>
      </c>
      <c r="C9" s="65" t="s">
        <v>184</v>
      </c>
      <c r="D9" s="93" t="s">
        <v>185</v>
      </c>
      <c r="E9" s="92" t="s">
        <v>186</v>
      </c>
      <c r="F9" s="93" t="s">
        <v>207</v>
      </c>
      <c r="G9" s="119">
        <v>111403</v>
      </c>
      <c r="H9" s="92">
        <v>11140301</v>
      </c>
      <c r="I9" s="92"/>
    </row>
    <row r="10" spans="1:10" x14ac:dyDescent="0.25">
      <c r="A10" s="88"/>
      <c r="B10" s="93">
        <v>103</v>
      </c>
      <c r="C10" s="65" t="s">
        <v>187</v>
      </c>
      <c r="D10" s="93" t="s">
        <v>188</v>
      </c>
      <c r="E10" s="92" t="s">
        <v>189</v>
      </c>
      <c r="F10" s="93" t="s">
        <v>208</v>
      </c>
      <c r="G10" s="119"/>
      <c r="H10" s="92"/>
      <c r="I10" s="92"/>
    </row>
    <row r="11" spans="1:10" x14ac:dyDescent="0.25">
      <c r="A11" s="88"/>
      <c r="B11" s="93">
        <v>104</v>
      </c>
      <c r="C11" s="65" t="s">
        <v>190</v>
      </c>
      <c r="D11" s="93" t="s">
        <v>191</v>
      </c>
      <c r="E11" s="92" t="s">
        <v>158</v>
      </c>
      <c r="F11" s="93" t="s">
        <v>209</v>
      </c>
      <c r="G11" s="119"/>
      <c r="H11" s="92"/>
      <c r="I11" s="92"/>
    </row>
    <row r="12" spans="1:10" x14ac:dyDescent="0.25">
      <c r="A12" s="88"/>
      <c r="B12" s="93">
        <v>105</v>
      </c>
      <c r="C12" s="65" t="s">
        <v>192</v>
      </c>
      <c r="D12" s="93" t="s">
        <v>193</v>
      </c>
      <c r="E12" s="92" t="s">
        <v>194</v>
      </c>
      <c r="F12" s="93" t="s">
        <v>210</v>
      </c>
      <c r="G12" s="119"/>
      <c r="H12" s="92"/>
      <c r="I12" s="92"/>
    </row>
    <row r="13" spans="1:10" x14ac:dyDescent="0.25">
      <c r="A13" s="88"/>
      <c r="B13" s="116">
        <v>106</v>
      </c>
      <c r="C13" s="103" t="s">
        <v>300</v>
      </c>
      <c r="D13" s="116" t="s">
        <v>299</v>
      </c>
      <c r="E13" s="92" t="s">
        <v>160</v>
      </c>
      <c r="F13" s="93" t="s">
        <v>211</v>
      </c>
      <c r="G13" s="119"/>
      <c r="H13" s="92"/>
      <c r="I13" s="92"/>
    </row>
    <row r="14" spans="1:10" s="118" customFormat="1" x14ac:dyDescent="0.25">
      <c r="A14" s="88"/>
      <c r="B14" s="116"/>
      <c r="C14" s="117" t="s">
        <v>159</v>
      </c>
      <c r="D14" s="116"/>
      <c r="E14" s="92" t="s">
        <v>161</v>
      </c>
      <c r="F14" s="119"/>
      <c r="G14" s="119"/>
      <c r="H14" s="92"/>
      <c r="I14" s="92"/>
    </row>
    <row r="15" spans="1:10" s="118" customFormat="1" x14ac:dyDescent="0.25">
      <c r="A15" s="88"/>
      <c r="B15" s="116"/>
      <c r="C15" s="117"/>
      <c r="D15" s="116"/>
      <c r="E15" s="92"/>
      <c r="F15" s="119"/>
      <c r="G15" s="119"/>
      <c r="H15" s="92"/>
      <c r="I15" s="92"/>
    </row>
    <row r="16" spans="1:10" x14ac:dyDescent="0.25">
      <c r="A16" s="88"/>
      <c r="B16" s="173">
        <v>107</v>
      </c>
      <c r="C16" s="163" t="s">
        <v>162</v>
      </c>
      <c r="D16" s="173" t="s">
        <v>163</v>
      </c>
      <c r="E16" s="92" t="s">
        <v>164</v>
      </c>
      <c r="F16" s="93" t="s">
        <v>212</v>
      </c>
      <c r="G16" s="119"/>
      <c r="H16" s="92"/>
      <c r="I16" s="92"/>
    </row>
    <row r="17" spans="1:9" x14ac:dyDescent="0.25">
      <c r="A17" s="88"/>
      <c r="B17" s="173"/>
      <c r="C17" s="163"/>
      <c r="D17" s="173"/>
      <c r="E17" s="92" t="s">
        <v>165</v>
      </c>
      <c r="F17" s="93" t="s">
        <v>213</v>
      </c>
      <c r="G17" s="119"/>
      <c r="H17" s="92"/>
      <c r="I17" s="92"/>
    </row>
    <row r="18" spans="1:9" x14ac:dyDescent="0.25">
      <c r="A18" s="88"/>
      <c r="B18" s="173"/>
      <c r="C18" s="163"/>
      <c r="D18" s="173"/>
      <c r="E18" s="92" t="s">
        <v>166</v>
      </c>
      <c r="F18" s="93" t="s">
        <v>214</v>
      </c>
      <c r="G18" s="119"/>
      <c r="H18" s="92"/>
      <c r="I18" s="92"/>
    </row>
    <row r="19" spans="1:9" x14ac:dyDescent="0.25">
      <c r="A19" s="88"/>
      <c r="B19" s="173"/>
      <c r="C19" s="163"/>
      <c r="D19" s="173"/>
      <c r="E19" s="92" t="s">
        <v>167</v>
      </c>
      <c r="F19" s="93" t="s">
        <v>215</v>
      </c>
      <c r="G19" s="119"/>
      <c r="H19" s="92"/>
      <c r="I19" s="92"/>
    </row>
    <row r="20" spans="1:9" x14ac:dyDescent="0.25">
      <c r="A20" s="88"/>
      <c r="B20" s="173"/>
      <c r="C20" s="163"/>
      <c r="D20" s="173"/>
      <c r="E20" s="92" t="s">
        <v>168</v>
      </c>
      <c r="F20" s="93" t="s">
        <v>216</v>
      </c>
      <c r="G20" s="119"/>
      <c r="H20" s="92"/>
      <c r="I20" s="92"/>
    </row>
    <row r="21" spans="1:9" x14ac:dyDescent="0.25">
      <c r="A21" s="88"/>
      <c r="B21" s="173">
        <v>108</v>
      </c>
      <c r="C21" s="163" t="s">
        <v>169</v>
      </c>
      <c r="D21" s="173" t="s">
        <v>170</v>
      </c>
      <c r="E21" s="92" t="s">
        <v>171</v>
      </c>
      <c r="F21" s="93" t="s">
        <v>218</v>
      </c>
      <c r="G21" s="119"/>
      <c r="H21" s="92"/>
      <c r="I21" s="92"/>
    </row>
    <row r="22" spans="1:9" x14ac:dyDescent="0.25">
      <c r="A22" s="88"/>
      <c r="B22" s="173"/>
      <c r="C22" s="163"/>
      <c r="D22" s="173"/>
      <c r="E22" s="92" t="s">
        <v>172</v>
      </c>
      <c r="F22" s="93" t="s">
        <v>219</v>
      </c>
      <c r="G22" s="119"/>
      <c r="H22" s="92"/>
      <c r="I22" s="92"/>
    </row>
    <row r="23" spans="1:9" x14ac:dyDescent="0.25">
      <c r="A23" s="88"/>
      <c r="B23" s="173"/>
      <c r="C23" s="163"/>
      <c r="D23" s="173"/>
      <c r="E23" s="92" t="s">
        <v>173</v>
      </c>
      <c r="F23" s="93" t="s">
        <v>220</v>
      </c>
      <c r="G23" s="119"/>
      <c r="H23" s="92"/>
      <c r="I23" s="92"/>
    </row>
    <row r="24" spans="1:9" x14ac:dyDescent="0.25">
      <c r="A24" s="88"/>
      <c r="B24" s="173"/>
      <c r="C24" s="163"/>
      <c r="D24" s="173"/>
      <c r="E24" s="92" t="s">
        <v>174</v>
      </c>
      <c r="F24" s="93" t="s">
        <v>221</v>
      </c>
      <c r="G24" s="119"/>
      <c r="H24" s="92"/>
      <c r="I24" s="92"/>
    </row>
    <row r="25" spans="1:9" x14ac:dyDescent="0.25">
      <c r="B25" s="173"/>
      <c r="C25" s="163"/>
      <c r="D25" s="173"/>
      <c r="E25" s="92" t="s">
        <v>175</v>
      </c>
      <c r="F25" s="93" t="s">
        <v>222</v>
      </c>
      <c r="G25" s="119"/>
      <c r="H25" s="92"/>
      <c r="I25" s="92"/>
    </row>
    <row r="26" spans="1:9" x14ac:dyDescent="0.25">
      <c r="B26" s="173">
        <v>109</v>
      </c>
      <c r="C26" s="163" t="s">
        <v>176</v>
      </c>
      <c r="D26" s="173" t="s">
        <v>177</v>
      </c>
      <c r="E26" s="92" t="s">
        <v>178</v>
      </c>
      <c r="F26" s="93" t="s">
        <v>223</v>
      </c>
      <c r="G26" s="119"/>
      <c r="H26" s="92"/>
      <c r="I26" s="92"/>
    </row>
    <row r="27" spans="1:9" x14ac:dyDescent="0.25">
      <c r="B27" s="173"/>
      <c r="C27" s="163"/>
      <c r="D27" s="173"/>
      <c r="E27" s="92" t="s">
        <v>179</v>
      </c>
      <c r="F27" s="93" t="s">
        <v>224</v>
      </c>
      <c r="G27" s="119"/>
      <c r="H27" s="92"/>
      <c r="I27" s="92"/>
    </row>
    <row r="28" spans="1:9" x14ac:dyDescent="0.25">
      <c r="B28" s="173"/>
      <c r="C28" s="163"/>
      <c r="D28" s="173"/>
      <c r="E28" s="92" t="s">
        <v>180</v>
      </c>
      <c r="F28" s="93" t="s">
        <v>225</v>
      </c>
      <c r="G28" s="119"/>
      <c r="H28" s="92"/>
      <c r="I28" s="92"/>
    </row>
    <row r="29" spans="1:9" x14ac:dyDescent="0.25">
      <c r="B29" s="173"/>
      <c r="C29" s="163"/>
      <c r="D29" s="173"/>
      <c r="E29" s="92" t="s">
        <v>181</v>
      </c>
      <c r="F29" s="93" t="s">
        <v>226</v>
      </c>
      <c r="G29" s="119"/>
      <c r="H29" s="92"/>
      <c r="I29" s="92"/>
    </row>
    <row r="30" spans="1:9" x14ac:dyDescent="0.25">
      <c r="B30" s="173"/>
      <c r="C30" s="163"/>
      <c r="D30" s="173"/>
      <c r="E30" s="92" t="s">
        <v>182</v>
      </c>
      <c r="F30" s="93" t="s">
        <v>227</v>
      </c>
      <c r="G30" s="119"/>
      <c r="H30" s="92"/>
      <c r="I30" s="92"/>
    </row>
    <row r="32" spans="1:9" x14ac:dyDescent="0.25">
      <c r="B32" s="177" t="s">
        <v>195</v>
      </c>
      <c r="C32" s="178"/>
      <c r="D32" s="178"/>
      <c r="E32" s="178"/>
      <c r="F32" s="179"/>
      <c r="G32" s="125"/>
    </row>
    <row r="33" spans="2:7" x14ac:dyDescent="0.25">
      <c r="B33" s="180"/>
      <c r="C33" s="181"/>
      <c r="D33" s="181"/>
      <c r="E33" s="181"/>
      <c r="F33" s="182"/>
      <c r="G33" s="125"/>
    </row>
    <row r="34" spans="2:7" x14ac:dyDescent="0.25">
      <c r="B34" s="183"/>
      <c r="C34" s="184"/>
      <c r="D34" s="184"/>
      <c r="E34" s="184"/>
      <c r="F34" s="185"/>
      <c r="G34" s="125"/>
    </row>
    <row r="39" spans="2:7" x14ac:dyDescent="0.25">
      <c r="B39" t="s">
        <v>298</v>
      </c>
    </row>
  </sheetData>
  <mergeCells count="17">
    <mergeCell ref="B2:I2"/>
    <mergeCell ref="B16:B20"/>
    <mergeCell ref="C16:C20"/>
    <mergeCell ref="D16:D20"/>
    <mergeCell ref="B32:F34"/>
    <mergeCell ref="B7:B8"/>
    <mergeCell ref="C7:C8"/>
    <mergeCell ref="D7:D8"/>
    <mergeCell ref="B5:B6"/>
    <mergeCell ref="C5:C6"/>
    <mergeCell ref="D5:D6"/>
    <mergeCell ref="B21:B25"/>
    <mergeCell ref="C21:C25"/>
    <mergeCell ref="D21:D25"/>
    <mergeCell ref="B26:B30"/>
    <mergeCell ref="C26:C30"/>
    <mergeCell ref="D26:D30"/>
  </mergeCells>
  <phoneticPr fontId="1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5564-5B79-4737-81AC-D5F4CF3A0E40}">
  <dimension ref="A1:L54"/>
  <sheetViews>
    <sheetView topLeftCell="A2" zoomScale="90" zoomScaleNormal="90" workbookViewId="0">
      <pane ySplit="3" topLeftCell="A5" activePane="bottomLeft" state="frozen"/>
      <selection activeCell="B2" sqref="B2"/>
      <selection pane="bottomLeft" activeCell="D10" sqref="D10"/>
    </sheetView>
  </sheetViews>
  <sheetFormatPr baseColWidth="10" defaultRowHeight="15" x14ac:dyDescent="0.25"/>
  <cols>
    <col min="1" max="1" width="3.7109375" style="132" customWidth="1"/>
    <col min="2" max="2" width="11.42578125" style="132"/>
    <col min="3" max="3" width="27.28515625" style="132" customWidth="1"/>
    <col min="4" max="4" width="11.42578125" style="132"/>
    <col min="5" max="5" width="44.42578125" style="132" customWidth="1"/>
    <col min="6" max="6" width="14.42578125" style="132" customWidth="1"/>
    <col min="7" max="7" width="67" style="132" bestFit="1" customWidth="1"/>
    <col min="8" max="8" width="16.42578125" style="90" customWidth="1"/>
    <col min="9" max="9" width="19" style="90" hidden="1" customWidth="1"/>
    <col min="10" max="10" width="24.42578125" style="132" customWidth="1"/>
    <col min="11" max="11" width="27" style="132" customWidth="1"/>
    <col min="12" max="16384" width="11.42578125" style="132"/>
  </cols>
  <sheetData>
    <row r="1" spans="1:12" ht="15.75" thickBot="1" x14ac:dyDescent="0.3"/>
    <row r="2" spans="1:12" ht="26.25" thickBot="1" x14ac:dyDescent="0.4">
      <c r="B2" s="144" t="s">
        <v>233</v>
      </c>
      <c r="C2" s="145"/>
      <c r="D2" s="145"/>
      <c r="E2" s="145"/>
      <c r="F2" s="145"/>
      <c r="G2" s="145"/>
      <c r="H2" s="145"/>
      <c r="I2" s="145"/>
      <c r="J2" s="145"/>
      <c r="K2" s="146"/>
      <c r="L2" s="68"/>
    </row>
    <row r="3" spans="1:12" ht="8.25" customHeight="1" x14ac:dyDescent="0.25"/>
    <row r="4" spans="1:12" ht="25.5" x14ac:dyDescent="0.25">
      <c r="A4" s="87"/>
      <c r="B4" s="91" t="s">
        <v>90</v>
      </c>
      <c r="C4" s="95" t="s">
        <v>149</v>
      </c>
      <c r="D4" s="94" t="s">
        <v>197</v>
      </c>
      <c r="E4" s="94" t="s">
        <v>301</v>
      </c>
      <c r="F4" s="91" t="s">
        <v>312</v>
      </c>
      <c r="G4" s="95" t="s">
        <v>150</v>
      </c>
      <c r="H4" s="94" t="s">
        <v>217</v>
      </c>
      <c r="I4" s="94" t="s">
        <v>294</v>
      </c>
      <c r="J4" s="94" t="s">
        <v>183</v>
      </c>
      <c r="K4" s="94" t="s">
        <v>196</v>
      </c>
    </row>
    <row r="5" spans="1:12" x14ac:dyDescent="0.25">
      <c r="A5" s="89"/>
      <c r="B5" s="173">
        <v>100</v>
      </c>
      <c r="C5" s="163" t="s">
        <v>151</v>
      </c>
      <c r="D5" s="173" t="s">
        <v>378</v>
      </c>
      <c r="E5" s="170" t="s">
        <v>151</v>
      </c>
      <c r="F5" s="170" t="s">
        <v>379</v>
      </c>
      <c r="G5" s="92" t="s">
        <v>152</v>
      </c>
      <c r="H5" s="131" t="str">
        <f>+CONCATENATE(D$5,F$5,"000001")</f>
        <v>MPSM000001</v>
      </c>
      <c r="I5" s="131">
        <v>111401</v>
      </c>
      <c r="J5" s="175">
        <v>11140100</v>
      </c>
      <c r="K5" s="92"/>
    </row>
    <row r="6" spans="1:12" x14ac:dyDescent="0.25">
      <c r="A6" s="89"/>
      <c r="B6" s="173"/>
      <c r="C6" s="163"/>
      <c r="D6" s="173"/>
      <c r="E6" s="171"/>
      <c r="F6" s="171"/>
      <c r="G6" s="92" t="s">
        <v>153</v>
      </c>
      <c r="H6" s="131" t="str">
        <f>+CONCATENATE(D$5,F$5,"000002")</f>
        <v>MPSM000002</v>
      </c>
      <c r="I6" s="131"/>
      <c r="J6" s="176"/>
      <c r="K6" s="92"/>
    </row>
    <row r="7" spans="1:12" x14ac:dyDescent="0.25">
      <c r="A7" s="88"/>
      <c r="B7" s="173">
        <v>101</v>
      </c>
      <c r="C7" s="163" t="s">
        <v>154</v>
      </c>
      <c r="D7" s="173" t="s">
        <v>381</v>
      </c>
      <c r="E7" s="170" t="s">
        <v>154</v>
      </c>
      <c r="F7" s="170" t="s">
        <v>380</v>
      </c>
      <c r="G7" s="92" t="s">
        <v>156</v>
      </c>
      <c r="H7" s="131" t="str">
        <f>+CONCATENATE(D$7,F$7,"000001")</f>
        <v>SCMS000001</v>
      </c>
      <c r="I7" s="131">
        <v>111402</v>
      </c>
      <c r="J7" s="175">
        <v>11140101</v>
      </c>
      <c r="K7" s="92"/>
    </row>
    <row r="8" spans="1:12" x14ac:dyDescent="0.25">
      <c r="A8" s="88"/>
      <c r="B8" s="173"/>
      <c r="C8" s="163"/>
      <c r="D8" s="173"/>
      <c r="E8" s="171"/>
      <c r="F8" s="171"/>
      <c r="G8" s="92" t="s">
        <v>157</v>
      </c>
      <c r="H8" s="131" t="s">
        <v>206</v>
      </c>
      <c r="I8" s="131"/>
      <c r="J8" s="176"/>
      <c r="K8" s="92"/>
    </row>
    <row r="9" spans="1:12" x14ac:dyDescent="0.25">
      <c r="A9" s="88"/>
      <c r="B9" s="167">
        <v>102</v>
      </c>
      <c r="C9" s="170" t="s">
        <v>302</v>
      </c>
      <c r="D9" s="131" t="s">
        <v>382</v>
      </c>
      <c r="E9" s="130" t="s">
        <v>184</v>
      </c>
      <c r="F9" s="130" t="s">
        <v>185</v>
      </c>
      <c r="G9" s="92" t="s">
        <v>186</v>
      </c>
      <c r="H9" s="131" t="s">
        <v>207</v>
      </c>
      <c r="I9" s="131"/>
      <c r="J9" s="167">
        <v>11140102</v>
      </c>
      <c r="K9" s="92"/>
    </row>
    <row r="10" spans="1:12" x14ac:dyDescent="0.25">
      <c r="A10" s="88"/>
      <c r="B10" s="168"/>
      <c r="C10" s="186"/>
      <c r="D10" s="131" t="s">
        <v>188</v>
      </c>
      <c r="E10" s="130" t="s">
        <v>187</v>
      </c>
      <c r="F10" s="130" t="s">
        <v>188</v>
      </c>
      <c r="G10" s="92" t="s">
        <v>189</v>
      </c>
      <c r="H10" s="131" t="s">
        <v>208</v>
      </c>
      <c r="I10" s="131"/>
      <c r="J10" s="168"/>
      <c r="K10" s="92"/>
    </row>
    <row r="11" spans="1:12" x14ac:dyDescent="0.25">
      <c r="A11" s="88"/>
      <c r="B11" s="168"/>
      <c r="C11" s="186"/>
      <c r="D11" s="131" t="s">
        <v>191</v>
      </c>
      <c r="E11" s="130" t="s">
        <v>313</v>
      </c>
      <c r="F11" s="130" t="s">
        <v>191</v>
      </c>
      <c r="G11" s="92" t="s">
        <v>158</v>
      </c>
      <c r="H11" s="131" t="s">
        <v>209</v>
      </c>
      <c r="I11" s="131"/>
      <c r="J11" s="168"/>
      <c r="K11" s="92"/>
    </row>
    <row r="12" spans="1:12" x14ac:dyDescent="0.25">
      <c r="A12" s="88"/>
      <c r="B12" s="169"/>
      <c r="C12" s="171"/>
      <c r="D12" s="131" t="s">
        <v>193</v>
      </c>
      <c r="E12" s="130" t="s">
        <v>192</v>
      </c>
      <c r="F12" s="130" t="s">
        <v>193</v>
      </c>
      <c r="G12" s="92" t="s">
        <v>194</v>
      </c>
      <c r="H12" s="131" t="s">
        <v>210</v>
      </c>
      <c r="I12" s="131"/>
      <c r="J12" s="169"/>
      <c r="K12" s="92"/>
    </row>
    <row r="13" spans="1:12" x14ac:dyDescent="0.25">
      <c r="A13" s="88"/>
      <c r="B13" s="187">
        <v>110</v>
      </c>
      <c r="C13" s="159" t="s">
        <v>355</v>
      </c>
      <c r="D13" s="187" t="s">
        <v>362</v>
      </c>
      <c r="E13" s="159" t="s">
        <v>355</v>
      </c>
      <c r="F13" s="159"/>
      <c r="G13" s="129" t="s">
        <v>374</v>
      </c>
      <c r="H13" s="131" t="s">
        <v>363</v>
      </c>
      <c r="I13" s="131"/>
      <c r="J13" s="167">
        <v>11140110</v>
      </c>
      <c r="K13" s="92"/>
    </row>
    <row r="14" spans="1:12" x14ac:dyDescent="0.25">
      <c r="A14" s="88"/>
      <c r="B14" s="188"/>
      <c r="C14" s="160"/>
      <c r="D14" s="188"/>
      <c r="E14" s="160"/>
      <c r="F14" s="160"/>
      <c r="G14" s="129" t="s">
        <v>373</v>
      </c>
      <c r="H14" s="131" t="s">
        <v>364</v>
      </c>
      <c r="I14" s="131"/>
      <c r="J14" s="169"/>
      <c r="K14" s="92"/>
    </row>
    <row r="15" spans="1:12" x14ac:dyDescent="0.25">
      <c r="A15" s="88"/>
      <c r="B15" s="167">
        <v>115</v>
      </c>
      <c r="C15" s="170" t="s">
        <v>162</v>
      </c>
      <c r="D15" s="167" t="s">
        <v>163</v>
      </c>
      <c r="E15" s="170" t="s">
        <v>164</v>
      </c>
      <c r="F15" s="170" t="s">
        <v>314</v>
      </c>
      <c r="G15" s="92" t="s">
        <v>304</v>
      </c>
      <c r="H15" s="131" t="s">
        <v>372</v>
      </c>
      <c r="I15" s="131"/>
      <c r="J15" s="167">
        <v>11140115</v>
      </c>
      <c r="K15" s="92"/>
    </row>
    <row r="16" spans="1:12" x14ac:dyDescent="0.25">
      <c r="A16" s="88"/>
      <c r="B16" s="168"/>
      <c r="C16" s="186"/>
      <c r="D16" s="168"/>
      <c r="E16" s="171"/>
      <c r="F16" s="171"/>
      <c r="G16" s="92" t="s">
        <v>303</v>
      </c>
      <c r="H16" s="131" t="s">
        <v>309</v>
      </c>
      <c r="I16" s="131"/>
      <c r="J16" s="168"/>
      <c r="K16" s="92"/>
    </row>
    <row r="17" spans="1:11" x14ac:dyDescent="0.25">
      <c r="A17" s="88"/>
      <c r="B17" s="168"/>
      <c r="C17" s="186"/>
      <c r="D17" s="168"/>
      <c r="E17" s="170" t="s">
        <v>165</v>
      </c>
      <c r="F17" s="170" t="s">
        <v>315</v>
      </c>
      <c r="G17" s="92" t="s">
        <v>305</v>
      </c>
      <c r="H17" s="131" t="s">
        <v>310</v>
      </c>
      <c r="I17" s="131"/>
      <c r="J17" s="168"/>
      <c r="K17" s="92"/>
    </row>
    <row r="18" spans="1:11" x14ac:dyDescent="0.25">
      <c r="A18" s="88"/>
      <c r="B18" s="168"/>
      <c r="C18" s="186"/>
      <c r="D18" s="168"/>
      <c r="E18" s="171"/>
      <c r="F18" s="171"/>
      <c r="G18" s="92" t="s">
        <v>306</v>
      </c>
      <c r="H18" s="131" t="s">
        <v>311</v>
      </c>
      <c r="I18" s="131"/>
      <c r="J18" s="168"/>
      <c r="K18" s="92"/>
    </row>
    <row r="19" spans="1:11" x14ac:dyDescent="0.25">
      <c r="A19" s="88"/>
      <c r="B19" s="168"/>
      <c r="C19" s="186"/>
      <c r="D19" s="168"/>
      <c r="E19" s="170" t="s">
        <v>317</v>
      </c>
      <c r="F19" s="163" t="s">
        <v>316</v>
      </c>
      <c r="G19" s="92" t="s">
        <v>307</v>
      </c>
      <c r="H19" s="131" t="s">
        <v>318</v>
      </c>
      <c r="I19" s="131"/>
      <c r="J19" s="168"/>
      <c r="K19" s="92"/>
    </row>
    <row r="20" spans="1:11" x14ac:dyDescent="0.25">
      <c r="A20" s="88"/>
      <c r="B20" s="168"/>
      <c r="C20" s="186"/>
      <c r="D20" s="168"/>
      <c r="E20" s="171"/>
      <c r="F20" s="163"/>
      <c r="G20" s="129" t="s">
        <v>308</v>
      </c>
      <c r="H20" s="131" t="s">
        <v>319</v>
      </c>
      <c r="I20" s="131"/>
      <c r="J20" s="168"/>
      <c r="K20" s="92"/>
    </row>
    <row r="21" spans="1:11" x14ac:dyDescent="0.25">
      <c r="A21" s="88"/>
      <c r="B21" s="168"/>
      <c r="C21" s="186"/>
      <c r="D21" s="168"/>
      <c r="E21" s="170" t="s">
        <v>167</v>
      </c>
      <c r="F21" s="163" t="s">
        <v>320</v>
      </c>
      <c r="G21" s="135" t="s">
        <v>323</v>
      </c>
      <c r="H21" s="131" t="s">
        <v>321</v>
      </c>
      <c r="I21" s="131"/>
      <c r="J21" s="168"/>
      <c r="K21" s="175" t="s">
        <v>371</v>
      </c>
    </row>
    <row r="22" spans="1:11" x14ac:dyDescent="0.25">
      <c r="A22" s="88"/>
      <c r="B22" s="168"/>
      <c r="C22" s="186"/>
      <c r="D22" s="168"/>
      <c r="E22" s="171"/>
      <c r="F22" s="163"/>
      <c r="G22" s="135" t="s">
        <v>324</v>
      </c>
      <c r="H22" s="131" t="s">
        <v>322</v>
      </c>
      <c r="I22" s="131"/>
      <c r="J22" s="168"/>
      <c r="K22" s="176"/>
    </row>
    <row r="23" spans="1:11" x14ac:dyDescent="0.25">
      <c r="A23" s="88"/>
      <c r="B23" s="168"/>
      <c r="C23" s="186"/>
      <c r="D23" s="168"/>
      <c r="E23" s="163" t="s">
        <v>168</v>
      </c>
      <c r="F23" s="163" t="s">
        <v>325</v>
      </c>
      <c r="G23" s="129" t="s">
        <v>328</v>
      </c>
      <c r="H23" s="131" t="s">
        <v>326</v>
      </c>
      <c r="I23" s="131"/>
      <c r="J23" s="168"/>
      <c r="K23" s="92"/>
    </row>
    <row r="24" spans="1:11" x14ac:dyDescent="0.25">
      <c r="A24" s="88"/>
      <c r="B24" s="168"/>
      <c r="C24" s="186"/>
      <c r="D24" s="168"/>
      <c r="E24" s="163"/>
      <c r="F24" s="163"/>
      <c r="G24" s="6" t="s">
        <v>329</v>
      </c>
      <c r="H24" s="131" t="s">
        <v>327</v>
      </c>
      <c r="I24" s="131"/>
      <c r="J24" s="168"/>
      <c r="K24" s="92"/>
    </row>
    <row r="25" spans="1:11" x14ac:dyDescent="0.25">
      <c r="A25" s="88"/>
      <c r="B25" s="168"/>
      <c r="C25" s="186"/>
      <c r="D25" s="168"/>
      <c r="E25" s="170" t="s">
        <v>356</v>
      </c>
      <c r="F25" s="134" t="s">
        <v>357</v>
      </c>
      <c r="G25" s="6" t="s">
        <v>358</v>
      </c>
      <c r="H25" s="131" t="s">
        <v>359</v>
      </c>
      <c r="I25" s="131"/>
      <c r="J25" s="168"/>
      <c r="K25" s="92"/>
    </row>
    <row r="26" spans="1:11" x14ac:dyDescent="0.25">
      <c r="A26" s="88"/>
      <c r="B26" s="169"/>
      <c r="C26" s="171"/>
      <c r="D26" s="169"/>
      <c r="E26" s="171"/>
      <c r="F26" s="134" t="s">
        <v>357</v>
      </c>
      <c r="G26" s="6" t="s">
        <v>361</v>
      </c>
      <c r="H26" s="131" t="s">
        <v>360</v>
      </c>
      <c r="I26" s="131"/>
      <c r="J26" s="169"/>
      <c r="K26" s="92"/>
    </row>
    <row r="27" spans="1:11" x14ac:dyDescent="0.25">
      <c r="A27" s="88"/>
      <c r="B27" s="167">
        <v>116</v>
      </c>
      <c r="C27" s="167" t="s">
        <v>169</v>
      </c>
      <c r="D27" s="167" t="s">
        <v>170</v>
      </c>
      <c r="E27" s="168" t="s">
        <v>171</v>
      </c>
      <c r="F27" s="186" t="s">
        <v>340</v>
      </c>
      <c r="G27" s="6" t="s">
        <v>346</v>
      </c>
      <c r="H27" s="131" t="s">
        <v>330</v>
      </c>
      <c r="I27" s="131"/>
      <c r="J27" s="167">
        <v>11140116</v>
      </c>
      <c r="K27" s="92"/>
    </row>
    <row r="28" spans="1:11" x14ac:dyDescent="0.25">
      <c r="A28" s="88"/>
      <c r="B28" s="168"/>
      <c r="C28" s="168"/>
      <c r="D28" s="168"/>
      <c r="E28" s="169"/>
      <c r="F28" s="171"/>
      <c r="G28" s="6" t="s">
        <v>347</v>
      </c>
      <c r="H28" s="131" t="s">
        <v>331</v>
      </c>
      <c r="I28" s="131"/>
      <c r="J28" s="168"/>
      <c r="K28" s="92"/>
    </row>
    <row r="29" spans="1:11" x14ac:dyDescent="0.25">
      <c r="A29" s="88"/>
      <c r="B29" s="168"/>
      <c r="C29" s="168"/>
      <c r="D29" s="168"/>
      <c r="E29" s="170" t="s">
        <v>172</v>
      </c>
      <c r="F29" s="170" t="s">
        <v>341</v>
      </c>
      <c r="G29" s="6" t="s">
        <v>348</v>
      </c>
      <c r="H29" s="131" t="s">
        <v>332</v>
      </c>
      <c r="I29" s="131"/>
      <c r="J29" s="168"/>
      <c r="K29" s="92"/>
    </row>
    <row r="30" spans="1:11" x14ac:dyDescent="0.25">
      <c r="A30" s="88"/>
      <c r="B30" s="168"/>
      <c r="C30" s="168"/>
      <c r="D30" s="168"/>
      <c r="E30" s="171"/>
      <c r="F30" s="171"/>
      <c r="G30" s="6" t="s">
        <v>349</v>
      </c>
      <c r="H30" s="131" t="s">
        <v>333</v>
      </c>
      <c r="I30" s="131"/>
      <c r="J30" s="168"/>
      <c r="K30" s="92"/>
    </row>
    <row r="31" spans="1:11" ht="22.5" customHeight="1" x14ac:dyDescent="0.25">
      <c r="A31" s="88"/>
      <c r="B31" s="168"/>
      <c r="C31" s="168"/>
      <c r="D31" s="168"/>
      <c r="E31" s="189" t="s">
        <v>343</v>
      </c>
      <c r="F31" s="189" t="s">
        <v>342</v>
      </c>
      <c r="G31" s="6" t="s">
        <v>347</v>
      </c>
      <c r="H31" s="131" t="s">
        <v>334</v>
      </c>
      <c r="I31" s="131"/>
      <c r="J31" s="168"/>
      <c r="K31" s="92"/>
    </row>
    <row r="32" spans="1:11" ht="22.5" customHeight="1" x14ac:dyDescent="0.25">
      <c r="A32" s="88"/>
      <c r="B32" s="168"/>
      <c r="C32" s="168"/>
      <c r="D32" s="168"/>
      <c r="E32" s="190"/>
      <c r="F32" s="190"/>
      <c r="G32" s="92" t="s">
        <v>350</v>
      </c>
      <c r="H32" s="131" t="s">
        <v>335</v>
      </c>
      <c r="I32" s="131"/>
      <c r="J32" s="168"/>
      <c r="K32" s="92"/>
    </row>
    <row r="33" spans="1:11" x14ac:dyDescent="0.25">
      <c r="A33" s="88"/>
      <c r="B33" s="168"/>
      <c r="C33" s="168"/>
      <c r="D33" s="168"/>
      <c r="E33" s="189" t="s">
        <v>174</v>
      </c>
      <c r="F33" s="189" t="s">
        <v>344</v>
      </c>
      <c r="G33" s="92" t="s">
        <v>351</v>
      </c>
      <c r="H33" s="131" t="s">
        <v>337</v>
      </c>
      <c r="I33" s="131"/>
      <c r="J33" s="168"/>
      <c r="K33" s="92"/>
    </row>
    <row r="34" spans="1:11" x14ac:dyDescent="0.25">
      <c r="A34" s="88"/>
      <c r="B34" s="168"/>
      <c r="C34" s="168"/>
      <c r="D34" s="168"/>
      <c r="E34" s="190"/>
      <c r="F34" s="190"/>
      <c r="G34" s="92" t="s">
        <v>352</v>
      </c>
      <c r="H34" s="131" t="s">
        <v>338</v>
      </c>
      <c r="I34" s="131"/>
      <c r="J34" s="168"/>
      <c r="K34" s="92"/>
    </row>
    <row r="35" spans="1:11" x14ac:dyDescent="0.25">
      <c r="A35" s="88"/>
      <c r="B35" s="168"/>
      <c r="C35" s="168"/>
      <c r="D35" s="168"/>
      <c r="E35" s="170" t="s">
        <v>175</v>
      </c>
      <c r="F35" s="189" t="s">
        <v>345</v>
      </c>
      <c r="G35" s="92" t="s">
        <v>353</v>
      </c>
      <c r="H35" s="131" t="s">
        <v>339</v>
      </c>
      <c r="I35" s="131"/>
      <c r="J35" s="168"/>
      <c r="K35" s="92"/>
    </row>
    <row r="36" spans="1:11" x14ac:dyDescent="0.25">
      <c r="B36" s="168"/>
      <c r="C36" s="168"/>
      <c r="D36" s="168"/>
      <c r="E36" s="171"/>
      <c r="F36" s="190"/>
      <c r="G36" s="92" t="s">
        <v>354</v>
      </c>
      <c r="H36" s="131" t="s">
        <v>336</v>
      </c>
      <c r="I36" s="131"/>
      <c r="J36" s="168"/>
      <c r="K36" s="92"/>
    </row>
    <row r="37" spans="1:11" x14ac:dyDescent="0.25">
      <c r="B37" s="168"/>
      <c r="C37" s="168"/>
      <c r="D37" s="168"/>
      <c r="E37" s="170" t="s">
        <v>365</v>
      </c>
      <c r="F37" s="170" t="s">
        <v>366</v>
      </c>
      <c r="G37" s="92" t="s">
        <v>367</v>
      </c>
      <c r="H37" s="131" t="s">
        <v>369</v>
      </c>
      <c r="I37" s="131"/>
      <c r="J37" s="168"/>
      <c r="K37" s="92"/>
    </row>
    <row r="38" spans="1:11" x14ac:dyDescent="0.25">
      <c r="B38" s="169"/>
      <c r="C38" s="169"/>
      <c r="D38" s="169"/>
      <c r="E38" s="171"/>
      <c r="F38" s="171"/>
      <c r="G38" s="92" t="s">
        <v>368</v>
      </c>
      <c r="H38" s="131" t="s">
        <v>370</v>
      </c>
      <c r="I38" s="131"/>
      <c r="J38" s="169"/>
      <c r="K38" s="92"/>
    </row>
    <row r="39" spans="1:11" x14ac:dyDescent="0.25">
      <c r="B39" s="173">
        <v>109</v>
      </c>
      <c r="C39" s="163" t="s">
        <v>176</v>
      </c>
      <c r="D39" s="173" t="s">
        <v>177</v>
      </c>
      <c r="E39" s="133"/>
      <c r="F39" s="133"/>
      <c r="G39" s="92" t="s">
        <v>178</v>
      </c>
      <c r="H39" s="131" t="s">
        <v>223</v>
      </c>
      <c r="I39" s="131"/>
      <c r="J39" s="167">
        <v>12110100</v>
      </c>
      <c r="K39" s="92"/>
    </row>
    <row r="40" spans="1:11" x14ac:dyDescent="0.25">
      <c r="B40" s="173"/>
      <c r="C40" s="163"/>
      <c r="D40" s="173"/>
      <c r="E40" s="133"/>
      <c r="F40" s="133"/>
      <c r="G40" s="92" t="s">
        <v>179</v>
      </c>
      <c r="H40" s="131" t="s">
        <v>224</v>
      </c>
      <c r="I40" s="131"/>
      <c r="J40" s="168"/>
      <c r="K40" s="92"/>
    </row>
    <row r="41" spans="1:11" x14ac:dyDescent="0.25">
      <c r="B41" s="173"/>
      <c r="C41" s="163"/>
      <c r="D41" s="173"/>
      <c r="E41" s="133"/>
      <c r="F41" s="133"/>
      <c r="G41" s="92" t="s">
        <v>180</v>
      </c>
      <c r="H41" s="131" t="s">
        <v>225</v>
      </c>
      <c r="I41" s="131"/>
      <c r="J41" s="168"/>
      <c r="K41" s="92"/>
    </row>
    <row r="42" spans="1:11" x14ac:dyDescent="0.25">
      <c r="B42" s="173"/>
      <c r="C42" s="163"/>
      <c r="D42" s="173"/>
      <c r="E42" s="133"/>
      <c r="F42" s="133"/>
      <c r="G42" s="92" t="s">
        <v>181</v>
      </c>
      <c r="H42" s="131" t="s">
        <v>226</v>
      </c>
      <c r="I42" s="131"/>
      <c r="J42" s="168"/>
      <c r="K42" s="92"/>
    </row>
    <row r="43" spans="1:11" x14ac:dyDescent="0.25">
      <c r="B43" s="173"/>
      <c r="C43" s="163"/>
      <c r="D43" s="173"/>
      <c r="E43" s="133"/>
      <c r="F43" s="133"/>
      <c r="G43" s="135" t="s">
        <v>323</v>
      </c>
      <c r="H43" s="131"/>
      <c r="I43" s="131"/>
      <c r="J43" s="168"/>
      <c r="K43" s="92"/>
    </row>
    <row r="44" spans="1:11" x14ac:dyDescent="0.25">
      <c r="B44" s="173"/>
      <c r="C44" s="163"/>
      <c r="D44" s="173"/>
      <c r="E44" s="133"/>
      <c r="F44" s="133"/>
      <c r="G44" s="135" t="s">
        <v>324</v>
      </c>
      <c r="H44" s="131"/>
      <c r="I44" s="131"/>
      <c r="J44" s="168"/>
      <c r="K44" s="92"/>
    </row>
    <row r="45" spans="1:11" x14ac:dyDescent="0.25">
      <c r="B45" s="173"/>
      <c r="C45" s="163"/>
      <c r="D45" s="173"/>
      <c r="E45" s="133"/>
      <c r="F45" s="133"/>
      <c r="G45" s="92" t="s">
        <v>182</v>
      </c>
      <c r="H45" s="131" t="s">
        <v>227</v>
      </c>
      <c r="I45" s="131"/>
      <c r="J45" s="169"/>
      <c r="K45" s="92"/>
    </row>
    <row r="47" spans="1:11" x14ac:dyDescent="0.25">
      <c r="B47" s="177" t="s">
        <v>195</v>
      </c>
      <c r="C47" s="178"/>
      <c r="D47" s="178"/>
      <c r="E47" s="178"/>
      <c r="F47" s="178"/>
      <c r="G47" s="178"/>
      <c r="H47" s="179"/>
      <c r="I47" s="125"/>
    </row>
    <row r="48" spans="1:11" x14ac:dyDescent="0.25">
      <c r="B48" s="180"/>
      <c r="C48" s="181"/>
      <c r="D48" s="181"/>
      <c r="E48" s="181"/>
      <c r="F48" s="181"/>
      <c r="G48" s="181"/>
      <c r="H48" s="182"/>
      <c r="I48" s="125"/>
    </row>
    <row r="49" spans="2:9" x14ac:dyDescent="0.25">
      <c r="B49" s="183"/>
      <c r="C49" s="184"/>
      <c r="D49" s="184"/>
      <c r="E49" s="184"/>
      <c r="F49" s="184"/>
      <c r="G49" s="184"/>
      <c r="H49" s="185"/>
      <c r="I49" s="125"/>
    </row>
    <row r="54" spans="2:9" x14ac:dyDescent="0.25">
      <c r="B54" s="132" t="s">
        <v>298</v>
      </c>
    </row>
  </sheetData>
  <mergeCells count="59">
    <mergeCell ref="J7:J8"/>
    <mergeCell ref="B2:K2"/>
    <mergeCell ref="B5:B6"/>
    <mergeCell ref="C5:C6"/>
    <mergeCell ref="D5:D6"/>
    <mergeCell ref="E5:E6"/>
    <mergeCell ref="F5:F6"/>
    <mergeCell ref="J5:J6"/>
    <mergeCell ref="B7:B8"/>
    <mergeCell ref="C7:C8"/>
    <mergeCell ref="D7:D8"/>
    <mergeCell ref="E7:E8"/>
    <mergeCell ref="F7:F8"/>
    <mergeCell ref="B9:B12"/>
    <mergeCell ref="C9:C12"/>
    <mergeCell ref="J9:J12"/>
    <mergeCell ref="B13:B14"/>
    <mergeCell ref="C13:C14"/>
    <mergeCell ref="D13:D14"/>
    <mergeCell ref="E13:E14"/>
    <mergeCell ref="F13:F14"/>
    <mergeCell ref="J13:J14"/>
    <mergeCell ref="F15:F16"/>
    <mergeCell ref="J15:J26"/>
    <mergeCell ref="E17:E18"/>
    <mergeCell ref="F17:F18"/>
    <mergeCell ref="E19:E20"/>
    <mergeCell ref="F19:F20"/>
    <mergeCell ref="E25:E26"/>
    <mergeCell ref="F21:F22"/>
    <mergeCell ref="B15:B26"/>
    <mergeCell ref="C15:C26"/>
    <mergeCell ref="D15:D26"/>
    <mergeCell ref="E15:E16"/>
    <mergeCell ref="E21:E22"/>
    <mergeCell ref="K21:K22"/>
    <mergeCell ref="E23:E24"/>
    <mergeCell ref="F23:F24"/>
    <mergeCell ref="J27:J38"/>
    <mergeCell ref="E29:E30"/>
    <mergeCell ref="F29:F30"/>
    <mergeCell ref="E31:E32"/>
    <mergeCell ref="F31:F32"/>
    <mergeCell ref="B27:B38"/>
    <mergeCell ref="C27:C38"/>
    <mergeCell ref="D27:D38"/>
    <mergeCell ref="E27:E28"/>
    <mergeCell ref="F27:F28"/>
    <mergeCell ref="E33:E34"/>
    <mergeCell ref="F33:F34"/>
    <mergeCell ref="E35:E36"/>
    <mergeCell ref="F35:F36"/>
    <mergeCell ref="E37:E38"/>
    <mergeCell ref="F37:F38"/>
    <mergeCell ref="B39:B45"/>
    <mergeCell ref="C39:C45"/>
    <mergeCell ref="D39:D45"/>
    <mergeCell ref="J39:J45"/>
    <mergeCell ref="B47:H4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01.Proc. Compras</vt:lpstr>
      <vt:lpstr>Matriz de Definiciones</vt:lpstr>
      <vt:lpstr>Maestro de Artículos</vt:lpstr>
      <vt:lpstr>Maestro de Proveedores</vt:lpstr>
      <vt:lpstr>Políticas</vt:lpstr>
      <vt:lpstr>Niveles de Autorización</vt:lpstr>
      <vt:lpstr>Centros de Costo</vt:lpstr>
      <vt:lpstr>MA001</vt:lpstr>
      <vt:lpstr>MA002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Inés Ballagán</dc:creator>
  <cp:lastModifiedBy>María Inés Ballagán</cp:lastModifiedBy>
  <cp:lastPrinted>2021-05-18T18:37:23Z</cp:lastPrinted>
  <dcterms:created xsi:type="dcterms:W3CDTF">2021-05-16T20:15:52Z</dcterms:created>
  <dcterms:modified xsi:type="dcterms:W3CDTF">2021-05-26T15:33:33Z</dcterms:modified>
</cp:coreProperties>
</file>