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tica\Desktop\"/>
    </mc:Choice>
  </mc:AlternateContent>
  <xr:revisionPtr revIDLastSave="0" documentId="13_ncr:1_{8C5F6AFD-2587-4D97-A417-0A68EDC8EAC9}" xr6:coauthVersionLast="46" xr6:coauthVersionMax="46" xr10:uidLastSave="{00000000-0000-0000-0000-000000000000}"/>
  <bookViews>
    <workbookView xWindow="-120" yWindow="-120" windowWidth="20730" windowHeight="11160" activeTab="2" xr2:uid="{00000000-000D-0000-FFFF-FFFF00000000}"/>
  </bookViews>
  <sheets>
    <sheet name="ASIST " sheetId="1" r:id="rId1"/>
    <sheet name="ALIMENT" sheetId="2" r:id="rId2"/>
    <sheet name="REPORTE ALIM " sheetId="3" r:id="rId3"/>
  </sheets>
  <definedNames>
    <definedName name="_xlnm._FilterDatabase" localSheetId="2" hidden="1">'REPORTE ALIM '!$A$7:$E$36</definedName>
    <definedName name="_xlnm.Print_Area" localSheetId="1">#REF!</definedName>
    <definedName name="_xlnm.Print_Area" localSheetId="0">#REF!</definedName>
    <definedName name="_xlnm.Print_Area" localSheetId="2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88" i="2" l="1"/>
  <c r="AH188" i="2"/>
  <c r="AG188" i="2"/>
  <c r="AF188" i="2"/>
  <c r="AJ188" i="2" s="1"/>
  <c r="AI187" i="2"/>
  <c r="AH187" i="2"/>
  <c r="AG187" i="2"/>
  <c r="AF187" i="2"/>
  <c r="AJ187" i="2" s="1"/>
  <c r="AI147" i="2"/>
  <c r="AH147" i="2"/>
  <c r="AG147" i="2"/>
  <c r="AF147" i="2"/>
  <c r="AJ147" i="2" s="1"/>
  <c r="AI146" i="2"/>
  <c r="AH146" i="2"/>
  <c r="AG146" i="2"/>
  <c r="AF146" i="2"/>
  <c r="AJ146" i="2" s="1"/>
  <c r="AI122" i="2"/>
  <c r="AH122" i="2"/>
  <c r="AG122" i="2"/>
  <c r="AF122" i="2"/>
  <c r="AJ122" i="2" s="1"/>
  <c r="AI121" i="2"/>
  <c r="AH121" i="2"/>
  <c r="AG121" i="2"/>
  <c r="AF121" i="2"/>
  <c r="AJ121" i="2" s="1"/>
  <c r="AI125" i="2"/>
  <c r="AH125" i="2"/>
  <c r="AG125" i="2"/>
  <c r="AI124" i="2"/>
  <c r="AH124" i="2"/>
  <c r="AG124" i="2"/>
  <c r="AI81" i="2"/>
  <c r="AH81" i="2"/>
  <c r="AG81" i="2"/>
  <c r="AF81" i="2"/>
  <c r="AI80" i="2"/>
  <c r="AH80" i="2"/>
  <c r="AG80" i="2"/>
  <c r="AF80" i="2"/>
  <c r="AI13" i="2"/>
  <c r="AH13" i="2"/>
  <c r="AG13" i="2"/>
  <c r="AF13" i="2"/>
  <c r="AI12" i="2"/>
  <c r="AH12" i="2"/>
  <c r="AG12" i="2"/>
  <c r="AF12" i="2"/>
  <c r="AI54" i="2"/>
  <c r="AH54" i="2"/>
  <c r="AG54" i="2"/>
  <c r="AF54" i="2"/>
  <c r="AI53" i="2"/>
  <c r="AH53" i="2"/>
  <c r="AG53" i="2"/>
  <c r="AF53" i="2"/>
  <c r="P75" i="1"/>
  <c r="F75" i="1"/>
  <c r="H75" i="1" s="1"/>
  <c r="D39" i="3"/>
  <c r="AF84" i="2"/>
  <c r="AF83" i="2"/>
  <c r="AJ125" i="2" l="1"/>
  <c r="AJ53" i="2"/>
  <c r="AJ12" i="2"/>
  <c r="AJ80" i="2"/>
  <c r="AJ124" i="2"/>
  <c r="AJ54" i="2"/>
  <c r="AJ13" i="2"/>
  <c r="AJ81" i="2"/>
  <c r="AI194" i="2"/>
  <c r="AH194" i="2"/>
  <c r="AG194" i="2"/>
  <c r="AF194" i="2"/>
  <c r="AI193" i="2"/>
  <c r="AH193" i="2"/>
  <c r="AG193" i="2"/>
  <c r="AF193" i="2"/>
  <c r="AI191" i="2"/>
  <c r="AH191" i="2"/>
  <c r="AG191" i="2"/>
  <c r="AF191" i="2"/>
  <c r="AI190" i="2"/>
  <c r="AH190" i="2"/>
  <c r="AG190" i="2"/>
  <c r="AF190" i="2"/>
  <c r="AI185" i="2"/>
  <c r="AH185" i="2"/>
  <c r="AG185" i="2"/>
  <c r="AF185" i="2"/>
  <c r="AI184" i="2"/>
  <c r="AH184" i="2"/>
  <c r="AG184" i="2"/>
  <c r="AF184" i="2"/>
  <c r="AI183" i="2"/>
  <c r="AH183" i="2"/>
  <c r="AG183" i="2"/>
  <c r="AF183" i="2"/>
  <c r="AI181" i="2"/>
  <c r="AH181" i="2"/>
  <c r="AG181" i="2"/>
  <c r="AI180" i="2"/>
  <c r="AH180" i="2"/>
  <c r="AG180" i="2"/>
  <c r="AI178" i="2"/>
  <c r="AH178" i="2"/>
  <c r="AG178" i="2"/>
  <c r="AF178" i="2"/>
  <c r="AI177" i="2"/>
  <c r="AH177" i="2"/>
  <c r="AG177" i="2"/>
  <c r="AF177" i="2"/>
  <c r="AI175" i="2"/>
  <c r="AH175" i="2"/>
  <c r="AG175" i="2"/>
  <c r="AF175" i="2"/>
  <c r="AI174" i="2"/>
  <c r="AH174" i="2"/>
  <c r="AG174" i="2"/>
  <c r="AF174" i="2"/>
  <c r="AI172" i="2"/>
  <c r="AH172" i="2"/>
  <c r="AG172" i="2"/>
  <c r="AF172" i="2"/>
  <c r="AI171" i="2"/>
  <c r="AH171" i="2"/>
  <c r="AG171" i="2"/>
  <c r="AF171" i="2"/>
  <c r="AI169" i="2"/>
  <c r="AH169" i="2"/>
  <c r="AG169" i="2"/>
  <c r="AF169" i="2"/>
  <c r="AI168" i="2"/>
  <c r="AH168" i="2"/>
  <c r="AG168" i="2"/>
  <c r="AF168" i="2"/>
  <c r="AI166" i="2"/>
  <c r="AH166" i="2"/>
  <c r="AG166" i="2"/>
  <c r="AF166" i="2"/>
  <c r="AI165" i="2"/>
  <c r="AH165" i="2"/>
  <c r="AG165" i="2"/>
  <c r="AF165" i="2"/>
  <c r="AI163" i="2"/>
  <c r="AH163" i="2"/>
  <c r="AG163" i="2"/>
  <c r="AF163" i="2"/>
  <c r="AI162" i="2"/>
  <c r="AH162" i="2"/>
  <c r="AG162" i="2"/>
  <c r="AF162" i="2"/>
  <c r="AI160" i="2"/>
  <c r="AH160" i="2"/>
  <c r="AG160" i="2"/>
  <c r="AF160" i="2"/>
  <c r="AI159" i="2"/>
  <c r="AH159" i="2"/>
  <c r="AG159" i="2"/>
  <c r="AF159" i="2"/>
  <c r="AI157" i="2"/>
  <c r="AH157" i="2"/>
  <c r="AG157" i="2"/>
  <c r="AI156" i="2"/>
  <c r="AH156" i="2"/>
  <c r="AG156" i="2"/>
  <c r="AI154" i="2"/>
  <c r="AH154" i="2"/>
  <c r="AG154" i="2"/>
  <c r="AF154" i="2"/>
  <c r="AI153" i="2"/>
  <c r="AH153" i="2"/>
  <c r="AG153" i="2"/>
  <c r="AF153" i="2"/>
  <c r="AI152" i="2"/>
  <c r="AH152" i="2"/>
  <c r="AG152" i="2"/>
  <c r="AF152" i="2"/>
  <c r="AI150" i="2"/>
  <c r="AH150" i="2"/>
  <c r="AG150" i="2"/>
  <c r="AF150" i="2"/>
  <c r="AI149" i="2"/>
  <c r="AH149" i="2"/>
  <c r="AG149" i="2"/>
  <c r="AF149" i="2"/>
  <c r="AI144" i="2"/>
  <c r="AH144" i="2"/>
  <c r="AG144" i="2"/>
  <c r="AI143" i="2"/>
  <c r="AH143" i="2"/>
  <c r="AG143" i="2"/>
  <c r="H141" i="2"/>
  <c r="L141" i="2" s="1"/>
  <c r="P141" i="2" s="1"/>
  <c r="T141" i="2" s="1"/>
  <c r="AB141" i="2" s="1"/>
  <c r="AI128" i="2"/>
  <c r="AH128" i="2"/>
  <c r="AG128" i="2"/>
  <c r="AF128" i="2"/>
  <c r="AI127" i="2"/>
  <c r="AH127" i="2"/>
  <c r="AG127" i="2"/>
  <c r="AF127" i="2"/>
  <c r="AI119" i="2"/>
  <c r="AH119" i="2"/>
  <c r="AG119" i="2"/>
  <c r="AF119" i="2"/>
  <c r="AI118" i="2"/>
  <c r="AH118" i="2"/>
  <c r="AG118" i="2"/>
  <c r="AF118" i="2"/>
  <c r="AI117" i="2"/>
  <c r="AH117" i="2"/>
  <c r="AG117" i="2"/>
  <c r="AF117" i="2"/>
  <c r="AI115" i="2"/>
  <c r="AH115" i="2"/>
  <c r="AG115" i="2"/>
  <c r="AI114" i="2"/>
  <c r="AH114" i="2"/>
  <c r="AG114" i="2"/>
  <c r="AI112" i="2"/>
  <c r="AH112" i="2"/>
  <c r="AG112" i="2"/>
  <c r="AF112" i="2"/>
  <c r="AI111" i="2"/>
  <c r="AH111" i="2"/>
  <c r="AG111" i="2"/>
  <c r="AF111" i="2"/>
  <c r="AI109" i="2"/>
  <c r="AH109" i="2"/>
  <c r="AG109" i="2"/>
  <c r="AF109" i="2"/>
  <c r="AI108" i="2"/>
  <c r="AH108" i="2"/>
  <c r="AG108" i="2"/>
  <c r="AF108" i="2"/>
  <c r="AI106" i="2"/>
  <c r="AH106" i="2"/>
  <c r="AG106" i="2"/>
  <c r="AF106" i="2"/>
  <c r="AI105" i="2"/>
  <c r="AH105" i="2"/>
  <c r="AG105" i="2"/>
  <c r="AF105" i="2"/>
  <c r="AI103" i="2"/>
  <c r="AH103" i="2"/>
  <c r="AG103" i="2"/>
  <c r="AF103" i="2"/>
  <c r="AI102" i="2"/>
  <c r="AH102" i="2"/>
  <c r="AG102" i="2"/>
  <c r="AF102" i="2"/>
  <c r="AI100" i="2"/>
  <c r="AH100" i="2"/>
  <c r="AG100" i="2"/>
  <c r="AF100" i="2"/>
  <c r="AI99" i="2"/>
  <c r="AH99" i="2"/>
  <c r="AG99" i="2"/>
  <c r="AF99" i="2"/>
  <c r="AI97" i="2"/>
  <c r="AH97" i="2"/>
  <c r="AG97" i="2"/>
  <c r="AF97" i="2"/>
  <c r="AI96" i="2"/>
  <c r="AH96" i="2"/>
  <c r="AG96" i="2"/>
  <c r="AF96" i="2"/>
  <c r="AI94" i="2"/>
  <c r="AH94" i="2"/>
  <c r="AG94" i="2"/>
  <c r="AF94" i="2"/>
  <c r="AI93" i="2"/>
  <c r="AH93" i="2"/>
  <c r="AG93" i="2"/>
  <c r="AF93" i="2"/>
  <c r="AI91" i="2"/>
  <c r="AH91" i="2"/>
  <c r="AG91" i="2"/>
  <c r="AI90" i="2"/>
  <c r="AH90" i="2"/>
  <c r="AG90" i="2"/>
  <c r="AI88" i="2"/>
  <c r="AH88" i="2"/>
  <c r="AG88" i="2"/>
  <c r="AF88" i="2"/>
  <c r="AI87" i="2"/>
  <c r="AH87" i="2"/>
  <c r="AG87" i="2"/>
  <c r="AF87" i="2"/>
  <c r="AI86" i="2"/>
  <c r="AH86" i="2"/>
  <c r="AG86" i="2"/>
  <c r="AF86" i="2"/>
  <c r="AI84" i="2"/>
  <c r="AH84" i="2"/>
  <c r="AG84" i="2"/>
  <c r="AI83" i="2"/>
  <c r="AH83" i="2"/>
  <c r="AG83" i="2"/>
  <c r="AI78" i="2"/>
  <c r="AH78" i="2"/>
  <c r="AG78" i="2"/>
  <c r="AI77" i="2"/>
  <c r="AH77" i="2"/>
  <c r="AG77" i="2"/>
  <c r="H75" i="2"/>
  <c r="L75" i="2" s="1"/>
  <c r="P75" i="2" s="1"/>
  <c r="T75" i="2" s="1"/>
  <c r="X75" i="2" s="1"/>
  <c r="AB75" i="2" s="1"/>
  <c r="AI60" i="2"/>
  <c r="AH60" i="2"/>
  <c r="AG60" i="2"/>
  <c r="AI59" i="2"/>
  <c r="AH59" i="2"/>
  <c r="AG59" i="2"/>
  <c r="AF59" i="2"/>
  <c r="AI57" i="2"/>
  <c r="AH57" i="2"/>
  <c r="AG57" i="2"/>
  <c r="AF57" i="2"/>
  <c r="AI56" i="2"/>
  <c r="AH56" i="2"/>
  <c r="AG56" i="2"/>
  <c r="AF56" i="2"/>
  <c r="AI51" i="2"/>
  <c r="AH51" i="2"/>
  <c r="AG51" i="2"/>
  <c r="AF51" i="2"/>
  <c r="AI50" i="2"/>
  <c r="AH50" i="2"/>
  <c r="AG50" i="2"/>
  <c r="AF50" i="2"/>
  <c r="AI49" i="2"/>
  <c r="AH49" i="2"/>
  <c r="AG49" i="2"/>
  <c r="AF49" i="2"/>
  <c r="AI47" i="2"/>
  <c r="AH47" i="2"/>
  <c r="AG47" i="2"/>
  <c r="AF47" i="2"/>
  <c r="AI46" i="2"/>
  <c r="AH46" i="2"/>
  <c r="AG46" i="2"/>
  <c r="AF46" i="2"/>
  <c r="AI44" i="2"/>
  <c r="AH44" i="2"/>
  <c r="AG44" i="2"/>
  <c r="AF44" i="2"/>
  <c r="AI43" i="2"/>
  <c r="AH43" i="2"/>
  <c r="AG43" i="2"/>
  <c r="AF43" i="2"/>
  <c r="AI41" i="2"/>
  <c r="AH41" i="2"/>
  <c r="AG41" i="2"/>
  <c r="AF41" i="2"/>
  <c r="AI40" i="2"/>
  <c r="AH40" i="2"/>
  <c r="AG40" i="2"/>
  <c r="AF40" i="2"/>
  <c r="AI38" i="2"/>
  <c r="AH38" i="2"/>
  <c r="AG38" i="2"/>
  <c r="AI37" i="2"/>
  <c r="AH37" i="2"/>
  <c r="AG37" i="2"/>
  <c r="AI35" i="2"/>
  <c r="AH35" i="2"/>
  <c r="AG35" i="2"/>
  <c r="AF35" i="2"/>
  <c r="AI34" i="2"/>
  <c r="AH34" i="2"/>
  <c r="AG34" i="2"/>
  <c r="AF34" i="2"/>
  <c r="AI32" i="2"/>
  <c r="AH32" i="2"/>
  <c r="AG32" i="2"/>
  <c r="AF32" i="2"/>
  <c r="AI31" i="2"/>
  <c r="AH31" i="2"/>
  <c r="AG31" i="2"/>
  <c r="AF31" i="2"/>
  <c r="AI29" i="2"/>
  <c r="AH29" i="2"/>
  <c r="AG29" i="2"/>
  <c r="AF29" i="2"/>
  <c r="AI28" i="2"/>
  <c r="AH28" i="2"/>
  <c r="AG28" i="2"/>
  <c r="AF28" i="2"/>
  <c r="AI26" i="2"/>
  <c r="AH26" i="2"/>
  <c r="AG26" i="2"/>
  <c r="AF26" i="2"/>
  <c r="AI25" i="2"/>
  <c r="AH25" i="2"/>
  <c r="AG25" i="2"/>
  <c r="AF25" i="2"/>
  <c r="AI23" i="2"/>
  <c r="AH23" i="2"/>
  <c r="AG23" i="2"/>
  <c r="AF23" i="2"/>
  <c r="AI22" i="2"/>
  <c r="AH22" i="2"/>
  <c r="AG22" i="2"/>
  <c r="AF22" i="2"/>
  <c r="AI20" i="2"/>
  <c r="AH20" i="2"/>
  <c r="AG20" i="2"/>
  <c r="AF20" i="2"/>
  <c r="AI19" i="2"/>
  <c r="AH19" i="2"/>
  <c r="AG19" i="2"/>
  <c r="AF19" i="2"/>
  <c r="AI18" i="2"/>
  <c r="AH18" i="2"/>
  <c r="AG18" i="2"/>
  <c r="AF18" i="2"/>
  <c r="AI16" i="2"/>
  <c r="AH16" i="2"/>
  <c r="AG16" i="2"/>
  <c r="AF16" i="2"/>
  <c r="AI15" i="2"/>
  <c r="AH15" i="2"/>
  <c r="AG15" i="2"/>
  <c r="AF15" i="2"/>
  <c r="AI10" i="2"/>
  <c r="AH10" i="2"/>
  <c r="AG10" i="2"/>
  <c r="AI9" i="2"/>
  <c r="AH9" i="2"/>
  <c r="AG9" i="2"/>
  <c r="X7" i="2"/>
  <c r="AB7" i="2" s="1"/>
  <c r="H7" i="2"/>
  <c r="L7" i="2" s="1"/>
  <c r="L138" i="1"/>
  <c r="P138" i="1" s="1"/>
  <c r="F138" i="1"/>
  <c r="H138" i="1" s="1"/>
  <c r="P7" i="1"/>
  <c r="F7" i="1"/>
  <c r="H7" i="1" s="1"/>
  <c r="AJ83" i="2" l="1"/>
  <c r="AJ77" i="2"/>
  <c r="AJ78" i="2"/>
  <c r="AJ181" i="2"/>
  <c r="AJ180" i="2"/>
  <c r="AJ144" i="2"/>
  <c r="AJ143" i="2"/>
  <c r="AJ156" i="2"/>
  <c r="AJ190" i="2"/>
  <c r="AJ191" i="2"/>
  <c r="AJ193" i="2"/>
  <c r="AJ194" i="2"/>
  <c r="AJ165" i="2"/>
  <c r="AJ166" i="2"/>
  <c r="AJ168" i="2"/>
  <c r="AJ169" i="2"/>
  <c r="AJ171" i="2"/>
  <c r="AJ172" i="2"/>
  <c r="AJ174" i="2"/>
  <c r="AJ175" i="2"/>
  <c r="AJ177" i="2"/>
  <c r="AJ178" i="2"/>
  <c r="AJ183" i="2"/>
  <c r="AJ184" i="2"/>
  <c r="AJ185" i="2"/>
  <c r="AJ152" i="2"/>
  <c r="AJ153" i="2"/>
  <c r="AJ154" i="2"/>
  <c r="AJ157" i="2"/>
  <c r="AJ159" i="2"/>
  <c r="AJ160" i="2"/>
  <c r="AJ162" i="2"/>
  <c r="AJ163" i="2"/>
  <c r="AJ150" i="2"/>
  <c r="AJ149" i="2"/>
  <c r="AJ84" i="2"/>
  <c r="AJ16" i="2"/>
  <c r="AJ10" i="2"/>
  <c r="AJ9" i="2"/>
  <c r="AJ15" i="2"/>
  <c r="AJ128" i="2"/>
  <c r="AJ127" i="2"/>
  <c r="AJ119" i="2"/>
  <c r="AJ118" i="2"/>
  <c r="AJ117" i="2"/>
  <c r="AJ115" i="2"/>
  <c r="AJ114" i="2"/>
  <c r="AJ112" i="2"/>
  <c r="AJ111" i="2"/>
  <c r="AJ109" i="2"/>
  <c r="AJ108" i="2"/>
  <c r="AJ106" i="2"/>
  <c r="AJ105" i="2"/>
  <c r="AJ103" i="2"/>
  <c r="AJ102" i="2"/>
  <c r="AJ100" i="2"/>
  <c r="AJ99" i="2"/>
  <c r="AJ97" i="2"/>
  <c r="AJ96" i="2"/>
  <c r="AJ94" i="2"/>
  <c r="AJ93" i="2"/>
  <c r="AJ91" i="2"/>
  <c r="AJ90" i="2"/>
  <c r="AJ88" i="2"/>
  <c r="AJ87" i="2"/>
  <c r="AJ86" i="2"/>
  <c r="AJ60" i="2"/>
  <c r="AJ59" i="2"/>
  <c r="AJ57" i="2"/>
  <c r="AJ56" i="2"/>
  <c r="AJ51" i="2"/>
  <c r="AJ50" i="2"/>
  <c r="AJ49" i="2"/>
  <c r="AJ47" i="2"/>
  <c r="AJ46" i="2"/>
  <c r="AJ44" i="2"/>
  <c r="AJ43" i="2"/>
  <c r="AJ41" i="2"/>
  <c r="AJ40" i="2"/>
  <c r="AJ38" i="2"/>
  <c r="AJ37" i="2"/>
  <c r="AJ35" i="2"/>
  <c r="AJ34" i="2"/>
  <c r="AJ32" i="2"/>
  <c r="AJ31" i="2"/>
  <c r="AJ29" i="2"/>
  <c r="AJ28" i="2"/>
  <c r="AJ26" i="2"/>
  <c r="AJ25" i="2"/>
  <c r="AJ23" i="2"/>
  <c r="AJ22" i="2"/>
  <c r="AJ20" i="2"/>
  <c r="AJ19" i="2"/>
  <c r="AJ18" i="2"/>
</calcChain>
</file>

<file path=xl/sharedStrings.xml><?xml version="1.0" encoding="utf-8"?>
<sst xmlns="http://schemas.openxmlformats.org/spreadsheetml/2006/main" count="567" uniqueCount="68">
  <si>
    <t>REPORTE DE LOGISTICA</t>
  </si>
  <si>
    <t>ASISTENCIA DE CHOFERES Y OFICIALES</t>
  </si>
  <si>
    <t>CAMION</t>
  </si>
  <si>
    <t>CARGO</t>
  </si>
  <si>
    <t>NOMBRE</t>
  </si>
  <si>
    <t xml:space="preserve">LUNES </t>
  </si>
  <si>
    <t>MARTES</t>
  </si>
  <si>
    <t>MIERCOLES</t>
  </si>
  <si>
    <t>JUEVES</t>
  </si>
  <si>
    <t>VIERNES</t>
  </si>
  <si>
    <t>SABADO</t>
  </si>
  <si>
    <t>DOMINGO</t>
  </si>
  <si>
    <t>ENTRADA</t>
  </si>
  <si>
    <t>SALIDA</t>
  </si>
  <si>
    <t>TAURA     1</t>
  </si>
  <si>
    <t>CHOFER</t>
  </si>
  <si>
    <t>OFICIAL</t>
  </si>
  <si>
    <t>TAURA    7</t>
  </si>
  <si>
    <t>TAURA     9</t>
  </si>
  <si>
    <t>TAURA    13</t>
  </si>
  <si>
    <t>TAURA    15</t>
  </si>
  <si>
    <t>TAURA   16</t>
  </si>
  <si>
    <t>PLATAFORMA 18</t>
  </si>
  <si>
    <t>PLATAFORMA 19</t>
  </si>
  <si>
    <t>PLATAFORMA 20</t>
  </si>
  <si>
    <t>TAURA  22</t>
  </si>
  <si>
    <t>TAURA  24</t>
  </si>
  <si>
    <t xml:space="preserve">NOTA: LOS HORARIOS DE ENTRADA Y SALIDA SON LOS MISMOS TANTO PARA CHOFERES Y OFICIALES </t>
  </si>
  <si>
    <t>EDISON SUAREZ VERA</t>
  </si>
  <si>
    <t>JEFE DE LOGISTICA</t>
  </si>
  <si>
    <t>ALIMENTACION DE CHOFERES Y OFICIALES</t>
  </si>
  <si>
    <t xml:space="preserve">MARTES </t>
  </si>
  <si>
    <t xml:space="preserve">MIERCOLES </t>
  </si>
  <si>
    <t xml:space="preserve">JUEVES </t>
  </si>
  <si>
    <t xml:space="preserve">SABADO </t>
  </si>
  <si>
    <t xml:space="preserve">DOMINGO </t>
  </si>
  <si>
    <t>TOTAL</t>
  </si>
  <si>
    <t>OBSERVACION</t>
  </si>
  <si>
    <t>D</t>
  </si>
  <si>
    <t>A</t>
  </si>
  <si>
    <t>M</t>
  </si>
  <si>
    <t>C</t>
  </si>
  <si>
    <t>ALIMENT</t>
  </si>
  <si>
    <t>TAURA    5</t>
  </si>
  <si>
    <t>TAURA   18</t>
  </si>
  <si>
    <t>FORTIDEX - LOGISTICA</t>
  </si>
  <si>
    <t xml:space="preserve">                                     VALOR POR ALIMENTACION A PAGAR AL PERSONAL DE CHOFERES Y OFICIALES</t>
  </si>
  <si>
    <t>PLANTA TAURA</t>
  </si>
  <si>
    <t>APELLIDOS Y NOMBRES</t>
  </si>
  <si>
    <t>VEHICULOS</t>
  </si>
  <si>
    <t>VALOR A RECIBIR</t>
  </si>
  <si>
    <t>RECIBI CONFORME</t>
  </si>
  <si>
    <t>TAURA  25</t>
  </si>
  <si>
    <t>TAURA  26</t>
  </si>
  <si>
    <t>PLANTA</t>
  </si>
  <si>
    <t xml:space="preserve"> </t>
  </si>
  <si>
    <t>TALLER TAURA</t>
  </si>
  <si>
    <t>TAURA    1</t>
  </si>
  <si>
    <t>DEL LUNES 15/ABRIL AL DOMINGO 18/ABRIL/2021</t>
  </si>
  <si>
    <t>DEL LUNES 26 AL MARTES 27/ABRIL/2021</t>
  </si>
  <si>
    <t>DEL LUNES 19 AL DOMINGO 25/ABRIL/2021</t>
  </si>
  <si>
    <t>DEL 15 AL 27/ABRIL DEL 2021</t>
  </si>
  <si>
    <t>DESDE JUEVES 29/ABRIL AL DOMINGO 02/MAYO/2021</t>
  </si>
  <si>
    <t>TAURA     5</t>
  </si>
  <si>
    <t>TAURA     4</t>
  </si>
  <si>
    <t>TAURA  28</t>
  </si>
  <si>
    <t>DESDE LUNES 3 AL DOMINGO 09/MAYO/2021</t>
  </si>
  <si>
    <t>TAURA  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</si>
</sst>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 [$$-300A]\ * #,##0.00_ ;_ [$$-300A]\ * \-#,##0.00_ ;_ [$$-300A]\ * &quot;-&quot;??_ ;_ @_ 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sz val="10"/>
      <name val="Comic Sans MS"/>
      <family val="4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thick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18">
    <xf numFmtId="0" fontId="0" fillId="0" borderId="0" xfId="0"/>
    <xf numFmtId="0" fontId="3" fillId="0" borderId="0" xfId="0" applyFont="1"/>
    <xf numFmtId="20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3" fillId="0" borderId="11" xfId="0" applyFont="1" applyBorder="1"/>
    <xf numFmtId="20" fontId="3" fillId="0" borderId="4" xfId="0" applyNumberFormat="1" applyFont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12" xfId="0" applyFont="1" applyBorder="1"/>
    <xf numFmtId="0" fontId="4" fillId="2" borderId="13" xfId="0" applyFont="1" applyFill="1" applyBorder="1"/>
    <xf numFmtId="0" fontId="3" fillId="0" borderId="7" xfId="0" applyFont="1" applyBorder="1"/>
    <xf numFmtId="0" fontId="3" fillId="0" borderId="5" xfId="0" applyFont="1" applyBorder="1"/>
    <xf numFmtId="20" fontId="3" fillId="0" borderId="5" xfId="0" applyNumberFormat="1" applyFont="1" applyBorder="1"/>
    <xf numFmtId="20" fontId="3" fillId="0" borderId="7" xfId="0" applyNumberFormat="1" applyFont="1" applyBorder="1"/>
    <xf numFmtId="0" fontId="5" fillId="0" borderId="10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3" xfId="0" applyFont="1" applyBorder="1"/>
    <xf numFmtId="20" fontId="3" fillId="0" borderId="3" xfId="0" applyNumberFormat="1" applyFont="1" applyBorder="1" applyAlignment="1">
      <alignment horizontal="center"/>
    </xf>
    <xf numFmtId="0" fontId="3" fillId="0" borderId="18" xfId="0" applyFont="1" applyBorder="1"/>
    <xf numFmtId="0" fontId="5" fillId="2" borderId="12" xfId="0" applyFont="1" applyFill="1" applyBorder="1"/>
    <xf numFmtId="0" fontId="3" fillId="0" borderId="4" xfId="0" applyFont="1" applyBorder="1"/>
    <xf numFmtId="20" fontId="3" fillId="0" borderId="6" xfId="0" applyNumberFormat="1" applyFont="1" applyBorder="1"/>
    <xf numFmtId="0" fontId="5" fillId="0" borderId="12" xfId="0" applyFont="1" applyBorder="1"/>
    <xf numFmtId="0" fontId="5" fillId="0" borderId="15" xfId="0" applyFont="1" applyBorder="1"/>
    <xf numFmtId="0" fontId="3" fillId="0" borderId="21" xfId="0" applyFont="1" applyBorder="1" applyAlignment="1">
      <alignment horizontal="left" vertical="top" wrapText="1" indent="1"/>
    </xf>
    <xf numFmtId="0" fontId="4" fillId="0" borderId="0" xfId="0" applyFont="1" applyAlignment="1">
      <alignment vertical="center" wrapText="1"/>
    </xf>
    <xf numFmtId="20" fontId="4" fillId="0" borderId="0" xfId="0" applyNumberFormat="1" applyFont="1" applyAlignment="1">
      <alignment horizontal="center"/>
    </xf>
    <xf numFmtId="0" fontId="4" fillId="0" borderId="0" xfId="0" applyFont="1" applyAlignment="1">
      <alignment vertical="center" textRotation="44" wrapText="1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/>
    <xf numFmtId="0" fontId="3" fillId="2" borderId="0" xfId="0" applyFont="1" applyFill="1"/>
    <xf numFmtId="0" fontId="1" fillId="2" borderId="0" xfId="0" applyFont="1" applyFill="1"/>
    <xf numFmtId="0" fontId="3" fillId="2" borderId="2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2" fontId="1" fillId="2" borderId="18" xfId="0" applyNumberFormat="1" applyFont="1" applyFill="1" applyBorder="1" applyAlignment="1">
      <alignment horizontal="center"/>
    </xf>
    <xf numFmtId="0" fontId="5" fillId="0" borderId="14" xfId="0" applyFont="1" applyBorder="1"/>
    <xf numFmtId="0" fontId="1" fillId="2" borderId="28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1" xfId="0" applyFont="1" applyFill="1" applyBorder="1" applyAlignment="1">
      <alignment horizontal="center"/>
    </xf>
    <xf numFmtId="14" fontId="5" fillId="2" borderId="12" xfId="0" applyNumberFormat="1" applyFont="1" applyFill="1" applyBorder="1" applyAlignment="1">
      <alignment horizontal="left"/>
    </xf>
    <xf numFmtId="0" fontId="1" fillId="2" borderId="32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14" fontId="5" fillId="2" borderId="7" xfId="0" applyNumberFormat="1" applyFont="1" applyFill="1" applyBorder="1" applyAlignment="1">
      <alignment horizontal="left"/>
    </xf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14" fontId="5" fillId="0" borderId="12" xfId="0" applyNumberFormat="1" applyFont="1" applyBorder="1" applyAlignment="1">
      <alignment horizontal="left"/>
    </xf>
    <xf numFmtId="14" fontId="5" fillId="0" borderId="15" xfId="0" applyNumberFormat="1" applyFont="1" applyBorder="1" applyAlignment="1">
      <alignment horizontal="left"/>
    </xf>
    <xf numFmtId="2" fontId="1" fillId="2" borderId="7" xfId="0" applyNumberFormat="1" applyFont="1" applyFill="1" applyBorder="1" applyAlignment="1">
      <alignment horizontal="center"/>
    </xf>
    <xf numFmtId="0" fontId="5" fillId="0" borderId="18" xfId="0" applyFont="1" applyBorder="1"/>
    <xf numFmtId="0" fontId="5" fillId="0" borderId="7" xfId="0" applyFont="1" applyBorder="1"/>
    <xf numFmtId="0" fontId="3" fillId="2" borderId="18" xfId="0" applyFont="1" applyFill="1" applyBorder="1"/>
    <xf numFmtId="0" fontId="3" fillId="2" borderId="0" xfId="0" applyFont="1" applyFill="1" applyAlignment="1">
      <alignment vertical="center" textRotation="45" wrapText="1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right"/>
    </xf>
    <xf numFmtId="0" fontId="6" fillId="2" borderId="0" xfId="0" applyFont="1" applyFill="1"/>
    <xf numFmtId="0" fontId="3" fillId="2" borderId="0" xfId="0" applyFont="1" applyFill="1" applyAlignment="1">
      <alignment horizontal="left"/>
    </xf>
    <xf numFmtId="0" fontId="8" fillId="0" borderId="0" xfId="1" applyFont="1"/>
    <xf numFmtId="0" fontId="1" fillId="0" borderId="0" xfId="1"/>
    <xf numFmtId="0" fontId="3" fillId="0" borderId="29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/>
    </xf>
    <xf numFmtId="0" fontId="3" fillId="0" borderId="29" xfId="1" applyFont="1" applyBorder="1"/>
    <xf numFmtId="164" fontId="9" fillId="0" borderId="29" xfId="2" applyFont="1" applyBorder="1" applyAlignment="1">
      <alignment horizontal="center"/>
    </xf>
    <xf numFmtId="164" fontId="9" fillId="0" borderId="39" xfId="2" applyFont="1" applyBorder="1" applyAlignment="1">
      <alignment horizontal="center"/>
    </xf>
    <xf numFmtId="0" fontId="3" fillId="0" borderId="29" xfId="1" applyFont="1" applyBorder="1" applyAlignment="1">
      <alignment horizontal="center" vertical="center" wrapText="1"/>
    </xf>
    <xf numFmtId="0" fontId="3" fillId="0" borderId="40" xfId="0" applyFont="1" applyBorder="1"/>
    <xf numFmtId="0" fontId="3" fillId="0" borderId="40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/>
    </xf>
    <xf numFmtId="2" fontId="9" fillId="0" borderId="39" xfId="1" applyNumberFormat="1" applyFont="1" applyBorder="1" applyAlignment="1">
      <alignment horizontal="center"/>
    </xf>
    <xf numFmtId="0" fontId="1" fillId="0" borderId="29" xfId="1" applyBorder="1"/>
    <xf numFmtId="0" fontId="3" fillId="0" borderId="41" xfId="1" applyFont="1" applyBorder="1"/>
    <xf numFmtId="0" fontId="3" fillId="0" borderId="21" xfId="1" applyFont="1" applyBorder="1"/>
    <xf numFmtId="165" fontId="9" fillId="0" borderId="8" xfId="1" applyNumberFormat="1" applyFont="1" applyBorder="1" applyAlignment="1">
      <alignment horizontal="center"/>
    </xf>
    <xf numFmtId="165" fontId="9" fillId="0" borderId="0" xfId="1" applyNumberFormat="1" applyFont="1" applyAlignment="1">
      <alignment horizontal="center"/>
    </xf>
    <xf numFmtId="0" fontId="3" fillId="0" borderId="0" xfId="1" applyFont="1"/>
    <xf numFmtId="0" fontId="1" fillId="0" borderId="39" xfId="1" applyBorder="1"/>
    <xf numFmtId="0" fontId="3" fillId="2" borderId="42" xfId="0" applyFont="1" applyFill="1" applyBorder="1"/>
    <xf numFmtId="14" fontId="5" fillId="0" borderId="10" xfId="0" applyNumberFormat="1" applyFont="1" applyBorder="1" applyAlignment="1">
      <alignment horizontal="left"/>
    </xf>
    <xf numFmtId="0" fontId="3" fillId="0" borderId="0" xfId="0" applyFont="1" applyAlignment="1">
      <alignment horizontal="left" vertical="top" wrapText="1" indent="1"/>
    </xf>
    <xf numFmtId="0" fontId="1" fillId="2" borderId="43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1" fillId="2" borderId="12" xfId="0" applyNumberFormat="1" applyFont="1" applyFill="1" applyBorder="1" applyAlignment="1">
      <alignment horizontal="center"/>
    </xf>
    <xf numFmtId="20" fontId="3" fillId="0" borderId="5" xfId="0" applyNumberFormat="1" applyFont="1" applyBorder="1" applyAlignment="1">
      <alignment horizontal="center"/>
    </xf>
    <xf numFmtId="0" fontId="5" fillId="2" borderId="18" xfId="0" applyFont="1" applyFill="1" applyBorder="1"/>
    <xf numFmtId="20" fontId="3" fillId="0" borderId="7" xfId="0" applyNumberFormat="1" applyFont="1" applyBorder="1" applyAlignment="1">
      <alignment horizontal="center"/>
    </xf>
    <xf numFmtId="0" fontId="3" fillId="2" borderId="12" xfId="0" applyFont="1" applyFill="1" applyBorder="1"/>
    <xf numFmtId="20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4" xfId="0" applyFont="1" applyBorder="1"/>
    <xf numFmtId="0" fontId="3" fillId="0" borderId="12" xfId="0" applyFont="1" applyFill="1" applyBorder="1"/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20" fontId="10" fillId="0" borderId="4" xfId="0" applyNumberFormat="1" applyFont="1" applyBorder="1" applyAlignment="1">
      <alignment horizontal="center"/>
    </xf>
    <xf numFmtId="20" fontId="3" fillId="0" borderId="6" xfId="0" applyNumberFormat="1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20" fontId="10" fillId="0" borderId="7" xfId="0" applyNumberFormat="1" applyFont="1" applyBorder="1"/>
    <xf numFmtId="20" fontId="5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Alignment="1"/>
    <xf numFmtId="0" fontId="3" fillId="0" borderId="0" xfId="0" applyFont="1" applyBorder="1" applyAlignment="1">
      <alignment horizontal="left" vertical="top" wrapText="1" indent="1"/>
    </xf>
    <xf numFmtId="20" fontId="11" fillId="0" borderId="4" xfId="0" applyNumberFormat="1" applyFont="1" applyFill="1" applyBorder="1" applyAlignment="1">
      <alignment horizontal="center"/>
    </xf>
    <xf numFmtId="20" fontId="10" fillId="0" borderId="5" xfId="0" applyNumberFormat="1" applyFont="1" applyFill="1" applyBorder="1"/>
    <xf numFmtId="0" fontId="12" fillId="2" borderId="46" xfId="0" applyNumberFormat="1" applyFont="1" applyFill="1" applyBorder="1" applyAlignment="1">
      <alignment horizontal="center"/>
    </xf>
    <xf numFmtId="0" fontId="12" fillId="2" borderId="47" xfId="0" applyNumberFormat="1" applyFont="1" applyFill="1" applyBorder="1" applyAlignment="1">
      <alignment horizontal="center"/>
    </xf>
    <xf numFmtId="0" fontId="12" fillId="2" borderId="48" xfId="0" applyNumberFormat="1" applyFont="1" applyFill="1" applyBorder="1" applyAlignment="1">
      <alignment horizontal="center"/>
    </xf>
    <xf numFmtId="2" fontId="12" fillId="2" borderId="49" xfId="0" applyNumberFormat="1" applyFont="1" applyFill="1" applyBorder="1" applyAlignment="1">
      <alignment horizontal="center"/>
    </xf>
    <xf numFmtId="2" fontId="12" fillId="2" borderId="50" xfId="0" applyNumberFormat="1" applyFont="1" applyFill="1" applyBorder="1" applyAlignment="1">
      <alignment horizontal="center"/>
    </xf>
    <xf numFmtId="0" fontId="12" fillId="2" borderId="51" xfId="0" applyNumberFormat="1" applyFont="1" applyFill="1" applyBorder="1" applyAlignment="1">
      <alignment horizontal="center"/>
    </xf>
    <xf numFmtId="0" fontId="12" fillId="2" borderId="52" xfId="0" applyNumberFormat="1" applyFont="1" applyFill="1" applyBorder="1" applyAlignment="1">
      <alignment horizontal="center"/>
    </xf>
    <xf numFmtId="0" fontId="12" fillId="2" borderId="53" xfId="0" applyNumberFormat="1" applyFont="1" applyFill="1" applyBorder="1" applyAlignment="1">
      <alignment horizontal="center"/>
    </xf>
    <xf numFmtId="0" fontId="12" fillId="2" borderId="54" xfId="0" applyNumberFormat="1" applyFont="1" applyFill="1" applyBorder="1" applyAlignment="1">
      <alignment horizontal="center"/>
    </xf>
    <xf numFmtId="0" fontId="12" fillId="2" borderId="55" xfId="0" applyNumberFormat="1" applyFont="1" applyFill="1" applyBorder="1" applyAlignment="1">
      <alignment horizontal="center"/>
    </xf>
    <xf numFmtId="0" fontId="13" fillId="2" borderId="58" xfId="0" applyNumberFormat="1" applyFont="1" applyFill="1" applyBorder="1" applyAlignment="1">
      <alignment horizontal="center"/>
    </xf>
    <xf numFmtId="14" fontId="14" fillId="2" borderId="12" xfId="0" applyNumberFormat="1" applyFont="1" applyFill="1" applyBorder="1" applyAlignment="1">
      <alignment horizontal="left"/>
    </xf>
    <xf numFmtId="0" fontId="12" fillId="2" borderId="61" xfId="0" applyNumberFormat="1" applyFont="1" applyFill="1" applyBorder="1" applyAlignment="1">
      <alignment horizontal="center"/>
    </xf>
    <xf numFmtId="0" fontId="12" fillId="2" borderId="62" xfId="0" applyNumberFormat="1" applyFont="1" applyFill="1" applyBorder="1" applyAlignment="1">
      <alignment horizontal="center"/>
    </xf>
    <xf numFmtId="0" fontId="15" fillId="0" borderId="63" xfId="0" applyNumberFormat="1" applyFont="1" applyFill="1" applyBorder="1" applyAlignment="1"/>
    <xf numFmtId="14" fontId="15" fillId="2" borderId="64" xfId="0" applyNumberFormat="1" applyFont="1" applyFill="1" applyBorder="1" applyAlignment="1">
      <alignment horizontal="left"/>
    </xf>
    <xf numFmtId="0" fontId="16" fillId="2" borderId="65" xfId="0" applyNumberFormat="1" applyFont="1" applyFill="1" applyBorder="1" applyAlignment="1">
      <alignment horizontal="left"/>
    </xf>
    <xf numFmtId="0" fontId="15" fillId="0" borderId="66" xfId="0" applyNumberFormat="1" applyFont="1" applyFill="1" applyBorder="1" applyAlignment="1"/>
    <xf numFmtId="0" fontId="15" fillId="0" borderId="65" xfId="0" applyNumberFormat="1" applyFont="1" applyFill="1" applyBorder="1" applyAlignment="1"/>
    <xf numFmtId="0" fontId="12" fillId="2" borderId="67" xfId="0" applyNumberFormat="1" applyFont="1" applyFill="1" applyBorder="1" applyAlignment="1">
      <alignment horizontal="center"/>
    </xf>
    <xf numFmtId="0" fontId="0" fillId="2" borderId="30" xfId="0" applyNumberFormat="1" applyFont="1" applyFill="1" applyBorder="1" applyAlignment="1" applyProtection="1">
      <alignment horizontal="center"/>
    </xf>
    <xf numFmtId="0" fontId="0" fillId="2" borderId="29" xfId="0" applyNumberFormat="1" applyFont="1" applyFill="1" applyBorder="1" applyAlignment="1" applyProtection="1">
      <alignment horizontal="center"/>
    </xf>
    <xf numFmtId="0" fontId="12" fillId="2" borderId="69" xfId="0" applyNumberFormat="1" applyFont="1" applyFill="1" applyBorder="1" applyAlignment="1">
      <alignment horizontal="center"/>
    </xf>
    <xf numFmtId="0" fontId="12" fillId="2" borderId="63" xfId="0" applyNumberFormat="1" applyFont="1" applyFill="1" applyBorder="1" applyAlignment="1">
      <alignment horizontal="center"/>
    </xf>
    <xf numFmtId="0" fontId="12" fillId="2" borderId="70" xfId="0" applyNumberFormat="1" applyFont="1" applyFill="1" applyBorder="1" applyAlignment="1">
      <alignment horizontal="center"/>
    </xf>
    <xf numFmtId="0" fontId="12" fillId="2" borderId="71" xfId="0" applyNumberFormat="1" applyFont="1" applyFill="1" applyBorder="1" applyAlignment="1">
      <alignment horizontal="center"/>
    </xf>
    <xf numFmtId="0" fontId="12" fillId="2" borderId="72" xfId="0" applyNumberFormat="1" applyFont="1" applyFill="1" applyBorder="1" applyAlignment="1">
      <alignment horizontal="center"/>
    </xf>
    <xf numFmtId="0" fontId="12" fillId="2" borderId="71" xfId="0" applyNumberFormat="1" applyFont="1" applyFill="1" applyBorder="1" applyAlignment="1" applyProtection="1">
      <alignment horizontal="center"/>
    </xf>
    <xf numFmtId="14" fontId="15" fillId="0" borderId="64" xfId="0" applyNumberFormat="1" applyFont="1" applyFill="1" applyBorder="1" applyAlignment="1">
      <alignment horizontal="left"/>
    </xf>
    <xf numFmtId="14" fontId="15" fillId="0" borderId="50" xfId="0" applyNumberFormat="1" applyFont="1" applyFill="1" applyBorder="1" applyAlignment="1">
      <alignment horizontal="left"/>
    </xf>
    <xf numFmtId="0" fontId="12" fillId="2" borderId="75" xfId="0" applyNumberFormat="1" applyFont="1" applyFill="1" applyBorder="1" applyAlignment="1">
      <alignment horizontal="center"/>
    </xf>
    <xf numFmtId="0" fontId="15" fillId="0" borderId="50" xfId="0" applyNumberFormat="1" applyFont="1" applyFill="1" applyBorder="1" applyAlignment="1"/>
    <xf numFmtId="0" fontId="12" fillId="2" borderId="75" xfId="0" applyNumberFormat="1" applyFont="1" applyFill="1" applyBorder="1" applyAlignment="1" applyProtection="1">
      <alignment horizontal="center"/>
    </xf>
    <xf numFmtId="0" fontId="15" fillId="0" borderId="49" xfId="0" applyNumberFormat="1" applyFont="1" applyFill="1" applyBorder="1" applyAlignment="1"/>
    <xf numFmtId="2" fontId="12" fillId="2" borderId="76" xfId="0" applyNumberFormat="1" applyFont="1" applyFill="1" applyBorder="1" applyAlignment="1">
      <alignment horizontal="center"/>
    </xf>
    <xf numFmtId="17" fontId="15" fillId="0" borderId="49" xfId="0" applyNumberFormat="1" applyFont="1" applyFill="1" applyBorder="1" applyAlignment="1">
      <alignment horizontal="left"/>
    </xf>
    <xf numFmtId="0" fontId="12" fillId="2" borderId="77" xfId="0" applyNumberFormat="1" applyFont="1" applyFill="1" applyBorder="1" applyAlignment="1">
      <alignment horizontal="center"/>
    </xf>
    <xf numFmtId="2" fontId="12" fillId="2" borderId="78" xfId="0" applyNumberFormat="1" applyFont="1" applyFill="1" applyBorder="1" applyAlignment="1">
      <alignment horizontal="center"/>
    </xf>
    <xf numFmtId="2" fontId="12" fillId="2" borderId="66" xfId="0" applyNumberFormat="1" applyFont="1" applyFill="1" applyBorder="1" applyAlignment="1">
      <alignment horizontal="center"/>
    </xf>
    <xf numFmtId="2" fontId="0" fillId="2" borderId="7" xfId="0" applyNumberFormat="1" applyFont="1" applyFill="1" applyBorder="1" applyAlignment="1" applyProtection="1">
      <alignment horizontal="center"/>
    </xf>
    <xf numFmtId="0" fontId="12" fillId="2" borderId="51" xfId="0" applyNumberFormat="1" applyFont="1" applyFill="1" applyBorder="1" applyAlignment="1" applyProtection="1">
      <alignment horizontal="center"/>
    </xf>
    <xf numFmtId="0" fontId="12" fillId="2" borderId="52" xfId="0" applyNumberFormat="1" applyFont="1" applyFill="1" applyBorder="1" applyAlignment="1" applyProtection="1">
      <alignment horizontal="center"/>
    </xf>
    <xf numFmtId="0" fontId="12" fillId="2" borderId="53" xfId="0" applyNumberFormat="1" applyFont="1" applyFill="1" applyBorder="1" applyAlignment="1" applyProtection="1">
      <alignment horizontal="center"/>
    </xf>
    <xf numFmtId="0" fontId="13" fillId="0" borderId="79" xfId="0" applyNumberFormat="1" applyFont="1" applyFill="1" applyBorder="1" applyAlignment="1"/>
    <xf numFmtId="0" fontId="13" fillId="0" borderId="80" xfId="0" applyNumberFormat="1" applyFont="1" applyFill="1" applyBorder="1" applyAlignment="1"/>
    <xf numFmtId="0" fontId="13" fillId="0" borderId="81" xfId="0" applyNumberFormat="1" applyFont="1" applyFill="1" applyBorder="1" applyAlignment="1"/>
    <xf numFmtId="0" fontId="12" fillId="2" borderId="82" xfId="0" applyNumberFormat="1" applyFont="1" applyFill="1" applyBorder="1" applyAlignment="1">
      <alignment horizontal="center"/>
    </xf>
    <xf numFmtId="0" fontId="12" fillId="2" borderId="83" xfId="0" applyNumberFormat="1" applyFont="1" applyFill="1" applyBorder="1" applyAlignment="1">
      <alignment horizontal="center"/>
    </xf>
    <xf numFmtId="0" fontId="12" fillId="2" borderId="84" xfId="0" applyNumberFormat="1" applyFont="1" applyFill="1" applyBorder="1" applyAlignment="1">
      <alignment horizontal="center"/>
    </xf>
    <xf numFmtId="0" fontId="13" fillId="0" borderId="76" xfId="0" applyNumberFormat="1" applyFont="1" applyFill="1" applyBorder="1" applyAlignment="1"/>
    <xf numFmtId="0" fontId="12" fillId="2" borderId="49" xfId="0" applyNumberFormat="1" applyFont="1" applyFill="1" applyBorder="1" applyAlignment="1">
      <alignment horizontal="center"/>
    </xf>
    <xf numFmtId="0" fontId="12" fillId="2" borderId="85" xfId="0" applyNumberFormat="1" applyFont="1" applyFill="1" applyBorder="1" applyAlignment="1">
      <alignment horizontal="center"/>
    </xf>
    <xf numFmtId="2" fontId="0" fillId="2" borderId="12" xfId="0" applyNumberFormat="1" applyFont="1" applyFill="1" applyBorder="1" applyAlignment="1" applyProtection="1">
      <alignment horizontal="center"/>
    </xf>
    <xf numFmtId="0" fontId="13" fillId="2" borderId="88" xfId="0" applyNumberFormat="1" applyFont="1" applyFill="1" applyBorder="1" applyAlignment="1">
      <alignment horizontal="center"/>
    </xf>
    <xf numFmtId="2" fontId="19" fillId="2" borderId="91" xfId="0" applyNumberFormat="1" applyFont="1" applyFill="1" applyBorder="1" applyAlignment="1" applyProtection="1">
      <alignment horizontal="center"/>
    </xf>
    <xf numFmtId="14" fontId="17" fillId="0" borderId="92" xfId="0" applyNumberFormat="1" applyFont="1" applyFill="1" applyBorder="1" applyAlignment="1">
      <alignment horizontal="left"/>
    </xf>
    <xf numFmtId="0" fontId="17" fillId="0" borderId="93" xfId="0" applyNumberFormat="1" applyFont="1" applyFill="1" applyBorder="1" applyAlignment="1"/>
    <xf numFmtId="0" fontId="19" fillId="2" borderId="94" xfId="0" applyNumberFormat="1" applyFont="1" applyFill="1" applyBorder="1" applyAlignment="1">
      <alignment horizontal="center"/>
    </xf>
    <xf numFmtId="0" fontId="19" fillId="2" borderId="95" xfId="0" applyNumberFormat="1" applyFont="1" applyFill="1" applyBorder="1" applyAlignment="1">
      <alignment horizontal="center"/>
    </xf>
    <xf numFmtId="0" fontId="19" fillId="2" borderId="96" xfId="0" applyNumberFormat="1" applyFont="1" applyFill="1" applyBorder="1" applyAlignment="1">
      <alignment horizontal="center"/>
    </xf>
    <xf numFmtId="2" fontId="19" fillId="2" borderId="97" xfId="0" applyNumberFormat="1" applyFont="1" applyFill="1" applyBorder="1" applyAlignment="1">
      <alignment horizontal="center"/>
    </xf>
    <xf numFmtId="0" fontId="18" fillId="0" borderId="100" xfId="0" applyNumberFormat="1" applyFont="1" applyFill="1" applyBorder="1" applyAlignment="1"/>
    <xf numFmtId="0" fontId="18" fillId="0" borderId="91" xfId="0" applyNumberFormat="1" applyFont="1" applyFill="1" applyBorder="1" applyAlignment="1"/>
    <xf numFmtId="0" fontId="18" fillId="0" borderId="101" xfId="0" applyNumberFormat="1" applyFont="1" applyFill="1" applyBorder="1" applyAlignment="1"/>
    <xf numFmtId="0" fontId="19" fillId="2" borderId="102" xfId="0" applyNumberFormat="1" applyFont="1" applyFill="1" applyBorder="1" applyAlignment="1">
      <alignment horizontal="center"/>
    </xf>
    <xf numFmtId="0" fontId="19" fillId="2" borderId="103" xfId="0" applyNumberFormat="1" applyFont="1" applyFill="1" applyBorder="1" applyAlignment="1">
      <alignment horizontal="center"/>
    </xf>
    <xf numFmtId="0" fontId="19" fillId="2" borderId="104" xfId="0" applyNumberFormat="1" applyFont="1" applyFill="1" applyBorder="1" applyAlignment="1">
      <alignment horizontal="center"/>
    </xf>
    <xf numFmtId="0" fontId="18" fillId="0" borderId="105" xfId="0" applyNumberFormat="1" applyFont="1" applyFill="1" applyBorder="1" applyAlignment="1"/>
    <xf numFmtId="0" fontId="19" fillId="2" borderId="106" xfId="0" applyNumberFormat="1" applyFont="1" applyFill="1" applyBorder="1" applyAlignment="1">
      <alignment horizontal="center"/>
    </xf>
    <xf numFmtId="0" fontId="19" fillId="2" borderId="107" xfId="0" applyNumberFormat="1" applyFont="1" applyFill="1" applyBorder="1" applyAlignment="1">
      <alignment horizontal="center"/>
    </xf>
    <xf numFmtId="2" fontId="19" fillId="2" borderId="108" xfId="0" applyNumberFormat="1" applyFont="1" applyFill="1" applyBorder="1" applyAlignment="1">
      <alignment horizontal="center"/>
    </xf>
    <xf numFmtId="2" fontId="19" fillId="2" borderId="109" xfId="0" applyNumberFormat="1" applyFont="1" applyFill="1" applyBorder="1" applyAlignment="1">
      <alignment horizontal="center"/>
    </xf>
    <xf numFmtId="2" fontId="19" fillId="2" borderId="110" xfId="0" applyNumberFormat="1" applyFont="1" applyFill="1" applyBorder="1" applyAlignment="1">
      <alignment horizontal="center"/>
    </xf>
    <xf numFmtId="0" fontId="19" fillId="2" borderId="111" xfId="0" applyNumberFormat="1" applyFont="1" applyFill="1" applyBorder="1" applyAlignment="1">
      <alignment horizontal="center"/>
    </xf>
    <xf numFmtId="0" fontId="19" fillId="2" borderId="112" xfId="0" applyNumberFormat="1" applyFont="1" applyFill="1" applyBorder="1" applyAlignment="1">
      <alignment horizontal="center"/>
    </xf>
    <xf numFmtId="0" fontId="19" fillId="2" borderId="113" xfId="0" applyNumberFormat="1" applyFont="1" applyFill="1" applyBorder="1" applyAlignment="1">
      <alignment horizontal="center"/>
    </xf>
    <xf numFmtId="0" fontId="19" fillId="2" borderId="106" xfId="0" applyNumberFormat="1" applyFont="1" applyFill="1" applyBorder="1" applyAlignment="1">
      <alignment horizontal="center"/>
    </xf>
    <xf numFmtId="0" fontId="19" fillId="2" borderId="114" xfId="0" applyNumberFormat="1" applyFont="1" applyFill="1" applyBorder="1" applyAlignment="1">
      <alignment horizontal="center"/>
    </xf>
    <xf numFmtId="0" fontId="19" fillId="2" borderId="115" xfId="0" applyNumberFormat="1" applyFont="1" applyFill="1" applyBorder="1" applyAlignment="1">
      <alignment horizontal="center"/>
    </xf>
    <xf numFmtId="0" fontId="19" fillId="2" borderId="116" xfId="0" applyNumberFormat="1" applyFont="1" applyFill="1" applyBorder="1" applyAlignment="1">
      <alignment horizontal="center"/>
    </xf>
    <xf numFmtId="0" fontId="19" fillId="2" borderId="117" xfId="0" applyNumberFormat="1" applyFont="1" applyFill="1" applyBorder="1" applyAlignment="1">
      <alignment horizontal="center"/>
    </xf>
    <xf numFmtId="0" fontId="17" fillId="0" borderId="118" xfId="0" applyNumberFormat="1" applyFont="1" applyFill="1" applyBorder="1" applyAlignment="1"/>
    <xf numFmtId="0" fontId="18" fillId="0" borderId="93" xfId="0" applyNumberFormat="1" applyFont="1" applyFill="1" applyBorder="1" applyAlignment="1"/>
    <xf numFmtId="0" fontId="19" fillId="2" borderId="119" xfId="0" applyNumberFormat="1" applyFont="1" applyFill="1" applyBorder="1" applyAlignment="1">
      <alignment horizontal="center"/>
    </xf>
    <xf numFmtId="0" fontId="19" fillId="2" borderId="120" xfId="0" applyNumberFormat="1" applyFont="1" applyFill="1" applyBorder="1" applyAlignment="1">
      <alignment horizontal="center"/>
    </xf>
    <xf numFmtId="0" fontId="19" fillId="2" borderId="121" xfId="0" applyNumberFormat="1" applyFont="1" applyFill="1" applyBorder="1" applyAlignment="1">
      <alignment horizontal="center"/>
    </xf>
    <xf numFmtId="0" fontId="3" fillId="0" borderId="29" xfId="0" applyNumberFormat="1" applyFont="1" applyFill="1" applyBorder="1" applyAlignment="1" applyProtection="1">
      <alignment horizontal="center" vertical="justify" wrapText="1"/>
    </xf>
    <xf numFmtId="0" fontId="18" fillId="2" borderId="124" xfId="0" applyNumberFormat="1" applyFont="1" applyFill="1" applyBorder="1" applyAlignment="1">
      <alignment horizontal="center"/>
    </xf>
    <xf numFmtId="0" fontId="18" fillId="0" borderId="125" xfId="0" applyNumberFormat="1" applyFont="1" applyFill="1" applyBorder="1" applyAlignment="1"/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20" fontId="5" fillId="0" borderId="4" xfId="0" applyNumberFormat="1" applyFont="1" applyFill="1" applyBorder="1" applyAlignment="1">
      <alignment horizontal="center"/>
    </xf>
    <xf numFmtId="20" fontId="5" fillId="0" borderId="105" xfId="0" applyNumberFormat="1" applyFont="1" applyFill="1" applyBorder="1" applyAlignment="1">
      <alignment horizontal="center"/>
    </xf>
    <xf numFmtId="20" fontId="5" fillId="0" borderId="89" xfId="0" applyNumberFormat="1" applyFont="1" applyFill="1" applyBorder="1" applyAlignment="1">
      <alignment horizontal="center"/>
    </xf>
    <xf numFmtId="20" fontId="11" fillId="0" borderId="118" xfId="0" applyNumberFormat="1" applyFont="1" applyFill="1" applyBorder="1" applyAlignment="1">
      <alignment horizontal="center"/>
    </xf>
    <xf numFmtId="20" fontId="3" fillId="0" borderId="2" xfId="0" applyNumberFormat="1" applyFont="1" applyBorder="1" applyAlignment="1">
      <alignment horizontal="center"/>
    </xf>
    <xf numFmtId="20" fontId="3" fillId="0" borderId="90" xfId="0" applyNumberFormat="1" applyFont="1" applyBorder="1" applyAlignment="1">
      <alignment horizontal="center"/>
    </xf>
    <xf numFmtId="20" fontId="3" fillId="0" borderId="124" xfId="0" applyNumberFormat="1" applyFont="1" applyBorder="1" applyAlignment="1">
      <alignment horizontal="center"/>
    </xf>
    <xf numFmtId="20" fontId="3" fillId="0" borderId="118" xfId="0" applyNumberFormat="1" applyFont="1" applyBorder="1" applyAlignment="1">
      <alignment horizontal="center"/>
    </xf>
    <xf numFmtId="20" fontId="3" fillId="0" borderId="105" xfId="0" applyNumberFormat="1" applyFont="1" applyBorder="1" applyAlignment="1">
      <alignment horizontal="center"/>
    </xf>
    <xf numFmtId="20" fontId="3" fillId="0" borderId="88" xfId="0" applyNumberFormat="1" applyFont="1" applyBorder="1" applyAlignment="1">
      <alignment horizontal="center"/>
    </xf>
    <xf numFmtId="20" fontId="5" fillId="0" borderId="88" xfId="0" applyNumberFormat="1" applyFont="1" applyFill="1" applyBorder="1" applyAlignment="1">
      <alignment horizontal="center"/>
    </xf>
    <xf numFmtId="0" fontId="0" fillId="2" borderId="43" xfId="0" applyNumberFormat="1" applyFont="1" applyFill="1" applyBorder="1" applyAlignment="1" applyProtection="1">
      <alignment horizontal="center"/>
    </xf>
    <xf numFmtId="0" fontId="0" fillId="2" borderId="26" xfId="0" applyNumberFormat="1" applyFont="1" applyFill="1" applyBorder="1" applyAlignment="1" applyProtection="1">
      <alignment horizontal="center"/>
    </xf>
    <xf numFmtId="0" fontId="0" fillId="2" borderId="27" xfId="0" applyNumberFormat="1" applyFont="1" applyFill="1" applyBorder="1" applyAlignment="1" applyProtection="1">
      <alignment horizontal="center"/>
    </xf>
    <xf numFmtId="0" fontId="0" fillId="2" borderId="106" xfId="0" applyNumberFormat="1" applyFont="1" applyFill="1" applyBorder="1" applyAlignment="1" applyProtection="1">
      <alignment horizontal="center"/>
    </xf>
    <xf numFmtId="0" fontId="0" fillId="2" borderId="98" xfId="0" applyNumberFormat="1" applyFont="1" applyFill="1" applyBorder="1" applyAlignment="1" applyProtection="1">
      <alignment horizontal="center"/>
    </xf>
    <xf numFmtId="0" fontId="0" fillId="2" borderId="99" xfId="0" applyNumberFormat="1" applyFont="1" applyFill="1" applyBorder="1" applyAlignment="1" applyProtection="1">
      <alignment horizontal="center"/>
    </xf>
    <xf numFmtId="0" fontId="19" fillId="2" borderId="36" xfId="0" applyNumberFormat="1" applyFont="1" applyFill="1" applyBorder="1" applyAlignment="1" applyProtection="1">
      <alignment horizontal="center"/>
    </xf>
    <xf numFmtId="0" fontId="0" fillId="2" borderId="37" xfId="0" applyNumberFormat="1" applyFont="1" applyFill="1" applyBorder="1" applyAlignment="1" applyProtection="1">
      <alignment horizontal="center"/>
    </xf>
    <xf numFmtId="0" fontId="0" fillId="2" borderId="38" xfId="0" applyNumberFormat="1" applyFont="1" applyFill="1" applyBorder="1" applyAlignment="1" applyProtection="1">
      <alignment horizontal="center"/>
    </xf>
    <xf numFmtId="0" fontId="1" fillId="2" borderId="94" xfId="0" applyFont="1" applyFill="1" applyBorder="1" applyAlignment="1">
      <alignment horizontal="center"/>
    </xf>
    <xf numFmtId="0" fontId="1" fillId="2" borderId="95" xfId="0" applyFont="1" applyFill="1" applyBorder="1" applyAlignment="1">
      <alignment horizontal="center"/>
    </xf>
    <xf numFmtId="0" fontId="12" fillId="2" borderId="107" xfId="0" applyNumberFormat="1" applyFont="1" applyFill="1" applyBorder="1" applyAlignment="1">
      <alignment horizontal="center"/>
    </xf>
    <xf numFmtId="2" fontId="0" fillId="2" borderId="10" xfId="0" applyNumberFormat="1" applyFont="1" applyFill="1" applyBorder="1" applyAlignment="1" applyProtection="1">
      <alignment horizontal="center"/>
    </xf>
    <xf numFmtId="2" fontId="0" fillId="2" borderId="93" xfId="0" applyNumberFormat="1" applyFont="1" applyFill="1" applyBorder="1" applyAlignment="1" applyProtection="1">
      <alignment horizontal="center"/>
    </xf>
    <xf numFmtId="0" fontId="0" fillId="2" borderId="36" xfId="0" applyNumberFormat="1" applyFont="1" applyFill="1" applyBorder="1" applyAlignment="1" applyProtection="1">
      <alignment horizontal="center"/>
    </xf>
    <xf numFmtId="2" fontId="0" fillId="2" borderId="88" xfId="0" applyNumberFormat="1" applyFont="1" applyFill="1" applyBorder="1" applyAlignment="1" applyProtection="1">
      <alignment horizontal="center"/>
    </xf>
    <xf numFmtId="0" fontId="1" fillId="2" borderId="121" xfId="0" applyFont="1" applyFill="1" applyBorder="1" applyAlignment="1">
      <alignment horizontal="center"/>
    </xf>
    <xf numFmtId="2" fontId="12" fillId="2" borderId="108" xfId="0" applyNumberFormat="1" applyFont="1" applyFill="1" applyBorder="1" applyAlignment="1" applyProtection="1">
      <alignment horizontal="center"/>
    </xf>
    <xf numFmtId="0" fontId="0" fillId="2" borderId="74" xfId="0" applyNumberFormat="1" applyFont="1" applyFill="1" applyBorder="1" applyAlignment="1" applyProtection="1">
      <alignment horizontal="center"/>
    </xf>
    <xf numFmtId="2" fontId="12" fillId="2" borderId="109" xfId="0" applyNumberFormat="1" applyFont="1" applyFill="1" applyBorder="1" applyAlignment="1" applyProtection="1">
      <alignment horizontal="center"/>
    </xf>
    <xf numFmtId="2" fontId="12" fillId="2" borderId="110" xfId="0" applyNumberFormat="1" applyFont="1" applyFill="1" applyBorder="1" applyAlignment="1" applyProtection="1">
      <alignment horizontal="center"/>
    </xf>
    <xf numFmtId="2" fontId="19" fillId="2" borderId="92" xfId="0" applyNumberFormat="1" applyFont="1" applyFill="1" applyBorder="1" applyAlignment="1">
      <alignment horizontal="center"/>
    </xf>
    <xf numFmtId="0" fontId="19" fillId="2" borderId="43" xfId="0" applyNumberFormat="1" applyFont="1" applyFill="1" applyBorder="1" applyAlignment="1" applyProtection="1">
      <alignment horizontal="center"/>
    </xf>
    <xf numFmtId="0" fontId="19" fillId="2" borderId="26" xfId="0" applyNumberFormat="1" applyFont="1" applyFill="1" applyBorder="1" applyAlignment="1" applyProtection="1">
      <alignment horizontal="center"/>
    </xf>
    <xf numFmtId="0" fontId="19" fillId="2" borderId="27" xfId="0" applyNumberFormat="1" applyFont="1" applyFill="1" applyBorder="1" applyAlignment="1" applyProtection="1">
      <alignment horizontal="center"/>
    </xf>
    <xf numFmtId="0" fontId="1" fillId="2" borderId="107" xfId="0" applyFont="1" applyFill="1" applyBorder="1" applyAlignment="1">
      <alignment horizontal="center"/>
    </xf>
    <xf numFmtId="0" fontId="19" fillId="2" borderId="102" xfId="0" applyNumberFormat="1" applyFont="1" applyFill="1" applyBorder="1" applyAlignment="1" applyProtection="1">
      <alignment horizontal="center"/>
    </xf>
    <xf numFmtId="0" fontId="12" fillId="2" borderId="26" xfId="0" applyNumberFormat="1" applyFont="1" applyFill="1" applyBorder="1" applyAlignment="1" applyProtection="1">
      <alignment horizontal="center"/>
    </xf>
    <xf numFmtId="0" fontId="12" fillId="2" borderId="27" xfId="0" applyNumberFormat="1" applyFont="1" applyFill="1" applyBorder="1" applyAlignment="1" applyProtection="1">
      <alignment horizontal="center"/>
    </xf>
    <xf numFmtId="0" fontId="19" fillId="2" borderId="106" xfId="0" applyNumberFormat="1" applyFont="1" applyFill="1" applyBorder="1" applyAlignment="1" applyProtection="1">
      <alignment horizontal="center"/>
    </xf>
    <xf numFmtId="0" fontId="12" fillId="2" borderId="32" xfId="0" applyNumberFormat="1" applyFont="1" applyFill="1" applyBorder="1" applyAlignment="1" applyProtection="1">
      <alignment horizontal="center"/>
    </xf>
    <xf numFmtId="0" fontId="12" fillId="2" borderId="33" xfId="0" applyNumberFormat="1" applyFont="1" applyFill="1" applyBorder="1" applyAlignment="1" applyProtection="1">
      <alignment horizontal="center"/>
    </xf>
    <xf numFmtId="0" fontId="12" fillId="2" borderId="34" xfId="0" applyNumberFormat="1" applyFont="1" applyFill="1" applyBorder="1" applyAlignment="1" applyProtection="1">
      <alignment horizontal="center"/>
    </xf>
    <xf numFmtId="0" fontId="19" fillId="2" borderId="103" xfId="0" applyNumberFormat="1" applyFont="1" applyFill="1" applyBorder="1" applyAlignment="1" applyProtection="1">
      <alignment horizontal="center"/>
    </xf>
    <xf numFmtId="0" fontId="12" fillId="2" borderId="98" xfId="0" applyNumberFormat="1" applyFont="1" applyFill="1" applyBorder="1" applyAlignment="1" applyProtection="1">
      <alignment horizontal="center"/>
    </xf>
    <xf numFmtId="0" fontId="12" fillId="2" borderId="99" xfId="0" applyNumberFormat="1" applyFont="1" applyFill="1" applyBorder="1" applyAlignment="1" applyProtection="1">
      <alignment horizontal="center"/>
    </xf>
    <xf numFmtId="0" fontId="19" fillId="2" borderId="37" xfId="0" applyNumberFormat="1" applyFont="1" applyFill="1" applyBorder="1" applyAlignment="1" applyProtection="1">
      <alignment horizontal="center"/>
    </xf>
    <xf numFmtId="0" fontId="19" fillId="2" borderId="38" xfId="0" applyNumberFormat="1" applyFont="1" applyFill="1" applyBorder="1" applyAlignment="1" applyProtection="1">
      <alignment horizontal="center"/>
    </xf>
    <xf numFmtId="2" fontId="12" fillId="2" borderId="15" xfId="0" applyNumberFormat="1" applyFont="1" applyFill="1" applyBorder="1" applyAlignment="1" applyProtection="1">
      <alignment horizontal="center"/>
    </xf>
    <xf numFmtId="0" fontId="5" fillId="2" borderId="108" xfId="0" applyNumberFormat="1" applyFont="1" applyFill="1" applyBorder="1" applyAlignment="1" applyProtection="1"/>
    <xf numFmtId="0" fontId="5" fillId="2" borderId="64" xfId="0" applyNumberFormat="1" applyFont="1" applyFill="1" applyBorder="1" applyAlignment="1" applyProtection="1"/>
    <xf numFmtId="0" fontId="5" fillId="0" borderId="110" xfId="0" applyNumberFormat="1" applyFont="1" applyFill="1" applyBorder="1" applyAlignment="1" applyProtection="1"/>
    <xf numFmtId="2" fontId="19" fillId="2" borderId="10" xfId="0" applyNumberFormat="1" applyFont="1" applyFill="1" applyBorder="1" applyAlignment="1" applyProtection="1">
      <alignment horizontal="center"/>
    </xf>
    <xf numFmtId="2" fontId="19" fillId="2" borderId="12" xfId="0" applyNumberFormat="1" applyFont="1" applyFill="1" applyBorder="1" applyAlignment="1" applyProtection="1">
      <alignment horizontal="center"/>
    </xf>
    <xf numFmtId="2" fontId="19" fillId="2" borderId="88" xfId="0" applyNumberFormat="1" applyFont="1" applyFill="1" applyBorder="1" applyAlignment="1" applyProtection="1">
      <alignment horizontal="center"/>
    </xf>
    <xf numFmtId="0" fontId="1" fillId="2" borderId="120" xfId="0" applyFont="1" applyFill="1" applyBorder="1" applyAlignment="1">
      <alignment horizontal="center"/>
    </xf>
    <xf numFmtId="0" fontId="1" fillId="2" borderId="62" xfId="0" applyFont="1" applyFill="1" applyBorder="1" applyAlignment="1">
      <alignment horizontal="center"/>
    </xf>
    <xf numFmtId="2" fontId="12" fillId="2" borderId="108" xfId="0" applyNumberFormat="1" applyFont="1" applyFill="1" applyBorder="1" applyAlignment="1">
      <alignment horizontal="center"/>
    </xf>
    <xf numFmtId="2" fontId="12" fillId="2" borderId="109" xfId="0" applyNumberFormat="1" applyFont="1" applyFill="1" applyBorder="1" applyAlignment="1">
      <alignment horizontal="center"/>
    </xf>
    <xf numFmtId="0" fontId="12" fillId="2" borderId="127" xfId="0" applyNumberFormat="1" applyFont="1" applyFill="1" applyBorder="1" applyAlignment="1" applyProtection="1">
      <alignment horizontal="center"/>
    </xf>
    <xf numFmtId="0" fontId="12" fillId="2" borderId="65" xfId="0" applyNumberFormat="1" applyFont="1" applyFill="1" applyBorder="1" applyAlignment="1">
      <alignment horizontal="center"/>
    </xf>
    <xf numFmtId="0" fontId="12" fillId="2" borderId="126" xfId="0" applyNumberFormat="1" applyFont="1" applyFill="1" applyBorder="1" applyAlignment="1" applyProtection="1">
      <alignment horizontal="center"/>
    </xf>
    <xf numFmtId="0" fontId="0" fillId="2" borderId="32" xfId="0" applyNumberFormat="1" applyFont="1" applyFill="1" applyBorder="1" applyAlignment="1" applyProtection="1">
      <alignment horizontal="center"/>
    </xf>
    <xf numFmtId="0" fontId="0" fillId="2" borderId="33" xfId="0" applyNumberFormat="1" applyFont="1" applyFill="1" applyBorder="1" applyAlignment="1" applyProtection="1">
      <alignment horizontal="center"/>
    </xf>
    <xf numFmtId="0" fontId="12" fillId="2" borderId="65" xfId="0" applyNumberFormat="1" applyFont="1" applyFill="1" applyBorder="1" applyAlignment="1" applyProtection="1">
      <alignment horizontal="center"/>
    </xf>
    <xf numFmtId="2" fontId="0" fillId="2" borderId="73" xfId="0" applyNumberFormat="1" applyFont="1" applyFill="1" applyBorder="1" applyAlignment="1" applyProtection="1">
      <alignment horizontal="center"/>
    </xf>
    <xf numFmtId="2" fontId="0" fillId="2" borderId="128" xfId="0" applyNumberFormat="1" applyFont="1" applyFill="1" applyBorder="1" applyAlignment="1" applyProtection="1">
      <alignment horizontal="center"/>
    </xf>
    <xf numFmtId="0" fontId="12" fillId="2" borderId="26" xfId="0" applyNumberFormat="1" applyFont="1" applyFill="1" applyBorder="1" applyAlignment="1">
      <alignment horizontal="center"/>
    </xf>
    <xf numFmtId="0" fontId="12" fillId="2" borderId="27" xfId="0" applyNumberFormat="1" applyFont="1" applyFill="1" applyBorder="1" applyAlignment="1">
      <alignment horizontal="center"/>
    </xf>
    <xf numFmtId="0" fontId="1" fillId="2" borderId="106" xfId="0" applyFont="1" applyFill="1" applyBorder="1" applyAlignment="1">
      <alignment horizontal="center"/>
    </xf>
    <xf numFmtId="0" fontId="1" fillId="2" borderId="98" xfId="0" applyFont="1" applyFill="1" applyBorder="1" applyAlignment="1">
      <alignment horizontal="center"/>
    </xf>
    <xf numFmtId="0" fontId="12" fillId="2" borderId="99" xfId="0" applyNumberFormat="1" applyFont="1" applyFill="1" applyBorder="1" applyAlignment="1">
      <alignment horizontal="center"/>
    </xf>
    <xf numFmtId="0" fontId="1" fillId="2" borderId="111" xfId="0" applyFont="1" applyFill="1" applyBorder="1" applyAlignment="1">
      <alignment horizontal="center"/>
    </xf>
    <xf numFmtId="0" fontId="1" fillId="2" borderId="115" xfId="0" applyFont="1" applyFill="1" applyBorder="1" applyAlignment="1">
      <alignment horizontal="center"/>
    </xf>
    <xf numFmtId="0" fontId="1" fillId="2" borderId="116" xfId="0" applyFont="1" applyFill="1" applyBorder="1" applyAlignment="1">
      <alignment horizontal="center"/>
    </xf>
    <xf numFmtId="0" fontId="3" fillId="2" borderId="88" xfId="0" applyNumberFormat="1" applyFont="1" applyFill="1" applyBorder="1" applyAlignment="1" applyProtection="1">
      <alignment horizontal="center"/>
    </xf>
    <xf numFmtId="0" fontId="13" fillId="2" borderId="88" xfId="0" applyNumberFormat="1" applyFont="1" applyFill="1" applyBorder="1" applyAlignment="1" applyProtection="1">
      <alignment horizontal="center"/>
    </xf>
    <xf numFmtId="0" fontId="12" fillId="2" borderId="98" xfId="0" applyNumberFormat="1" applyFont="1" applyFill="1" applyBorder="1" applyAlignment="1">
      <alignment horizontal="center"/>
    </xf>
    <xf numFmtId="0" fontId="13" fillId="2" borderId="59" xfId="0" applyNumberFormat="1" applyFont="1" applyFill="1" applyBorder="1" applyAlignment="1" applyProtection="1">
      <alignment horizontal="center"/>
    </xf>
    <xf numFmtId="0" fontId="13" fillId="2" borderId="92" xfId="0" applyNumberFormat="1" applyFont="1" applyFill="1" applyBorder="1" applyAlignment="1" applyProtection="1">
      <alignment horizontal="center"/>
    </xf>
    <xf numFmtId="0" fontId="13" fillId="2" borderId="32" xfId="0" applyNumberFormat="1" applyFont="1" applyFill="1" applyBorder="1" applyAlignment="1" applyProtection="1">
      <alignment horizontal="center"/>
    </xf>
    <xf numFmtId="0" fontId="13" fillId="2" borderId="33" xfId="0" applyNumberFormat="1" applyFont="1" applyFill="1" applyBorder="1" applyAlignment="1" applyProtection="1">
      <alignment horizontal="center"/>
    </xf>
    <xf numFmtId="0" fontId="13" fillId="2" borderId="127" xfId="0" applyNumberFormat="1" applyFont="1" applyFill="1" applyBorder="1" applyAlignment="1" applyProtection="1">
      <alignment horizontal="center"/>
    </xf>
    <xf numFmtId="0" fontId="13" fillId="2" borderId="110" xfId="0" applyNumberFormat="1" applyFont="1" applyFill="1" applyBorder="1" applyAlignment="1" applyProtection="1">
      <alignment horizontal="center"/>
    </xf>
    <xf numFmtId="0" fontId="3" fillId="2" borderId="59" xfId="0" applyFont="1" applyFill="1" applyBorder="1" applyAlignment="1">
      <alignment horizontal="center"/>
    </xf>
    <xf numFmtId="0" fontId="3" fillId="2" borderId="92" xfId="0" applyFont="1" applyFill="1" applyBorder="1" applyAlignment="1">
      <alignment horizontal="center"/>
    </xf>
    <xf numFmtId="0" fontId="13" fillId="2" borderId="130" xfId="0" applyNumberFormat="1" applyFont="1" applyFill="1" applyBorder="1" applyAlignment="1" applyProtection="1">
      <alignment horizontal="center"/>
    </xf>
    <xf numFmtId="0" fontId="18" fillId="2" borderId="110" xfId="0" applyNumberFormat="1" applyFont="1" applyFill="1" applyBorder="1" applyAlignment="1" applyProtection="1">
      <alignment horizontal="center"/>
    </xf>
    <xf numFmtId="0" fontId="13" fillId="2" borderId="110" xfId="0" applyNumberFormat="1" applyFont="1" applyFill="1" applyBorder="1" applyAlignment="1">
      <alignment horizontal="center"/>
    </xf>
    <xf numFmtId="0" fontId="1" fillId="2" borderId="131" xfId="0" applyFont="1" applyFill="1" applyBorder="1" applyAlignment="1">
      <alignment horizontal="center"/>
    </xf>
    <xf numFmtId="0" fontId="0" fillId="2" borderId="34" xfId="0" applyNumberFormat="1" applyFont="1" applyFill="1" applyBorder="1" applyAlignment="1" applyProtection="1">
      <alignment horizontal="center"/>
    </xf>
    <xf numFmtId="2" fontId="0" fillId="2" borderId="15" xfId="0" applyNumberFormat="1" applyFont="1" applyFill="1" applyBorder="1" applyAlignment="1" applyProtection="1">
      <alignment horizontal="center"/>
    </xf>
    <xf numFmtId="0" fontId="0" fillId="2" borderId="15" xfId="0" applyNumberFormat="1" applyFont="1" applyFill="1" applyBorder="1" applyAlignment="1" applyProtection="1">
      <alignment horizontal="center"/>
    </xf>
    <xf numFmtId="0" fontId="12" fillId="2" borderId="70" xfId="0" applyNumberFormat="1" applyFont="1" applyFill="1" applyBorder="1" applyAlignment="1" applyProtection="1">
      <alignment horizontal="center"/>
    </xf>
    <xf numFmtId="2" fontId="12" fillId="2" borderId="125" xfId="0" applyNumberFormat="1" applyFont="1" applyFill="1" applyBorder="1" applyAlignment="1" applyProtection="1">
      <alignment horizontal="center"/>
    </xf>
    <xf numFmtId="14" fontId="15" fillId="0" borderId="92" xfId="0" applyNumberFormat="1" applyFont="1" applyFill="1" applyBorder="1" applyAlignment="1">
      <alignment horizontal="left"/>
    </xf>
    <xf numFmtId="0" fontId="12" fillId="2" borderId="43" xfId="0" applyNumberFormat="1" applyFont="1" applyFill="1" applyBorder="1" applyAlignment="1" applyProtection="1">
      <alignment horizontal="center"/>
    </xf>
    <xf numFmtId="2" fontId="12" fillId="2" borderId="10" xfId="0" applyNumberFormat="1" applyFont="1" applyFill="1" applyBorder="1" applyAlignment="1" applyProtection="1">
      <alignment horizontal="center"/>
    </xf>
    <xf numFmtId="0" fontId="5" fillId="2" borderId="10" xfId="0" applyNumberFormat="1" applyFont="1" applyFill="1" applyBorder="1" applyAlignment="1" applyProtection="1"/>
    <xf numFmtId="0" fontId="5" fillId="2" borderId="12" xfId="0" applyNumberFormat="1" applyFont="1" applyFill="1" applyBorder="1" applyAlignment="1" applyProtection="1"/>
    <xf numFmtId="0" fontId="5" fillId="0" borderId="88" xfId="0" applyNumberFormat="1" applyFont="1" applyFill="1" applyBorder="1" applyAlignment="1" applyProtection="1"/>
    <xf numFmtId="0" fontId="15" fillId="0" borderId="109" xfId="0" applyNumberFormat="1" applyFont="1" applyFill="1" applyBorder="1" applyAlignment="1"/>
    <xf numFmtId="0" fontId="15" fillId="0" borderId="10" xfId="0" applyNumberFormat="1" applyFont="1" applyFill="1" applyBorder="1" applyAlignment="1"/>
    <xf numFmtId="0" fontId="0" fillId="2" borderId="111" xfId="0" applyNumberFormat="1" applyFont="1" applyFill="1" applyBorder="1" applyAlignment="1" applyProtection="1">
      <alignment horizontal="center"/>
    </xf>
    <xf numFmtId="0" fontId="0" fillId="2" borderId="115" xfId="0" applyNumberFormat="1" applyFont="1" applyFill="1" applyBorder="1" applyAlignment="1" applyProtection="1">
      <alignment horizontal="center"/>
    </xf>
    <xf numFmtId="0" fontId="0" fillId="2" borderId="116" xfId="0" applyNumberFormat="1" applyFont="1" applyFill="1" applyBorder="1" applyAlignment="1" applyProtection="1">
      <alignment horizontal="center"/>
    </xf>
    <xf numFmtId="0" fontId="5" fillId="0" borderId="10" xfId="0" applyNumberFormat="1" applyFont="1" applyFill="1" applyBorder="1" applyAlignment="1" applyProtection="1"/>
    <xf numFmtId="0" fontId="5" fillId="0" borderId="93" xfId="0" applyNumberFormat="1" applyFont="1" applyFill="1" applyBorder="1" applyAlignment="1" applyProtection="1"/>
    <xf numFmtId="0" fontId="3" fillId="0" borderId="15" xfId="0" applyNumberFormat="1" applyFont="1" applyFill="1" applyBorder="1" applyAlignment="1" applyProtection="1"/>
    <xf numFmtId="0" fontId="13" fillId="2" borderId="34" xfId="0" applyNumberFormat="1" applyFont="1" applyFill="1" applyBorder="1" applyAlignment="1" applyProtection="1">
      <alignment horizontal="center"/>
    </xf>
    <xf numFmtId="0" fontId="13" fillId="2" borderId="118" xfId="0" applyNumberFormat="1" applyFont="1" applyFill="1" applyBorder="1" applyAlignment="1" applyProtection="1">
      <alignment horizontal="center"/>
    </xf>
    <xf numFmtId="0" fontId="13" fillId="2" borderId="105" xfId="0" applyNumberFormat="1" applyFont="1" applyFill="1" applyBorder="1" applyAlignment="1" applyProtection="1">
      <alignment horizontal="center"/>
    </xf>
    <xf numFmtId="2" fontId="12" fillId="2" borderId="93" xfId="0" applyNumberFormat="1" applyFont="1" applyFill="1" applyBorder="1" applyAlignment="1" applyProtection="1">
      <alignment horizontal="center"/>
    </xf>
    <xf numFmtId="0" fontId="12" fillId="2" borderId="15" xfId="0" applyNumberFormat="1" applyFont="1" applyFill="1" applyBorder="1" applyAlignment="1" applyProtection="1">
      <alignment horizontal="center"/>
    </xf>
    <xf numFmtId="2" fontId="19" fillId="2" borderId="87" xfId="0" applyNumberFormat="1" applyFont="1" applyFill="1" applyBorder="1" applyAlignment="1" applyProtection="1">
      <alignment horizontal="center"/>
    </xf>
    <xf numFmtId="2" fontId="19" fillId="2" borderId="90" xfId="0" applyNumberFormat="1" applyFont="1" applyFill="1" applyBorder="1" applyAlignment="1" applyProtection="1">
      <alignment horizontal="center"/>
    </xf>
    <xf numFmtId="2" fontId="19" fillId="2" borderId="10" xfId="0" applyNumberFormat="1" applyFont="1" applyFill="1" applyBorder="1" applyAlignment="1">
      <alignment horizontal="center"/>
    </xf>
    <xf numFmtId="2" fontId="19" fillId="2" borderId="93" xfId="0" applyNumberFormat="1" applyFont="1" applyFill="1" applyBorder="1" applyAlignment="1">
      <alignment horizontal="center"/>
    </xf>
    <xf numFmtId="2" fontId="19" fillId="2" borderId="105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1" fillId="2" borderId="99" xfId="0" applyFont="1" applyFill="1" applyBorder="1" applyAlignment="1">
      <alignment horizontal="center"/>
    </xf>
    <xf numFmtId="2" fontId="1" fillId="2" borderId="93" xfId="0" applyNumberFormat="1" applyFont="1" applyFill="1" applyBorder="1" applyAlignment="1">
      <alignment horizontal="center"/>
    </xf>
    <xf numFmtId="0" fontId="12" fillId="2" borderId="36" xfId="0" applyNumberFormat="1" applyFont="1" applyFill="1" applyBorder="1" applyAlignment="1">
      <alignment horizontal="center"/>
    </xf>
    <xf numFmtId="0" fontId="12" fillId="2" borderId="37" xfId="0" applyNumberFormat="1" applyFont="1" applyFill="1" applyBorder="1" applyAlignment="1">
      <alignment horizontal="center"/>
    </xf>
    <xf numFmtId="0" fontId="12" fillId="2" borderId="38" xfId="0" applyNumberFormat="1" applyFont="1" applyFill="1" applyBorder="1" applyAlignment="1">
      <alignment horizontal="center"/>
    </xf>
    <xf numFmtId="2" fontId="12" fillId="2" borderId="88" xfId="0" applyNumberFormat="1" applyFont="1" applyFill="1" applyBorder="1" applyAlignment="1">
      <alignment horizontal="center"/>
    </xf>
    <xf numFmtId="2" fontId="12" fillId="2" borderId="88" xfId="0" applyNumberFormat="1" applyFont="1" applyFill="1" applyBorder="1" applyAlignment="1" applyProtection="1">
      <alignment horizontal="center"/>
    </xf>
    <xf numFmtId="0" fontId="10" fillId="0" borderId="10" xfId="0" applyFont="1" applyBorder="1"/>
    <xf numFmtId="20" fontId="10" fillId="0" borderId="1" xfId="0" applyNumberFormat="1" applyFont="1" applyBorder="1" applyAlignment="1">
      <alignment horizontal="center"/>
    </xf>
    <xf numFmtId="20" fontId="10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5" xfId="0" applyFont="1" applyBorder="1"/>
    <xf numFmtId="0" fontId="3" fillId="0" borderId="88" xfId="0" applyFont="1" applyBorder="1"/>
    <xf numFmtId="20" fontId="5" fillId="0" borderId="105" xfId="0" applyNumberFormat="1" applyFont="1" applyBorder="1" applyAlignment="1">
      <alignment horizontal="center"/>
    </xf>
    <xf numFmtId="20" fontId="10" fillId="0" borderId="88" xfId="0" applyNumberFormat="1" applyFont="1" applyBorder="1"/>
    <xf numFmtId="0" fontId="3" fillId="2" borderId="10" xfId="0" applyFont="1" applyFill="1" applyBorder="1"/>
    <xf numFmtId="20" fontId="20" fillId="0" borderId="4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0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3" fillId="2" borderId="56" xfId="0" applyNumberFormat="1" applyFont="1" applyFill="1" applyBorder="1" applyAlignment="1">
      <alignment horizontal="center"/>
    </xf>
    <xf numFmtId="0" fontId="3" fillId="2" borderId="2" xfId="0" applyNumberFormat="1" applyFont="1" applyFill="1" applyBorder="1" applyAlignment="1" applyProtection="1">
      <alignment horizontal="center"/>
    </xf>
    <xf numFmtId="0" fontId="3" fillId="2" borderId="122" xfId="0" applyNumberFormat="1" applyFont="1" applyFill="1" applyBorder="1" applyAlignment="1" applyProtection="1">
      <alignment horizontal="center"/>
    </xf>
    <xf numFmtId="0" fontId="13" fillId="2" borderId="59" xfId="0" applyNumberFormat="1" applyFont="1" applyFill="1" applyBorder="1" applyAlignment="1" applyProtection="1">
      <alignment horizontal="center"/>
    </xf>
    <xf numFmtId="0" fontId="13" fillId="2" borderId="2" xfId="0" applyNumberFormat="1" applyFont="1" applyFill="1" applyBorder="1" applyAlignment="1" applyProtection="1">
      <alignment horizontal="center"/>
    </xf>
    <xf numFmtId="0" fontId="13" fillId="2" borderId="90" xfId="0" applyNumberFormat="1" applyFont="1" applyFill="1" applyBorder="1" applyAlignment="1" applyProtection="1">
      <alignment horizontal="center"/>
    </xf>
    <xf numFmtId="0" fontId="13" fillId="2" borderId="89" xfId="0" applyNumberFormat="1" applyFont="1" applyFill="1" applyBorder="1" applyAlignment="1" applyProtection="1">
      <alignment horizontal="center"/>
    </xf>
    <xf numFmtId="0" fontId="13" fillId="2" borderId="92" xfId="0" applyNumberFormat="1" applyFont="1" applyFill="1" applyBorder="1" applyAlignment="1" applyProtection="1">
      <alignment horizontal="center"/>
    </xf>
    <xf numFmtId="0" fontId="13" fillId="2" borderId="59" xfId="0" applyNumberFormat="1" applyFont="1" applyFill="1" applyBorder="1" applyAlignment="1">
      <alignment horizontal="center" vertical="center"/>
    </xf>
    <xf numFmtId="0" fontId="13" fillId="2" borderId="60" xfId="0" applyNumberFormat="1" applyFont="1" applyFill="1" applyBorder="1" applyAlignment="1">
      <alignment horizontal="center" vertical="center"/>
    </xf>
    <xf numFmtId="0" fontId="13" fillId="2" borderId="50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3" fillId="2" borderId="57" xfId="0" applyNumberFormat="1" applyFont="1" applyFill="1" applyBorder="1" applyAlignment="1">
      <alignment horizontal="center"/>
    </xf>
    <xf numFmtId="0" fontId="3" fillId="2" borderId="44" xfId="0" applyNumberFormat="1" applyFont="1" applyFill="1" applyBorder="1" applyAlignment="1" applyProtection="1">
      <alignment horizontal="center"/>
    </xf>
    <xf numFmtId="0" fontId="3" fillId="2" borderId="21" xfId="0" applyNumberFormat="1" applyFont="1" applyFill="1" applyBorder="1" applyAlignment="1" applyProtection="1">
      <alignment horizontal="center"/>
    </xf>
    <xf numFmtId="0" fontId="3" fillId="2" borderId="45" xfId="0" applyNumberFormat="1" applyFont="1" applyFill="1" applyBorder="1" applyAlignment="1" applyProtection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124" xfId="0" applyNumberFormat="1" applyFont="1" applyFill="1" applyBorder="1" applyAlignment="1" applyProtection="1">
      <alignment horizontal="center"/>
    </xf>
    <xf numFmtId="0" fontId="3" fillId="2" borderId="123" xfId="0" applyNumberFormat="1" applyFont="1" applyFill="1" applyBorder="1" applyAlignment="1" applyProtection="1">
      <alignment horizontal="center"/>
    </xf>
    <xf numFmtId="0" fontId="13" fillId="2" borderId="110" xfId="0" applyNumberFormat="1" applyFont="1" applyFill="1" applyBorder="1" applyAlignment="1" applyProtection="1">
      <alignment horizontal="center"/>
    </xf>
    <xf numFmtId="0" fontId="18" fillId="2" borderId="122" xfId="0" applyNumberFormat="1" applyFont="1" applyFill="1" applyBorder="1" applyAlignment="1">
      <alignment horizontal="center"/>
    </xf>
    <xf numFmtId="0" fontId="13" fillId="2" borderId="129" xfId="0" applyNumberFormat="1" applyFont="1" applyFill="1" applyBorder="1" applyAlignment="1" applyProtection="1">
      <alignment horizontal="center"/>
    </xf>
    <xf numFmtId="0" fontId="18" fillId="2" borderId="122" xfId="0" applyNumberFormat="1" applyFont="1" applyFill="1" applyBorder="1" applyAlignment="1" applyProtection="1">
      <alignment horizontal="center"/>
    </xf>
    <xf numFmtId="0" fontId="3" fillId="2" borderId="129" xfId="0" applyNumberFormat="1" applyFont="1" applyFill="1" applyBorder="1" applyAlignment="1" applyProtection="1">
      <alignment horizontal="center"/>
    </xf>
    <xf numFmtId="0" fontId="18" fillId="2" borderId="123" xfId="0" applyNumberFormat="1" applyFont="1" applyFill="1" applyBorder="1" applyAlignment="1" applyProtection="1">
      <alignment horizontal="center"/>
    </xf>
    <xf numFmtId="0" fontId="3" fillId="2" borderId="86" xfId="0" applyNumberFormat="1" applyFont="1" applyFill="1" applyBorder="1" applyAlignment="1" applyProtection="1">
      <alignment horizontal="center"/>
    </xf>
    <xf numFmtId="0" fontId="18" fillId="2" borderId="123" xfId="0" applyNumberFormat="1" applyFont="1" applyFill="1" applyBorder="1" applyAlignment="1">
      <alignment horizontal="center"/>
    </xf>
    <xf numFmtId="0" fontId="13" fillId="2" borderId="86" xfId="0" applyNumberFormat="1" applyFont="1" applyFill="1" applyBorder="1" applyAlignment="1" applyProtection="1">
      <alignment horizontal="center"/>
    </xf>
    <xf numFmtId="0" fontId="13" fillId="2" borderId="68" xfId="0" applyNumberFormat="1" applyFont="1" applyFill="1" applyBorder="1" applyAlignment="1" applyProtection="1">
      <alignment horizontal="center"/>
    </xf>
    <xf numFmtId="0" fontId="7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6" fillId="2" borderId="63" xfId="0" applyNumberFormat="1" applyFont="1" applyFill="1" applyBorder="1" applyAlignment="1">
      <alignment horizontal="left"/>
    </xf>
    <xf numFmtId="14" fontId="5" fillId="0" borderId="105" xfId="0" applyNumberFormat="1" applyFont="1" applyBorder="1" applyAlignment="1">
      <alignment horizontal="left"/>
    </xf>
  </cellXfs>
  <cellStyles count="3">
    <cellStyle name="Millares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3" name="Line 2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4" name="Line 2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" name="Line 2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6" name="Line 2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7" name="Line 2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" name="Lin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0" name="Line 2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1" name="Line 2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2" name="Line 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3" name="Line 28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4" name="Line 28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352425</xdr:colOff>
      <xdr:row>0</xdr:row>
      <xdr:rowOff>0</xdr:rowOff>
    </xdr:from>
    <xdr:to>
      <xdr:col>2</xdr:col>
      <xdr:colOff>2257425</xdr:colOff>
      <xdr:row>0</xdr:row>
      <xdr:rowOff>0</xdr:rowOff>
    </xdr:to>
    <xdr:sp macro="" textlink="">
      <xdr:nvSpPr>
        <xdr:cNvPr id="15" name="Line 28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1752600" y="0"/>
          <a:ext cx="19050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16" name="Line 28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7" name="Line 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8" name="Line 2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9" name="Line 2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0" name="Line 2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21" name="Line 2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22" name="Line 2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3" name="Line 28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4" name="Line 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5" name="Line 28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6" name="Line 28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7" name="Line 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8" name="Lin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352425</xdr:colOff>
      <xdr:row>0</xdr:row>
      <xdr:rowOff>0</xdr:rowOff>
    </xdr:from>
    <xdr:to>
      <xdr:col>2</xdr:col>
      <xdr:colOff>2257425</xdr:colOff>
      <xdr:row>0</xdr:row>
      <xdr:rowOff>0</xdr:rowOff>
    </xdr:to>
    <xdr:sp macro="" textlink="">
      <xdr:nvSpPr>
        <xdr:cNvPr id="30" name="Line 28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ShapeType="1"/>
        </xdr:cNvSpPr>
      </xdr:nvSpPr>
      <xdr:spPr bwMode="auto">
        <a:xfrm>
          <a:off x="1752600" y="0"/>
          <a:ext cx="19050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31" name="Line 287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32" name="Line 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33" name="Line 2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34" name="Line 2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35" name="Line 28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36" name="Line 2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37" name="Line 2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38" name="Line 2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39" name="Line 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40" name="Line 28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41" name="Line 28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42" name="Line 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43" name="Line 28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44" name="Line 2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352425</xdr:colOff>
      <xdr:row>0</xdr:row>
      <xdr:rowOff>0</xdr:rowOff>
    </xdr:from>
    <xdr:to>
      <xdr:col>2</xdr:col>
      <xdr:colOff>2257425</xdr:colOff>
      <xdr:row>0</xdr:row>
      <xdr:rowOff>0</xdr:rowOff>
    </xdr:to>
    <xdr:sp macro="" textlink="">
      <xdr:nvSpPr>
        <xdr:cNvPr id="45" name="Line 28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ShapeType="1"/>
        </xdr:cNvSpPr>
      </xdr:nvSpPr>
      <xdr:spPr bwMode="auto">
        <a:xfrm>
          <a:off x="1752600" y="0"/>
          <a:ext cx="19050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46" name="Line 28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47" name="Line 5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48" name="Line 2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49" name="Line 2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0" name="Line 2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51" name="Line 2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52" name="Line 27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3" name="Line 2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4" name="Line 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5" name="Line 2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6" name="Line 2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7" name="Line 5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8" name="Line 2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59" name="Line 2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60" name="Line 5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61" name="Line 26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62" name="Line 27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63" name="Line 2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64" name="Line 26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65" name="Line 27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66" name="Line 28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67" name="Line 5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68" name="Line 2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69" name="Line 2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70" name="Line 5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71" name="Line 28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72" name="Line 28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73" name="Line 5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74" name="Line 26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75" name="Line 27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76" name="Line 28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77" name="Line 2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78" name="Line 2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79" name="Line 2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0" name="Line 5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1" name="Line 28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2" name="Line 28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3" name="Line 5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4" name="Line 28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5" name="Line 28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6" name="Line 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87" name="Line 2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88" name="Line 2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89" name="Line 2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90" name="Line 2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91" name="Line 27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2" name="Line 28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3" name="Line 5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4" name="Line 28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5" name="Line 28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6" name="Line 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7" name="Line 2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98" name="Line 28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352425</xdr:colOff>
      <xdr:row>0</xdr:row>
      <xdr:rowOff>0</xdr:rowOff>
    </xdr:from>
    <xdr:to>
      <xdr:col>2</xdr:col>
      <xdr:colOff>2257425</xdr:colOff>
      <xdr:row>0</xdr:row>
      <xdr:rowOff>0</xdr:rowOff>
    </xdr:to>
    <xdr:sp macro="" textlink="">
      <xdr:nvSpPr>
        <xdr:cNvPr id="99" name="Line 28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ShapeType="1"/>
        </xdr:cNvSpPr>
      </xdr:nvSpPr>
      <xdr:spPr bwMode="auto">
        <a:xfrm>
          <a:off x="1752600" y="0"/>
          <a:ext cx="19050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100" name="Line 287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01" name="Line 5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02" name="Line 26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03" name="Line 27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04" name="Line 28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05" name="Line 26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06" name="Line 2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07" name="Line 2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08" name="Line 5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09" name="Line 2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10" name="Line 28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11" name="Line 5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352425</xdr:colOff>
      <xdr:row>0</xdr:row>
      <xdr:rowOff>0</xdr:rowOff>
    </xdr:from>
    <xdr:to>
      <xdr:col>2</xdr:col>
      <xdr:colOff>2257425</xdr:colOff>
      <xdr:row>0</xdr:row>
      <xdr:rowOff>0</xdr:rowOff>
    </xdr:to>
    <xdr:sp macro="" textlink="">
      <xdr:nvSpPr>
        <xdr:cNvPr id="112" name="Line 28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ShapeType="1"/>
        </xdr:cNvSpPr>
      </xdr:nvSpPr>
      <xdr:spPr bwMode="auto">
        <a:xfrm>
          <a:off x="1752600" y="0"/>
          <a:ext cx="19050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113" name="Line 287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14" name="Line 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15" name="Line 2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16" name="Line 2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17" name="Line 28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18" name="Line 2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66675</xdr:colOff>
      <xdr:row>0</xdr:row>
      <xdr:rowOff>0</xdr:rowOff>
    </xdr:from>
    <xdr:to>
      <xdr:col>17</xdr:col>
      <xdr:colOff>57150</xdr:colOff>
      <xdr:row>0</xdr:row>
      <xdr:rowOff>0</xdr:rowOff>
    </xdr:to>
    <xdr:sp macro="" textlink="">
      <xdr:nvSpPr>
        <xdr:cNvPr id="119" name="Line 27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ShapeType="1"/>
        </xdr:cNvSpPr>
      </xdr:nvSpPr>
      <xdr:spPr bwMode="auto">
        <a:xfrm>
          <a:off x="5381625" y="0"/>
          <a:ext cx="89439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20" name="Line 28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21" name="Line 5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ShapeType="1"/>
        </xdr:cNvSpPr>
      </xdr:nvSpPr>
      <xdr:spPr bwMode="auto">
        <a:xfrm>
          <a:off x="1438275" y="0"/>
          <a:ext cx="1283017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66675</xdr:colOff>
      <xdr:row>0</xdr:row>
      <xdr:rowOff>0</xdr:rowOff>
    </xdr:from>
    <xdr:to>
      <xdr:col>17</xdr:col>
      <xdr:colOff>0</xdr:colOff>
      <xdr:row>0</xdr:row>
      <xdr:rowOff>0</xdr:rowOff>
    </xdr:to>
    <xdr:sp macro="" textlink="">
      <xdr:nvSpPr>
        <xdr:cNvPr id="122" name="Line 28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ShapeType="1"/>
        </xdr:cNvSpPr>
      </xdr:nvSpPr>
      <xdr:spPr bwMode="auto">
        <a:xfrm>
          <a:off x="1466850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76200</xdr:colOff>
      <xdr:row>0</xdr:row>
      <xdr:rowOff>0</xdr:rowOff>
    </xdr:from>
    <xdr:to>
      <xdr:col>17</xdr:col>
      <xdr:colOff>9525</xdr:colOff>
      <xdr:row>0</xdr:row>
      <xdr:rowOff>0</xdr:rowOff>
    </xdr:to>
    <xdr:sp macro="" textlink="">
      <xdr:nvSpPr>
        <xdr:cNvPr id="123" name="Line 28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ShapeType="1"/>
        </xdr:cNvSpPr>
      </xdr:nvSpPr>
      <xdr:spPr bwMode="auto">
        <a:xfrm>
          <a:off x="1476375" y="0"/>
          <a:ext cx="1280160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 lang="es-ES"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124" name="Line 287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819150</xdr:colOff>
      <xdr:row>0</xdr:row>
      <xdr:rowOff>0</xdr:rowOff>
    </xdr:from>
    <xdr:to>
      <xdr:col>15</xdr:col>
      <xdr:colOff>247650</xdr:colOff>
      <xdr:row>0</xdr:row>
      <xdr:rowOff>0</xdr:rowOff>
    </xdr:to>
    <xdr:sp macro="" textlink="">
      <xdr:nvSpPr>
        <xdr:cNvPr id="125" name="Line 287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30505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695325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6" name="Line 28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13716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695325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7" name="Line 28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13716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695325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8" name="Line 28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13716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695325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29" name="Line 287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13716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695325</xdr:colOff>
      <xdr:row>0</xdr:row>
      <xdr:rowOff>0</xdr:rowOff>
    </xdr:from>
    <xdr:to>
      <xdr:col>14</xdr:col>
      <xdr:colOff>0</xdr:colOff>
      <xdr:row>0</xdr:row>
      <xdr:rowOff>0</xdr:rowOff>
    </xdr:to>
    <xdr:sp macro="" textlink="">
      <xdr:nvSpPr>
        <xdr:cNvPr id="130" name="Line 287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1371600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314325</xdr:colOff>
      <xdr:row>0</xdr:row>
      <xdr:rowOff>0</xdr:rowOff>
    </xdr:from>
    <xdr:to>
      <xdr:col>2</xdr:col>
      <xdr:colOff>2152650</xdr:colOff>
      <xdr:row>0</xdr:row>
      <xdr:rowOff>0</xdr:rowOff>
    </xdr:to>
    <xdr:sp macro="" textlink="">
      <xdr:nvSpPr>
        <xdr:cNvPr id="131" name="Line 286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ShapeType="1"/>
        </xdr:cNvSpPr>
      </xdr:nvSpPr>
      <xdr:spPr bwMode="auto">
        <a:xfrm flipV="1">
          <a:off x="1714500" y="0"/>
          <a:ext cx="183832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752475</xdr:colOff>
      <xdr:row>0</xdr:row>
      <xdr:rowOff>0</xdr:rowOff>
    </xdr:from>
    <xdr:to>
      <xdr:col>15</xdr:col>
      <xdr:colOff>238125</xdr:colOff>
      <xdr:row>0</xdr:row>
      <xdr:rowOff>0</xdr:rowOff>
    </xdr:to>
    <xdr:sp macro="" textlink="">
      <xdr:nvSpPr>
        <xdr:cNvPr id="132" name="Line 287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9552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314325</xdr:colOff>
      <xdr:row>0</xdr:row>
      <xdr:rowOff>0</xdr:rowOff>
    </xdr:from>
    <xdr:to>
      <xdr:col>2</xdr:col>
      <xdr:colOff>2152650</xdr:colOff>
      <xdr:row>0</xdr:row>
      <xdr:rowOff>0</xdr:rowOff>
    </xdr:to>
    <xdr:sp macro="" textlink="">
      <xdr:nvSpPr>
        <xdr:cNvPr id="133" name="Line 28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ShapeType="1"/>
        </xdr:cNvSpPr>
      </xdr:nvSpPr>
      <xdr:spPr bwMode="auto">
        <a:xfrm flipV="1">
          <a:off x="1714500" y="0"/>
          <a:ext cx="183832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695325</xdr:colOff>
      <xdr:row>0</xdr:row>
      <xdr:rowOff>0</xdr:rowOff>
    </xdr:from>
    <xdr:to>
      <xdr:col>15</xdr:col>
      <xdr:colOff>180975</xdr:colOff>
      <xdr:row>0</xdr:row>
      <xdr:rowOff>0</xdr:rowOff>
    </xdr:to>
    <xdr:sp macro="" textlink="">
      <xdr:nvSpPr>
        <xdr:cNvPr id="134" name="Line 287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38375" cy="0"/>
        </a:xfrm>
        <a:prstGeom prst="line">
          <a:avLst/>
        </a:prstGeom>
        <a:noFill/>
        <a:ln w="19050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2</xdr:col>
      <xdr:colOff>381000</xdr:colOff>
      <xdr:row>0</xdr:row>
      <xdr:rowOff>0</xdr:rowOff>
    </xdr:from>
    <xdr:to>
      <xdr:col>2</xdr:col>
      <xdr:colOff>1838325</xdr:colOff>
      <xdr:row>0</xdr:row>
      <xdr:rowOff>0</xdr:rowOff>
    </xdr:to>
    <xdr:sp macro="" textlink="">
      <xdr:nvSpPr>
        <xdr:cNvPr id="135" name="Line 8932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ShapeType="1"/>
        </xdr:cNvSpPr>
      </xdr:nvSpPr>
      <xdr:spPr bwMode="auto">
        <a:xfrm>
          <a:off x="1781175" y="0"/>
          <a:ext cx="1457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  <xdr:twoCellAnchor>
    <xdr:from>
      <xdr:col>11</xdr:col>
      <xdr:colOff>733425</xdr:colOff>
      <xdr:row>0</xdr:row>
      <xdr:rowOff>0</xdr:rowOff>
    </xdr:from>
    <xdr:to>
      <xdr:col>15</xdr:col>
      <xdr:colOff>161925</xdr:colOff>
      <xdr:row>0</xdr:row>
      <xdr:rowOff>0</xdr:rowOff>
    </xdr:to>
    <xdr:sp macro="" textlink="">
      <xdr:nvSpPr>
        <xdr:cNvPr id="136" name="Line 8933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ShapeType="1"/>
        </xdr:cNvSpPr>
      </xdr:nvSpPr>
      <xdr:spPr bwMode="auto">
        <a:xfrm>
          <a:off x="10839450" y="0"/>
          <a:ext cx="2219325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  <xdr:txBody>
        <a:bodyPr/>
        <a:lstStyle/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1</xdr:row>
      <xdr:rowOff>0</xdr:rowOff>
    </xdr:from>
    <xdr:ext cx="1333500" cy="933450"/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316" t="7579" r="4750" b="2"/>
        <a:stretch/>
      </xdr:blipFill>
      <xdr:spPr bwMode="auto">
        <a:xfrm>
          <a:off x="47625" y="161925"/>
          <a:ext cx="1333500" cy="9334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47625</xdr:colOff>
      <xdr:row>1</xdr:row>
      <xdr:rowOff>0</xdr:rowOff>
    </xdr:from>
    <xdr:ext cx="1333500" cy="933450"/>
    <xdr:pic>
      <xdr:nvPicPr>
        <xdr:cNvPr id="5" name="3 Image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316" t="7579" r="4750" b="2"/>
        <a:stretch/>
      </xdr:blipFill>
      <xdr:spPr bwMode="auto">
        <a:xfrm>
          <a:off x="47625" y="161925"/>
          <a:ext cx="1333500" cy="9334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47625</xdr:colOff>
      <xdr:row>1</xdr:row>
      <xdr:rowOff>57150</xdr:rowOff>
    </xdr:from>
    <xdr:ext cx="1333500" cy="933450"/>
    <xdr:pic>
      <xdr:nvPicPr>
        <xdr:cNvPr id="8" name="3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316" t="7579" r="4750" b="2"/>
        <a:stretch/>
      </xdr:blipFill>
      <xdr:spPr bwMode="auto">
        <a:xfrm>
          <a:off x="47625" y="219075"/>
          <a:ext cx="1333500" cy="9334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</xdr:col>
      <xdr:colOff>200025</xdr:colOff>
      <xdr:row>45</xdr:row>
      <xdr:rowOff>152400</xdr:rowOff>
    </xdr:from>
    <xdr:to>
      <xdr:col>1</xdr:col>
      <xdr:colOff>2847975</xdr:colOff>
      <xdr:row>45</xdr:row>
      <xdr:rowOff>152400</xdr:rowOff>
    </xdr:to>
    <xdr:cxnSp macro="">
      <xdr:nvCxnSpPr>
        <xdr:cNvPr id="7" name="7 Conector recto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V="1">
          <a:off x="638175" y="8715375"/>
          <a:ext cx="26479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193"/>
  <sheetViews>
    <sheetView topLeftCell="A79" zoomScale="80" zoomScaleNormal="80" workbookViewId="0">
      <selection activeCell="C79" sqref="C79"/>
    </sheetView>
  </sheetViews>
  <sheetFormatPr baseColWidth="10" defaultRowHeight="12.75" x14ac:dyDescent="0.2"/>
  <cols>
    <col min="1" max="1" width="10.42578125" customWidth="1"/>
    <col min="2" max="2" width="10.5703125" customWidth="1"/>
    <col min="3" max="3" width="48.140625" customWidth="1"/>
    <col min="4" max="4" width="10.5703125" customWidth="1"/>
    <col min="5" max="5" width="10.85546875" customWidth="1"/>
    <col min="6" max="17" width="10.28515625" customWidth="1"/>
    <col min="257" max="257" width="10.42578125" customWidth="1"/>
    <col min="258" max="258" width="10.5703125" customWidth="1"/>
    <col min="259" max="259" width="45.85546875" customWidth="1"/>
    <col min="260" max="260" width="12.5703125" customWidth="1"/>
    <col min="261" max="262" width="11" customWidth="1"/>
    <col min="263" max="265" width="10.85546875" customWidth="1"/>
    <col min="266" max="267" width="12.42578125" customWidth="1"/>
    <col min="268" max="269" width="11.5703125" customWidth="1"/>
    <col min="270" max="271" width="10.7109375" customWidth="1"/>
    <col min="273" max="273" width="12" customWidth="1"/>
    <col min="513" max="513" width="10.42578125" customWidth="1"/>
    <col min="514" max="514" width="10.5703125" customWidth="1"/>
    <col min="515" max="515" width="45.85546875" customWidth="1"/>
    <col min="516" max="516" width="12.5703125" customWidth="1"/>
    <col min="517" max="518" width="11" customWidth="1"/>
    <col min="519" max="521" width="10.85546875" customWidth="1"/>
    <col min="522" max="523" width="12.42578125" customWidth="1"/>
    <col min="524" max="525" width="11.5703125" customWidth="1"/>
    <col min="526" max="527" width="10.7109375" customWidth="1"/>
    <col min="529" max="529" width="12" customWidth="1"/>
    <col min="769" max="769" width="10.42578125" customWidth="1"/>
    <col min="770" max="770" width="10.5703125" customWidth="1"/>
    <col min="771" max="771" width="45.85546875" customWidth="1"/>
    <col min="772" max="772" width="12.5703125" customWidth="1"/>
    <col min="773" max="774" width="11" customWidth="1"/>
    <col min="775" max="777" width="10.85546875" customWidth="1"/>
    <col min="778" max="779" width="12.42578125" customWidth="1"/>
    <col min="780" max="781" width="11.5703125" customWidth="1"/>
    <col min="782" max="783" width="10.7109375" customWidth="1"/>
    <col min="785" max="785" width="12" customWidth="1"/>
    <col min="1025" max="1025" width="10.42578125" customWidth="1"/>
    <col min="1026" max="1026" width="10.5703125" customWidth="1"/>
    <col min="1027" max="1027" width="45.85546875" customWidth="1"/>
    <col min="1028" max="1028" width="12.5703125" customWidth="1"/>
    <col min="1029" max="1030" width="11" customWidth="1"/>
    <col min="1031" max="1033" width="10.85546875" customWidth="1"/>
    <col min="1034" max="1035" width="12.42578125" customWidth="1"/>
    <col min="1036" max="1037" width="11.5703125" customWidth="1"/>
    <col min="1038" max="1039" width="10.7109375" customWidth="1"/>
    <col min="1041" max="1041" width="12" customWidth="1"/>
    <col min="1281" max="1281" width="10.42578125" customWidth="1"/>
    <col min="1282" max="1282" width="10.5703125" customWidth="1"/>
    <col min="1283" max="1283" width="45.85546875" customWidth="1"/>
    <col min="1284" max="1284" width="12.5703125" customWidth="1"/>
    <col min="1285" max="1286" width="11" customWidth="1"/>
    <col min="1287" max="1289" width="10.85546875" customWidth="1"/>
    <col min="1290" max="1291" width="12.42578125" customWidth="1"/>
    <col min="1292" max="1293" width="11.5703125" customWidth="1"/>
    <col min="1294" max="1295" width="10.7109375" customWidth="1"/>
    <col min="1297" max="1297" width="12" customWidth="1"/>
    <col min="1537" max="1537" width="10.42578125" customWidth="1"/>
    <col min="1538" max="1538" width="10.5703125" customWidth="1"/>
    <col min="1539" max="1539" width="45.85546875" customWidth="1"/>
    <col min="1540" max="1540" width="12.5703125" customWidth="1"/>
    <col min="1541" max="1542" width="11" customWidth="1"/>
    <col min="1543" max="1545" width="10.85546875" customWidth="1"/>
    <col min="1546" max="1547" width="12.42578125" customWidth="1"/>
    <col min="1548" max="1549" width="11.5703125" customWidth="1"/>
    <col min="1550" max="1551" width="10.7109375" customWidth="1"/>
    <col min="1553" max="1553" width="12" customWidth="1"/>
    <col min="1793" max="1793" width="10.42578125" customWidth="1"/>
    <col min="1794" max="1794" width="10.5703125" customWidth="1"/>
    <col min="1795" max="1795" width="45.85546875" customWidth="1"/>
    <col min="1796" max="1796" width="12.5703125" customWidth="1"/>
    <col min="1797" max="1798" width="11" customWidth="1"/>
    <col min="1799" max="1801" width="10.85546875" customWidth="1"/>
    <col min="1802" max="1803" width="12.42578125" customWidth="1"/>
    <col min="1804" max="1805" width="11.5703125" customWidth="1"/>
    <col min="1806" max="1807" width="10.7109375" customWidth="1"/>
    <col min="1809" max="1809" width="12" customWidth="1"/>
    <col min="2049" max="2049" width="10.42578125" customWidth="1"/>
    <col min="2050" max="2050" width="10.5703125" customWidth="1"/>
    <col min="2051" max="2051" width="45.85546875" customWidth="1"/>
    <col min="2052" max="2052" width="12.5703125" customWidth="1"/>
    <col min="2053" max="2054" width="11" customWidth="1"/>
    <col min="2055" max="2057" width="10.85546875" customWidth="1"/>
    <col min="2058" max="2059" width="12.42578125" customWidth="1"/>
    <col min="2060" max="2061" width="11.5703125" customWidth="1"/>
    <col min="2062" max="2063" width="10.7109375" customWidth="1"/>
    <col min="2065" max="2065" width="12" customWidth="1"/>
    <col min="2305" max="2305" width="10.42578125" customWidth="1"/>
    <col min="2306" max="2306" width="10.5703125" customWidth="1"/>
    <col min="2307" max="2307" width="45.85546875" customWidth="1"/>
    <col min="2308" max="2308" width="12.5703125" customWidth="1"/>
    <col min="2309" max="2310" width="11" customWidth="1"/>
    <col min="2311" max="2313" width="10.85546875" customWidth="1"/>
    <col min="2314" max="2315" width="12.42578125" customWidth="1"/>
    <col min="2316" max="2317" width="11.5703125" customWidth="1"/>
    <col min="2318" max="2319" width="10.7109375" customWidth="1"/>
    <col min="2321" max="2321" width="12" customWidth="1"/>
    <col min="2561" max="2561" width="10.42578125" customWidth="1"/>
    <col min="2562" max="2562" width="10.5703125" customWidth="1"/>
    <col min="2563" max="2563" width="45.85546875" customWidth="1"/>
    <col min="2564" max="2564" width="12.5703125" customWidth="1"/>
    <col min="2565" max="2566" width="11" customWidth="1"/>
    <col min="2567" max="2569" width="10.85546875" customWidth="1"/>
    <col min="2570" max="2571" width="12.42578125" customWidth="1"/>
    <col min="2572" max="2573" width="11.5703125" customWidth="1"/>
    <col min="2574" max="2575" width="10.7109375" customWidth="1"/>
    <col min="2577" max="2577" width="12" customWidth="1"/>
    <col min="2817" max="2817" width="10.42578125" customWidth="1"/>
    <col min="2818" max="2818" width="10.5703125" customWidth="1"/>
    <col min="2819" max="2819" width="45.85546875" customWidth="1"/>
    <col min="2820" max="2820" width="12.5703125" customWidth="1"/>
    <col min="2821" max="2822" width="11" customWidth="1"/>
    <col min="2823" max="2825" width="10.85546875" customWidth="1"/>
    <col min="2826" max="2827" width="12.42578125" customWidth="1"/>
    <col min="2828" max="2829" width="11.5703125" customWidth="1"/>
    <col min="2830" max="2831" width="10.7109375" customWidth="1"/>
    <col min="2833" max="2833" width="12" customWidth="1"/>
    <col min="3073" max="3073" width="10.42578125" customWidth="1"/>
    <col min="3074" max="3074" width="10.5703125" customWidth="1"/>
    <col min="3075" max="3075" width="45.85546875" customWidth="1"/>
    <col min="3076" max="3076" width="12.5703125" customWidth="1"/>
    <col min="3077" max="3078" width="11" customWidth="1"/>
    <col min="3079" max="3081" width="10.85546875" customWidth="1"/>
    <col min="3082" max="3083" width="12.42578125" customWidth="1"/>
    <col min="3084" max="3085" width="11.5703125" customWidth="1"/>
    <col min="3086" max="3087" width="10.7109375" customWidth="1"/>
    <col min="3089" max="3089" width="12" customWidth="1"/>
    <col min="3329" max="3329" width="10.42578125" customWidth="1"/>
    <col min="3330" max="3330" width="10.5703125" customWidth="1"/>
    <col min="3331" max="3331" width="45.85546875" customWidth="1"/>
    <col min="3332" max="3332" width="12.5703125" customWidth="1"/>
    <col min="3333" max="3334" width="11" customWidth="1"/>
    <col min="3335" max="3337" width="10.85546875" customWidth="1"/>
    <col min="3338" max="3339" width="12.42578125" customWidth="1"/>
    <col min="3340" max="3341" width="11.5703125" customWidth="1"/>
    <col min="3342" max="3343" width="10.7109375" customWidth="1"/>
    <col min="3345" max="3345" width="12" customWidth="1"/>
    <col min="3585" max="3585" width="10.42578125" customWidth="1"/>
    <col min="3586" max="3586" width="10.5703125" customWidth="1"/>
    <col min="3587" max="3587" width="45.85546875" customWidth="1"/>
    <col min="3588" max="3588" width="12.5703125" customWidth="1"/>
    <col min="3589" max="3590" width="11" customWidth="1"/>
    <col min="3591" max="3593" width="10.85546875" customWidth="1"/>
    <col min="3594" max="3595" width="12.42578125" customWidth="1"/>
    <col min="3596" max="3597" width="11.5703125" customWidth="1"/>
    <col min="3598" max="3599" width="10.7109375" customWidth="1"/>
    <col min="3601" max="3601" width="12" customWidth="1"/>
    <col min="3841" max="3841" width="10.42578125" customWidth="1"/>
    <col min="3842" max="3842" width="10.5703125" customWidth="1"/>
    <col min="3843" max="3843" width="45.85546875" customWidth="1"/>
    <col min="3844" max="3844" width="12.5703125" customWidth="1"/>
    <col min="3845" max="3846" width="11" customWidth="1"/>
    <col min="3847" max="3849" width="10.85546875" customWidth="1"/>
    <col min="3850" max="3851" width="12.42578125" customWidth="1"/>
    <col min="3852" max="3853" width="11.5703125" customWidth="1"/>
    <col min="3854" max="3855" width="10.7109375" customWidth="1"/>
    <col min="3857" max="3857" width="12" customWidth="1"/>
    <col min="4097" max="4097" width="10.42578125" customWidth="1"/>
    <col min="4098" max="4098" width="10.5703125" customWidth="1"/>
    <col min="4099" max="4099" width="45.85546875" customWidth="1"/>
    <col min="4100" max="4100" width="12.5703125" customWidth="1"/>
    <col min="4101" max="4102" width="11" customWidth="1"/>
    <col min="4103" max="4105" width="10.85546875" customWidth="1"/>
    <col min="4106" max="4107" width="12.42578125" customWidth="1"/>
    <col min="4108" max="4109" width="11.5703125" customWidth="1"/>
    <col min="4110" max="4111" width="10.7109375" customWidth="1"/>
    <col min="4113" max="4113" width="12" customWidth="1"/>
    <col min="4353" max="4353" width="10.42578125" customWidth="1"/>
    <col min="4354" max="4354" width="10.5703125" customWidth="1"/>
    <col min="4355" max="4355" width="45.85546875" customWidth="1"/>
    <col min="4356" max="4356" width="12.5703125" customWidth="1"/>
    <col min="4357" max="4358" width="11" customWidth="1"/>
    <col min="4359" max="4361" width="10.85546875" customWidth="1"/>
    <col min="4362" max="4363" width="12.42578125" customWidth="1"/>
    <col min="4364" max="4365" width="11.5703125" customWidth="1"/>
    <col min="4366" max="4367" width="10.7109375" customWidth="1"/>
    <col min="4369" max="4369" width="12" customWidth="1"/>
    <col min="4609" max="4609" width="10.42578125" customWidth="1"/>
    <col min="4610" max="4610" width="10.5703125" customWidth="1"/>
    <col min="4611" max="4611" width="45.85546875" customWidth="1"/>
    <col min="4612" max="4612" width="12.5703125" customWidth="1"/>
    <col min="4613" max="4614" width="11" customWidth="1"/>
    <col min="4615" max="4617" width="10.85546875" customWidth="1"/>
    <col min="4618" max="4619" width="12.42578125" customWidth="1"/>
    <col min="4620" max="4621" width="11.5703125" customWidth="1"/>
    <col min="4622" max="4623" width="10.7109375" customWidth="1"/>
    <col min="4625" max="4625" width="12" customWidth="1"/>
    <col min="4865" max="4865" width="10.42578125" customWidth="1"/>
    <col min="4866" max="4866" width="10.5703125" customWidth="1"/>
    <col min="4867" max="4867" width="45.85546875" customWidth="1"/>
    <col min="4868" max="4868" width="12.5703125" customWidth="1"/>
    <col min="4869" max="4870" width="11" customWidth="1"/>
    <col min="4871" max="4873" width="10.85546875" customWidth="1"/>
    <col min="4874" max="4875" width="12.42578125" customWidth="1"/>
    <col min="4876" max="4877" width="11.5703125" customWidth="1"/>
    <col min="4878" max="4879" width="10.7109375" customWidth="1"/>
    <col min="4881" max="4881" width="12" customWidth="1"/>
    <col min="5121" max="5121" width="10.42578125" customWidth="1"/>
    <col min="5122" max="5122" width="10.5703125" customWidth="1"/>
    <col min="5123" max="5123" width="45.85546875" customWidth="1"/>
    <col min="5124" max="5124" width="12.5703125" customWidth="1"/>
    <col min="5125" max="5126" width="11" customWidth="1"/>
    <col min="5127" max="5129" width="10.85546875" customWidth="1"/>
    <col min="5130" max="5131" width="12.42578125" customWidth="1"/>
    <col min="5132" max="5133" width="11.5703125" customWidth="1"/>
    <col min="5134" max="5135" width="10.7109375" customWidth="1"/>
    <col min="5137" max="5137" width="12" customWidth="1"/>
    <col min="5377" max="5377" width="10.42578125" customWidth="1"/>
    <col min="5378" max="5378" width="10.5703125" customWidth="1"/>
    <col min="5379" max="5379" width="45.85546875" customWidth="1"/>
    <col min="5380" max="5380" width="12.5703125" customWidth="1"/>
    <col min="5381" max="5382" width="11" customWidth="1"/>
    <col min="5383" max="5385" width="10.85546875" customWidth="1"/>
    <col min="5386" max="5387" width="12.42578125" customWidth="1"/>
    <col min="5388" max="5389" width="11.5703125" customWidth="1"/>
    <col min="5390" max="5391" width="10.7109375" customWidth="1"/>
    <col min="5393" max="5393" width="12" customWidth="1"/>
    <col min="5633" max="5633" width="10.42578125" customWidth="1"/>
    <col min="5634" max="5634" width="10.5703125" customWidth="1"/>
    <col min="5635" max="5635" width="45.85546875" customWidth="1"/>
    <col min="5636" max="5636" width="12.5703125" customWidth="1"/>
    <col min="5637" max="5638" width="11" customWidth="1"/>
    <col min="5639" max="5641" width="10.85546875" customWidth="1"/>
    <col min="5642" max="5643" width="12.42578125" customWidth="1"/>
    <col min="5644" max="5645" width="11.5703125" customWidth="1"/>
    <col min="5646" max="5647" width="10.7109375" customWidth="1"/>
    <col min="5649" max="5649" width="12" customWidth="1"/>
    <col min="5889" max="5889" width="10.42578125" customWidth="1"/>
    <col min="5890" max="5890" width="10.5703125" customWidth="1"/>
    <col min="5891" max="5891" width="45.85546875" customWidth="1"/>
    <col min="5892" max="5892" width="12.5703125" customWidth="1"/>
    <col min="5893" max="5894" width="11" customWidth="1"/>
    <col min="5895" max="5897" width="10.85546875" customWidth="1"/>
    <col min="5898" max="5899" width="12.42578125" customWidth="1"/>
    <col min="5900" max="5901" width="11.5703125" customWidth="1"/>
    <col min="5902" max="5903" width="10.7109375" customWidth="1"/>
    <col min="5905" max="5905" width="12" customWidth="1"/>
    <col min="6145" max="6145" width="10.42578125" customWidth="1"/>
    <col min="6146" max="6146" width="10.5703125" customWidth="1"/>
    <col min="6147" max="6147" width="45.85546875" customWidth="1"/>
    <col min="6148" max="6148" width="12.5703125" customWidth="1"/>
    <col min="6149" max="6150" width="11" customWidth="1"/>
    <col min="6151" max="6153" width="10.85546875" customWidth="1"/>
    <col min="6154" max="6155" width="12.42578125" customWidth="1"/>
    <col min="6156" max="6157" width="11.5703125" customWidth="1"/>
    <col min="6158" max="6159" width="10.7109375" customWidth="1"/>
    <col min="6161" max="6161" width="12" customWidth="1"/>
    <col min="6401" max="6401" width="10.42578125" customWidth="1"/>
    <col min="6402" max="6402" width="10.5703125" customWidth="1"/>
    <col min="6403" max="6403" width="45.85546875" customWidth="1"/>
    <col min="6404" max="6404" width="12.5703125" customWidth="1"/>
    <col min="6405" max="6406" width="11" customWidth="1"/>
    <col min="6407" max="6409" width="10.85546875" customWidth="1"/>
    <col min="6410" max="6411" width="12.42578125" customWidth="1"/>
    <col min="6412" max="6413" width="11.5703125" customWidth="1"/>
    <col min="6414" max="6415" width="10.7109375" customWidth="1"/>
    <col min="6417" max="6417" width="12" customWidth="1"/>
    <col min="6657" max="6657" width="10.42578125" customWidth="1"/>
    <col min="6658" max="6658" width="10.5703125" customWidth="1"/>
    <col min="6659" max="6659" width="45.85546875" customWidth="1"/>
    <col min="6660" max="6660" width="12.5703125" customWidth="1"/>
    <col min="6661" max="6662" width="11" customWidth="1"/>
    <col min="6663" max="6665" width="10.85546875" customWidth="1"/>
    <col min="6666" max="6667" width="12.42578125" customWidth="1"/>
    <col min="6668" max="6669" width="11.5703125" customWidth="1"/>
    <col min="6670" max="6671" width="10.7109375" customWidth="1"/>
    <col min="6673" max="6673" width="12" customWidth="1"/>
    <col min="6913" max="6913" width="10.42578125" customWidth="1"/>
    <col min="6914" max="6914" width="10.5703125" customWidth="1"/>
    <col min="6915" max="6915" width="45.85546875" customWidth="1"/>
    <col min="6916" max="6916" width="12.5703125" customWidth="1"/>
    <col min="6917" max="6918" width="11" customWidth="1"/>
    <col min="6919" max="6921" width="10.85546875" customWidth="1"/>
    <col min="6922" max="6923" width="12.42578125" customWidth="1"/>
    <col min="6924" max="6925" width="11.5703125" customWidth="1"/>
    <col min="6926" max="6927" width="10.7109375" customWidth="1"/>
    <col min="6929" max="6929" width="12" customWidth="1"/>
    <col min="7169" max="7169" width="10.42578125" customWidth="1"/>
    <col min="7170" max="7170" width="10.5703125" customWidth="1"/>
    <col min="7171" max="7171" width="45.85546875" customWidth="1"/>
    <col min="7172" max="7172" width="12.5703125" customWidth="1"/>
    <col min="7173" max="7174" width="11" customWidth="1"/>
    <col min="7175" max="7177" width="10.85546875" customWidth="1"/>
    <col min="7178" max="7179" width="12.42578125" customWidth="1"/>
    <col min="7180" max="7181" width="11.5703125" customWidth="1"/>
    <col min="7182" max="7183" width="10.7109375" customWidth="1"/>
    <col min="7185" max="7185" width="12" customWidth="1"/>
    <col min="7425" max="7425" width="10.42578125" customWidth="1"/>
    <col min="7426" max="7426" width="10.5703125" customWidth="1"/>
    <col min="7427" max="7427" width="45.85546875" customWidth="1"/>
    <col min="7428" max="7428" width="12.5703125" customWidth="1"/>
    <col min="7429" max="7430" width="11" customWidth="1"/>
    <col min="7431" max="7433" width="10.85546875" customWidth="1"/>
    <col min="7434" max="7435" width="12.42578125" customWidth="1"/>
    <col min="7436" max="7437" width="11.5703125" customWidth="1"/>
    <col min="7438" max="7439" width="10.7109375" customWidth="1"/>
    <col min="7441" max="7441" width="12" customWidth="1"/>
    <col min="7681" max="7681" width="10.42578125" customWidth="1"/>
    <col min="7682" max="7682" width="10.5703125" customWidth="1"/>
    <col min="7683" max="7683" width="45.85546875" customWidth="1"/>
    <col min="7684" max="7684" width="12.5703125" customWidth="1"/>
    <col min="7685" max="7686" width="11" customWidth="1"/>
    <col min="7687" max="7689" width="10.85546875" customWidth="1"/>
    <col min="7690" max="7691" width="12.42578125" customWidth="1"/>
    <col min="7692" max="7693" width="11.5703125" customWidth="1"/>
    <col min="7694" max="7695" width="10.7109375" customWidth="1"/>
    <col min="7697" max="7697" width="12" customWidth="1"/>
    <col min="7937" max="7937" width="10.42578125" customWidth="1"/>
    <col min="7938" max="7938" width="10.5703125" customWidth="1"/>
    <col min="7939" max="7939" width="45.85546875" customWidth="1"/>
    <col min="7940" max="7940" width="12.5703125" customWidth="1"/>
    <col min="7941" max="7942" width="11" customWidth="1"/>
    <col min="7943" max="7945" width="10.85546875" customWidth="1"/>
    <col min="7946" max="7947" width="12.42578125" customWidth="1"/>
    <col min="7948" max="7949" width="11.5703125" customWidth="1"/>
    <col min="7950" max="7951" width="10.7109375" customWidth="1"/>
    <col min="7953" max="7953" width="12" customWidth="1"/>
    <col min="8193" max="8193" width="10.42578125" customWidth="1"/>
    <col min="8194" max="8194" width="10.5703125" customWidth="1"/>
    <col min="8195" max="8195" width="45.85546875" customWidth="1"/>
    <col min="8196" max="8196" width="12.5703125" customWidth="1"/>
    <col min="8197" max="8198" width="11" customWidth="1"/>
    <col min="8199" max="8201" width="10.85546875" customWidth="1"/>
    <col min="8202" max="8203" width="12.42578125" customWidth="1"/>
    <col min="8204" max="8205" width="11.5703125" customWidth="1"/>
    <col min="8206" max="8207" width="10.7109375" customWidth="1"/>
    <col min="8209" max="8209" width="12" customWidth="1"/>
    <col min="8449" max="8449" width="10.42578125" customWidth="1"/>
    <col min="8450" max="8450" width="10.5703125" customWidth="1"/>
    <col min="8451" max="8451" width="45.85546875" customWidth="1"/>
    <col min="8452" max="8452" width="12.5703125" customWidth="1"/>
    <col min="8453" max="8454" width="11" customWidth="1"/>
    <col min="8455" max="8457" width="10.85546875" customWidth="1"/>
    <col min="8458" max="8459" width="12.42578125" customWidth="1"/>
    <col min="8460" max="8461" width="11.5703125" customWidth="1"/>
    <col min="8462" max="8463" width="10.7109375" customWidth="1"/>
    <col min="8465" max="8465" width="12" customWidth="1"/>
    <col min="8705" max="8705" width="10.42578125" customWidth="1"/>
    <col min="8706" max="8706" width="10.5703125" customWidth="1"/>
    <col min="8707" max="8707" width="45.85546875" customWidth="1"/>
    <col min="8708" max="8708" width="12.5703125" customWidth="1"/>
    <col min="8709" max="8710" width="11" customWidth="1"/>
    <col min="8711" max="8713" width="10.85546875" customWidth="1"/>
    <col min="8714" max="8715" width="12.42578125" customWidth="1"/>
    <col min="8716" max="8717" width="11.5703125" customWidth="1"/>
    <col min="8718" max="8719" width="10.7109375" customWidth="1"/>
    <col min="8721" max="8721" width="12" customWidth="1"/>
    <col min="8961" max="8961" width="10.42578125" customWidth="1"/>
    <col min="8962" max="8962" width="10.5703125" customWidth="1"/>
    <col min="8963" max="8963" width="45.85546875" customWidth="1"/>
    <col min="8964" max="8964" width="12.5703125" customWidth="1"/>
    <col min="8965" max="8966" width="11" customWidth="1"/>
    <col min="8967" max="8969" width="10.85546875" customWidth="1"/>
    <col min="8970" max="8971" width="12.42578125" customWidth="1"/>
    <col min="8972" max="8973" width="11.5703125" customWidth="1"/>
    <col min="8974" max="8975" width="10.7109375" customWidth="1"/>
    <col min="8977" max="8977" width="12" customWidth="1"/>
    <col min="9217" max="9217" width="10.42578125" customWidth="1"/>
    <col min="9218" max="9218" width="10.5703125" customWidth="1"/>
    <col min="9219" max="9219" width="45.85546875" customWidth="1"/>
    <col min="9220" max="9220" width="12.5703125" customWidth="1"/>
    <col min="9221" max="9222" width="11" customWidth="1"/>
    <col min="9223" max="9225" width="10.85546875" customWidth="1"/>
    <col min="9226" max="9227" width="12.42578125" customWidth="1"/>
    <col min="9228" max="9229" width="11.5703125" customWidth="1"/>
    <col min="9230" max="9231" width="10.7109375" customWidth="1"/>
    <col min="9233" max="9233" width="12" customWidth="1"/>
    <col min="9473" max="9473" width="10.42578125" customWidth="1"/>
    <col min="9474" max="9474" width="10.5703125" customWidth="1"/>
    <col min="9475" max="9475" width="45.85546875" customWidth="1"/>
    <col min="9476" max="9476" width="12.5703125" customWidth="1"/>
    <col min="9477" max="9478" width="11" customWidth="1"/>
    <col min="9479" max="9481" width="10.85546875" customWidth="1"/>
    <col min="9482" max="9483" width="12.42578125" customWidth="1"/>
    <col min="9484" max="9485" width="11.5703125" customWidth="1"/>
    <col min="9486" max="9487" width="10.7109375" customWidth="1"/>
    <col min="9489" max="9489" width="12" customWidth="1"/>
    <col min="9729" max="9729" width="10.42578125" customWidth="1"/>
    <col min="9730" max="9730" width="10.5703125" customWidth="1"/>
    <col min="9731" max="9731" width="45.85546875" customWidth="1"/>
    <col min="9732" max="9732" width="12.5703125" customWidth="1"/>
    <col min="9733" max="9734" width="11" customWidth="1"/>
    <col min="9735" max="9737" width="10.85546875" customWidth="1"/>
    <col min="9738" max="9739" width="12.42578125" customWidth="1"/>
    <col min="9740" max="9741" width="11.5703125" customWidth="1"/>
    <col min="9742" max="9743" width="10.7109375" customWidth="1"/>
    <col min="9745" max="9745" width="12" customWidth="1"/>
    <col min="9985" max="9985" width="10.42578125" customWidth="1"/>
    <col min="9986" max="9986" width="10.5703125" customWidth="1"/>
    <col min="9987" max="9987" width="45.85546875" customWidth="1"/>
    <col min="9988" max="9988" width="12.5703125" customWidth="1"/>
    <col min="9989" max="9990" width="11" customWidth="1"/>
    <col min="9991" max="9993" width="10.85546875" customWidth="1"/>
    <col min="9994" max="9995" width="12.42578125" customWidth="1"/>
    <col min="9996" max="9997" width="11.5703125" customWidth="1"/>
    <col min="9998" max="9999" width="10.7109375" customWidth="1"/>
    <col min="10001" max="10001" width="12" customWidth="1"/>
    <col min="10241" max="10241" width="10.42578125" customWidth="1"/>
    <col min="10242" max="10242" width="10.5703125" customWidth="1"/>
    <col min="10243" max="10243" width="45.85546875" customWidth="1"/>
    <col min="10244" max="10244" width="12.5703125" customWidth="1"/>
    <col min="10245" max="10246" width="11" customWidth="1"/>
    <col min="10247" max="10249" width="10.85546875" customWidth="1"/>
    <col min="10250" max="10251" width="12.42578125" customWidth="1"/>
    <col min="10252" max="10253" width="11.5703125" customWidth="1"/>
    <col min="10254" max="10255" width="10.7109375" customWidth="1"/>
    <col min="10257" max="10257" width="12" customWidth="1"/>
    <col min="10497" max="10497" width="10.42578125" customWidth="1"/>
    <col min="10498" max="10498" width="10.5703125" customWidth="1"/>
    <col min="10499" max="10499" width="45.85546875" customWidth="1"/>
    <col min="10500" max="10500" width="12.5703125" customWidth="1"/>
    <col min="10501" max="10502" width="11" customWidth="1"/>
    <col min="10503" max="10505" width="10.85546875" customWidth="1"/>
    <col min="10506" max="10507" width="12.42578125" customWidth="1"/>
    <col min="10508" max="10509" width="11.5703125" customWidth="1"/>
    <col min="10510" max="10511" width="10.7109375" customWidth="1"/>
    <col min="10513" max="10513" width="12" customWidth="1"/>
    <col min="10753" max="10753" width="10.42578125" customWidth="1"/>
    <col min="10754" max="10754" width="10.5703125" customWidth="1"/>
    <col min="10755" max="10755" width="45.85546875" customWidth="1"/>
    <col min="10756" max="10756" width="12.5703125" customWidth="1"/>
    <col min="10757" max="10758" width="11" customWidth="1"/>
    <col min="10759" max="10761" width="10.85546875" customWidth="1"/>
    <col min="10762" max="10763" width="12.42578125" customWidth="1"/>
    <col min="10764" max="10765" width="11.5703125" customWidth="1"/>
    <col min="10766" max="10767" width="10.7109375" customWidth="1"/>
    <col min="10769" max="10769" width="12" customWidth="1"/>
    <col min="11009" max="11009" width="10.42578125" customWidth="1"/>
    <col min="11010" max="11010" width="10.5703125" customWidth="1"/>
    <col min="11011" max="11011" width="45.85546875" customWidth="1"/>
    <col min="11012" max="11012" width="12.5703125" customWidth="1"/>
    <col min="11013" max="11014" width="11" customWidth="1"/>
    <col min="11015" max="11017" width="10.85546875" customWidth="1"/>
    <col min="11018" max="11019" width="12.42578125" customWidth="1"/>
    <col min="11020" max="11021" width="11.5703125" customWidth="1"/>
    <col min="11022" max="11023" width="10.7109375" customWidth="1"/>
    <col min="11025" max="11025" width="12" customWidth="1"/>
    <col min="11265" max="11265" width="10.42578125" customWidth="1"/>
    <col min="11266" max="11266" width="10.5703125" customWidth="1"/>
    <col min="11267" max="11267" width="45.85546875" customWidth="1"/>
    <col min="11268" max="11268" width="12.5703125" customWidth="1"/>
    <col min="11269" max="11270" width="11" customWidth="1"/>
    <col min="11271" max="11273" width="10.85546875" customWidth="1"/>
    <col min="11274" max="11275" width="12.42578125" customWidth="1"/>
    <col min="11276" max="11277" width="11.5703125" customWidth="1"/>
    <col min="11278" max="11279" width="10.7109375" customWidth="1"/>
    <col min="11281" max="11281" width="12" customWidth="1"/>
    <col min="11521" max="11521" width="10.42578125" customWidth="1"/>
    <col min="11522" max="11522" width="10.5703125" customWidth="1"/>
    <col min="11523" max="11523" width="45.85546875" customWidth="1"/>
    <col min="11524" max="11524" width="12.5703125" customWidth="1"/>
    <col min="11525" max="11526" width="11" customWidth="1"/>
    <col min="11527" max="11529" width="10.85546875" customWidth="1"/>
    <col min="11530" max="11531" width="12.42578125" customWidth="1"/>
    <col min="11532" max="11533" width="11.5703125" customWidth="1"/>
    <col min="11534" max="11535" width="10.7109375" customWidth="1"/>
    <col min="11537" max="11537" width="12" customWidth="1"/>
    <col min="11777" max="11777" width="10.42578125" customWidth="1"/>
    <col min="11778" max="11778" width="10.5703125" customWidth="1"/>
    <col min="11779" max="11779" width="45.85546875" customWidth="1"/>
    <col min="11780" max="11780" width="12.5703125" customWidth="1"/>
    <col min="11781" max="11782" width="11" customWidth="1"/>
    <col min="11783" max="11785" width="10.85546875" customWidth="1"/>
    <col min="11786" max="11787" width="12.42578125" customWidth="1"/>
    <col min="11788" max="11789" width="11.5703125" customWidth="1"/>
    <col min="11790" max="11791" width="10.7109375" customWidth="1"/>
    <col min="11793" max="11793" width="12" customWidth="1"/>
    <col min="12033" max="12033" width="10.42578125" customWidth="1"/>
    <col min="12034" max="12034" width="10.5703125" customWidth="1"/>
    <col min="12035" max="12035" width="45.85546875" customWidth="1"/>
    <col min="12036" max="12036" width="12.5703125" customWidth="1"/>
    <col min="12037" max="12038" width="11" customWidth="1"/>
    <col min="12039" max="12041" width="10.85546875" customWidth="1"/>
    <col min="12042" max="12043" width="12.42578125" customWidth="1"/>
    <col min="12044" max="12045" width="11.5703125" customWidth="1"/>
    <col min="12046" max="12047" width="10.7109375" customWidth="1"/>
    <col min="12049" max="12049" width="12" customWidth="1"/>
    <col min="12289" max="12289" width="10.42578125" customWidth="1"/>
    <col min="12290" max="12290" width="10.5703125" customWidth="1"/>
    <col min="12291" max="12291" width="45.85546875" customWidth="1"/>
    <col min="12292" max="12292" width="12.5703125" customWidth="1"/>
    <col min="12293" max="12294" width="11" customWidth="1"/>
    <col min="12295" max="12297" width="10.85546875" customWidth="1"/>
    <col min="12298" max="12299" width="12.42578125" customWidth="1"/>
    <col min="12300" max="12301" width="11.5703125" customWidth="1"/>
    <col min="12302" max="12303" width="10.7109375" customWidth="1"/>
    <col min="12305" max="12305" width="12" customWidth="1"/>
    <col min="12545" max="12545" width="10.42578125" customWidth="1"/>
    <col min="12546" max="12546" width="10.5703125" customWidth="1"/>
    <col min="12547" max="12547" width="45.85546875" customWidth="1"/>
    <col min="12548" max="12548" width="12.5703125" customWidth="1"/>
    <col min="12549" max="12550" width="11" customWidth="1"/>
    <col min="12551" max="12553" width="10.85546875" customWidth="1"/>
    <col min="12554" max="12555" width="12.42578125" customWidth="1"/>
    <col min="12556" max="12557" width="11.5703125" customWidth="1"/>
    <col min="12558" max="12559" width="10.7109375" customWidth="1"/>
    <col min="12561" max="12561" width="12" customWidth="1"/>
    <col min="12801" max="12801" width="10.42578125" customWidth="1"/>
    <col min="12802" max="12802" width="10.5703125" customWidth="1"/>
    <col min="12803" max="12803" width="45.85546875" customWidth="1"/>
    <col min="12804" max="12804" width="12.5703125" customWidth="1"/>
    <col min="12805" max="12806" width="11" customWidth="1"/>
    <col min="12807" max="12809" width="10.85546875" customWidth="1"/>
    <col min="12810" max="12811" width="12.42578125" customWidth="1"/>
    <col min="12812" max="12813" width="11.5703125" customWidth="1"/>
    <col min="12814" max="12815" width="10.7109375" customWidth="1"/>
    <col min="12817" max="12817" width="12" customWidth="1"/>
    <col min="13057" max="13057" width="10.42578125" customWidth="1"/>
    <col min="13058" max="13058" width="10.5703125" customWidth="1"/>
    <col min="13059" max="13059" width="45.85546875" customWidth="1"/>
    <col min="13060" max="13060" width="12.5703125" customWidth="1"/>
    <col min="13061" max="13062" width="11" customWidth="1"/>
    <col min="13063" max="13065" width="10.85546875" customWidth="1"/>
    <col min="13066" max="13067" width="12.42578125" customWidth="1"/>
    <col min="13068" max="13069" width="11.5703125" customWidth="1"/>
    <col min="13070" max="13071" width="10.7109375" customWidth="1"/>
    <col min="13073" max="13073" width="12" customWidth="1"/>
    <col min="13313" max="13313" width="10.42578125" customWidth="1"/>
    <col min="13314" max="13314" width="10.5703125" customWidth="1"/>
    <col min="13315" max="13315" width="45.85546875" customWidth="1"/>
    <col min="13316" max="13316" width="12.5703125" customWidth="1"/>
    <col min="13317" max="13318" width="11" customWidth="1"/>
    <col min="13319" max="13321" width="10.85546875" customWidth="1"/>
    <col min="13322" max="13323" width="12.42578125" customWidth="1"/>
    <col min="13324" max="13325" width="11.5703125" customWidth="1"/>
    <col min="13326" max="13327" width="10.7109375" customWidth="1"/>
    <col min="13329" max="13329" width="12" customWidth="1"/>
    <col min="13569" max="13569" width="10.42578125" customWidth="1"/>
    <col min="13570" max="13570" width="10.5703125" customWidth="1"/>
    <col min="13571" max="13571" width="45.85546875" customWidth="1"/>
    <col min="13572" max="13572" width="12.5703125" customWidth="1"/>
    <col min="13573" max="13574" width="11" customWidth="1"/>
    <col min="13575" max="13577" width="10.85546875" customWidth="1"/>
    <col min="13578" max="13579" width="12.42578125" customWidth="1"/>
    <col min="13580" max="13581" width="11.5703125" customWidth="1"/>
    <col min="13582" max="13583" width="10.7109375" customWidth="1"/>
    <col min="13585" max="13585" width="12" customWidth="1"/>
    <col min="13825" max="13825" width="10.42578125" customWidth="1"/>
    <col min="13826" max="13826" width="10.5703125" customWidth="1"/>
    <col min="13827" max="13827" width="45.85546875" customWidth="1"/>
    <col min="13828" max="13828" width="12.5703125" customWidth="1"/>
    <col min="13829" max="13830" width="11" customWidth="1"/>
    <col min="13831" max="13833" width="10.85546875" customWidth="1"/>
    <col min="13834" max="13835" width="12.42578125" customWidth="1"/>
    <col min="13836" max="13837" width="11.5703125" customWidth="1"/>
    <col min="13838" max="13839" width="10.7109375" customWidth="1"/>
    <col min="13841" max="13841" width="12" customWidth="1"/>
    <col min="14081" max="14081" width="10.42578125" customWidth="1"/>
    <col min="14082" max="14082" width="10.5703125" customWidth="1"/>
    <col min="14083" max="14083" width="45.85546875" customWidth="1"/>
    <col min="14084" max="14084" width="12.5703125" customWidth="1"/>
    <col min="14085" max="14086" width="11" customWidth="1"/>
    <col min="14087" max="14089" width="10.85546875" customWidth="1"/>
    <col min="14090" max="14091" width="12.42578125" customWidth="1"/>
    <col min="14092" max="14093" width="11.5703125" customWidth="1"/>
    <col min="14094" max="14095" width="10.7109375" customWidth="1"/>
    <col min="14097" max="14097" width="12" customWidth="1"/>
    <col min="14337" max="14337" width="10.42578125" customWidth="1"/>
    <col min="14338" max="14338" width="10.5703125" customWidth="1"/>
    <col min="14339" max="14339" width="45.85546875" customWidth="1"/>
    <col min="14340" max="14340" width="12.5703125" customWidth="1"/>
    <col min="14341" max="14342" width="11" customWidth="1"/>
    <col min="14343" max="14345" width="10.85546875" customWidth="1"/>
    <col min="14346" max="14347" width="12.42578125" customWidth="1"/>
    <col min="14348" max="14349" width="11.5703125" customWidth="1"/>
    <col min="14350" max="14351" width="10.7109375" customWidth="1"/>
    <col min="14353" max="14353" width="12" customWidth="1"/>
    <col min="14593" max="14593" width="10.42578125" customWidth="1"/>
    <col min="14594" max="14594" width="10.5703125" customWidth="1"/>
    <col min="14595" max="14595" width="45.85546875" customWidth="1"/>
    <col min="14596" max="14596" width="12.5703125" customWidth="1"/>
    <col min="14597" max="14598" width="11" customWidth="1"/>
    <col min="14599" max="14601" width="10.85546875" customWidth="1"/>
    <col min="14602" max="14603" width="12.42578125" customWidth="1"/>
    <col min="14604" max="14605" width="11.5703125" customWidth="1"/>
    <col min="14606" max="14607" width="10.7109375" customWidth="1"/>
    <col min="14609" max="14609" width="12" customWidth="1"/>
    <col min="14849" max="14849" width="10.42578125" customWidth="1"/>
    <col min="14850" max="14850" width="10.5703125" customWidth="1"/>
    <col min="14851" max="14851" width="45.85546875" customWidth="1"/>
    <col min="14852" max="14852" width="12.5703125" customWidth="1"/>
    <col min="14853" max="14854" width="11" customWidth="1"/>
    <col min="14855" max="14857" width="10.85546875" customWidth="1"/>
    <col min="14858" max="14859" width="12.42578125" customWidth="1"/>
    <col min="14860" max="14861" width="11.5703125" customWidth="1"/>
    <col min="14862" max="14863" width="10.7109375" customWidth="1"/>
    <col min="14865" max="14865" width="12" customWidth="1"/>
    <col min="15105" max="15105" width="10.42578125" customWidth="1"/>
    <col min="15106" max="15106" width="10.5703125" customWidth="1"/>
    <col min="15107" max="15107" width="45.85546875" customWidth="1"/>
    <col min="15108" max="15108" width="12.5703125" customWidth="1"/>
    <col min="15109" max="15110" width="11" customWidth="1"/>
    <col min="15111" max="15113" width="10.85546875" customWidth="1"/>
    <col min="15114" max="15115" width="12.42578125" customWidth="1"/>
    <col min="15116" max="15117" width="11.5703125" customWidth="1"/>
    <col min="15118" max="15119" width="10.7109375" customWidth="1"/>
    <col min="15121" max="15121" width="12" customWidth="1"/>
    <col min="15361" max="15361" width="10.42578125" customWidth="1"/>
    <col min="15362" max="15362" width="10.5703125" customWidth="1"/>
    <col min="15363" max="15363" width="45.85546875" customWidth="1"/>
    <col min="15364" max="15364" width="12.5703125" customWidth="1"/>
    <col min="15365" max="15366" width="11" customWidth="1"/>
    <col min="15367" max="15369" width="10.85546875" customWidth="1"/>
    <col min="15370" max="15371" width="12.42578125" customWidth="1"/>
    <col min="15372" max="15373" width="11.5703125" customWidth="1"/>
    <col min="15374" max="15375" width="10.7109375" customWidth="1"/>
    <col min="15377" max="15377" width="12" customWidth="1"/>
    <col min="15617" max="15617" width="10.42578125" customWidth="1"/>
    <col min="15618" max="15618" width="10.5703125" customWidth="1"/>
    <col min="15619" max="15619" width="45.85546875" customWidth="1"/>
    <col min="15620" max="15620" width="12.5703125" customWidth="1"/>
    <col min="15621" max="15622" width="11" customWidth="1"/>
    <col min="15623" max="15625" width="10.85546875" customWidth="1"/>
    <col min="15626" max="15627" width="12.42578125" customWidth="1"/>
    <col min="15628" max="15629" width="11.5703125" customWidth="1"/>
    <col min="15630" max="15631" width="10.7109375" customWidth="1"/>
    <col min="15633" max="15633" width="12" customWidth="1"/>
    <col min="15873" max="15873" width="10.42578125" customWidth="1"/>
    <col min="15874" max="15874" width="10.5703125" customWidth="1"/>
    <col min="15875" max="15875" width="45.85546875" customWidth="1"/>
    <col min="15876" max="15876" width="12.5703125" customWidth="1"/>
    <col min="15877" max="15878" width="11" customWidth="1"/>
    <col min="15879" max="15881" width="10.85546875" customWidth="1"/>
    <col min="15882" max="15883" width="12.42578125" customWidth="1"/>
    <col min="15884" max="15885" width="11.5703125" customWidth="1"/>
    <col min="15886" max="15887" width="10.7109375" customWidth="1"/>
    <col min="15889" max="15889" width="12" customWidth="1"/>
    <col min="16129" max="16129" width="10.42578125" customWidth="1"/>
    <col min="16130" max="16130" width="10.5703125" customWidth="1"/>
    <col min="16131" max="16131" width="45.85546875" customWidth="1"/>
    <col min="16132" max="16132" width="12.5703125" customWidth="1"/>
    <col min="16133" max="16134" width="11" customWidth="1"/>
    <col min="16135" max="16137" width="10.85546875" customWidth="1"/>
    <col min="16138" max="16139" width="12.42578125" customWidth="1"/>
    <col min="16140" max="16141" width="11.5703125" customWidth="1"/>
    <col min="16142" max="16143" width="10.7109375" customWidth="1"/>
    <col min="16145" max="16145" width="12" customWidth="1"/>
  </cols>
  <sheetData>
    <row r="2" spans="1:18" ht="20.25" x14ac:dyDescent="0.3">
      <c r="A2" s="356" t="s">
        <v>0</v>
      </c>
      <c r="B2" s="356"/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</row>
    <row r="3" spans="1:18" ht="20.25" x14ac:dyDescent="0.3">
      <c r="A3" s="356" t="s">
        <v>1</v>
      </c>
      <c r="B3" s="356"/>
      <c r="C3" s="356"/>
      <c r="D3" s="356"/>
      <c r="E3" s="356"/>
      <c r="F3" s="356"/>
      <c r="G3" s="356"/>
      <c r="H3" s="356"/>
      <c r="I3" s="356"/>
      <c r="J3" s="356"/>
      <c r="K3" s="356"/>
      <c r="L3" s="356"/>
      <c r="M3" s="356"/>
      <c r="N3" s="356"/>
      <c r="O3" s="356"/>
      <c r="P3" s="356"/>
      <c r="Q3" s="356"/>
    </row>
    <row r="4" spans="1:18" ht="20.25" x14ac:dyDescent="0.3">
      <c r="A4" s="356" t="s">
        <v>62</v>
      </c>
      <c r="B4" s="356"/>
      <c r="C4" s="356"/>
      <c r="D4" s="356"/>
      <c r="E4" s="356"/>
      <c r="F4" s="356"/>
      <c r="G4" s="356"/>
      <c r="H4" s="356"/>
      <c r="I4" s="356"/>
      <c r="J4" s="356"/>
      <c r="K4" s="356"/>
      <c r="L4" s="356"/>
      <c r="M4" s="356"/>
      <c r="N4" s="356"/>
      <c r="O4" s="356"/>
      <c r="P4" s="356"/>
      <c r="Q4" s="356"/>
    </row>
    <row r="5" spans="1:18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8" x14ac:dyDescent="0.2">
      <c r="A6" s="357" t="s">
        <v>2</v>
      </c>
      <c r="B6" s="357" t="s">
        <v>3</v>
      </c>
      <c r="C6" s="357" t="s">
        <v>4</v>
      </c>
      <c r="D6" s="360" t="s">
        <v>5</v>
      </c>
      <c r="E6" s="361"/>
      <c r="F6" s="360" t="s">
        <v>6</v>
      </c>
      <c r="G6" s="361"/>
      <c r="H6" s="360" t="s">
        <v>7</v>
      </c>
      <c r="I6" s="361"/>
      <c r="J6" s="360" t="s">
        <v>8</v>
      </c>
      <c r="K6" s="361"/>
      <c r="L6" s="360" t="s">
        <v>9</v>
      </c>
      <c r="M6" s="361"/>
      <c r="N6" s="360" t="s">
        <v>10</v>
      </c>
      <c r="O6" s="361"/>
      <c r="P6" s="360" t="s">
        <v>11</v>
      </c>
      <c r="Q6" s="361"/>
    </row>
    <row r="7" spans="1:18" x14ac:dyDescent="0.2">
      <c r="A7" s="358"/>
      <c r="B7" s="358"/>
      <c r="C7" s="358"/>
      <c r="D7" s="362">
        <v>26</v>
      </c>
      <c r="E7" s="363"/>
      <c r="F7" s="362">
        <f>1+D7</f>
        <v>27</v>
      </c>
      <c r="G7" s="363"/>
      <c r="H7" s="362">
        <f>1+F7</f>
        <v>28</v>
      </c>
      <c r="I7" s="363"/>
      <c r="J7" s="362">
        <v>29</v>
      </c>
      <c r="K7" s="363"/>
      <c r="L7" s="362">
        <v>30</v>
      </c>
      <c r="M7" s="363"/>
      <c r="N7" s="362">
        <v>1</v>
      </c>
      <c r="O7" s="363"/>
      <c r="P7" s="362">
        <f>1+N7</f>
        <v>2</v>
      </c>
      <c r="Q7" s="363"/>
    </row>
    <row r="8" spans="1:18" ht="13.5" thickBot="1" x14ac:dyDescent="0.25">
      <c r="A8" s="359"/>
      <c r="B8" s="359"/>
      <c r="C8" s="359"/>
      <c r="D8" s="2" t="s">
        <v>12</v>
      </c>
      <c r="E8" s="3" t="s">
        <v>13</v>
      </c>
      <c r="F8" s="4" t="s">
        <v>12</v>
      </c>
      <c r="G8" s="3" t="s">
        <v>13</v>
      </c>
      <c r="H8" s="4" t="s">
        <v>12</v>
      </c>
      <c r="I8" s="3" t="s">
        <v>13</v>
      </c>
      <c r="J8" s="4" t="s">
        <v>12</v>
      </c>
      <c r="K8" s="3" t="s">
        <v>13</v>
      </c>
      <c r="L8" s="4" t="s">
        <v>12</v>
      </c>
      <c r="M8" s="3" t="s">
        <v>13</v>
      </c>
      <c r="N8" s="4" t="s">
        <v>12</v>
      </c>
      <c r="O8" s="3" t="s">
        <v>13</v>
      </c>
      <c r="P8" s="4" t="s">
        <v>12</v>
      </c>
      <c r="Q8" s="3" t="s">
        <v>13</v>
      </c>
    </row>
    <row r="9" spans="1:18" x14ac:dyDescent="0.2">
      <c r="A9" s="364" t="s">
        <v>14</v>
      </c>
      <c r="B9" s="5" t="s">
        <v>15</v>
      </c>
      <c r="C9" s="5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8"/>
    </row>
    <row r="10" spans="1:18" x14ac:dyDescent="0.2">
      <c r="A10" s="365"/>
      <c r="B10" s="9" t="s">
        <v>16</v>
      </c>
      <c r="C10" s="103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8" ht="13.5" thickBot="1" x14ac:dyDescent="0.25">
      <c r="A11" s="366"/>
      <c r="B11" s="11"/>
      <c r="C11" s="10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</row>
    <row r="12" spans="1:18" x14ac:dyDescent="0.2">
      <c r="A12" s="364" t="s">
        <v>64</v>
      </c>
      <c r="B12" s="5" t="s">
        <v>15</v>
      </c>
      <c r="C12" s="5"/>
      <c r="D12" s="7"/>
      <c r="E12" s="7"/>
      <c r="F12" s="7"/>
      <c r="G12" s="7"/>
      <c r="H12" s="124"/>
      <c r="I12" s="124"/>
      <c r="J12" s="220"/>
      <c r="K12" s="220"/>
      <c r="L12" s="220"/>
      <c r="M12" s="220"/>
      <c r="N12" s="220"/>
      <c r="O12" s="220"/>
      <c r="P12" s="220"/>
      <c r="Q12" s="220"/>
    </row>
    <row r="13" spans="1:18" x14ac:dyDescent="0.2">
      <c r="A13" s="365"/>
      <c r="B13" s="16" t="s">
        <v>16</v>
      </c>
      <c r="C13" s="21"/>
      <c r="D13" s="7"/>
      <c r="E13" s="7"/>
      <c r="F13" s="7"/>
      <c r="G13" s="7"/>
      <c r="H13" s="217"/>
      <c r="I13" s="217"/>
      <c r="J13" s="218"/>
      <c r="K13" s="218"/>
      <c r="L13" s="218"/>
      <c r="M13" s="218"/>
      <c r="N13" s="218"/>
      <c r="O13" s="218"/>
      <c r="P13" s="218"/>
      <c r="Q13" s="218"/>
    </row>
    <row r="14" spans="1:18" ht="13.5" thickBot="1" x14ac:dyDescent="0.25">
      <c r="A14" s="366"/>
      <c r="B14" s="16" t="s">
        <v>16</v>
      </c>
      <c r="C14" s="9"/>
      <c r="D14" s="11"/>
      <c r="E14" s="11"/>
      <c r="F14" s="11"/>
      <c r="G14" s="11"/>
      <c r="H14" s="125"/>
      <c r="I14" s="125"/>
      <c r="J14" s="227"/>
      <c r="K14" s="227"/>
      <c r="L14" s="227"/>
      <c r="M14" s="227"/>
      <c r="N14" s="227"/>
      <c r="O14" s="227"/>
      <c r="P14" s="227"/>
      <c r="Q14" s="227"/>
    </row>
    <row r="15" spans="1:18" x14ac:dyDescent="0.2">
      <c r="A15" s="364" t="s">
        <v>63</v>
      </c>
      <c r="B15" s="5" t="s">
        <v>15</v>
      </c>
      <c r="C15" s="15"/>
      <c r="D15" s="7"/>
      <c r="E15" s="7"/>
      <c r="F15" s="7"/>
      <c r="G15" s="7"/>
      <c r="H15" s="124"/>
      <c r="I15" s="124"/>
      <c r="J15" s="220"/>
      <c r="K15" s="220"/>
      <c r="L15" s="220"/>
      <c r="M15" s="220"/>
      <c r="N15" s="220"/>
      <c r="O15" s="220"/>
      <c r="P15" s="220"/>
      <c r="Q15" s="220"/>
    </row>
    <row r="16" spans="1:18" x14ac:dyDescent="0.2">
      <c r="A16" s="365"/>
      <c r="B16" s="16" t="s">
        <v>16</v>
      </c>
      <c r="C16" s="31"/>
      <c r="D16" s="7"/>
      <c r="E16" s="7"/>
      <c r="F16" s="7"/>
      <c r="G16" s="7"/>
      <c r="H16" s="217"/>
      <c r="I16" s="217"/>
      <c r="J16" s="218"/>
      <c r="K16" s="218"/>
      <c r="L16" s="218"/>
      <c r="M16" s="218"/>
      <c r="N16" s="218"/>
      <c r="O16" s="218"/>
      <c r="P16" s="218"/>
      <c r="Q16" s="218"/>
      <c r="R16" s="219"/>
    </row>
    <row r="17" spans="1:17" ht="13.5" thickBot="1" x14ac:dyDescent="0.25">
      <c r="A17" s="366"/>
      <c r="B17" s="17"/>
      <c r="C17" s="31"/>
      <c r="D17" s="11"/>
      <c r="E17" s="11"/>
      <c r="F17" s="11"/>
      <c r="G17" s="11"/>
      <c r="H17" s="125"/>
      <c r="I17" s="125"/>
      <c r="J17" s="227"/>
      <c r="K17" s="227"/>
      <c r="L17" s="227"/>
      <c r="M17" s="227"/>
      <c r="N17" s="227"/>
      <c r="O17" s="227"/>
      <c r="P17" s="227"/>
      <c r="Q17" s="227"/>
    </row>
    <row r="18" spans="1:17" x14ac:dyDescent="0.2">
      <c r="A18" s="364" t="s">
        <v>17</v>
      </c>
      <c r="B18" s="19" t="s">
        <v>15</v>
      </c>
      <c r="C18" s="1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">
      <c r="A19" s="365"/>
      <c r="B19" s="9" t="s">
        <v>16</v>
      </c>
      <c r="C19" s="103"/>
      <c r="D19" s="112"/>
      <c r="E19" s="112"/>
      <c r="F19" s="112"/>
      <c r="G19" s="112"/>
      <c r="H19" s="112"/>
      <c r="I19" s="112"/>
      <c r="J19" s="7"/>
      <c r="K19" s="7"/>
      <c r="L19" s="7"/>
      <c r="M19" s="7"/>
      <c r="N19" s="7"/>
      <c r="O19" s="7"/>
      <c r="P19" s="7"/>
      <c r="Q19" s="7"/>
    </row>
    <row r="20" spans="1:17" ht="13.5" thickBot="1" x14ac:dyDescent="0.25">
      <c r="A20" s="366"/>
      <c r="B20" s="17" t="s">
        <v>16</v>
      </c>
      <c r="C20" s="1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</row>
    <row r="21" spans="1:17" x14ac:dyDescent="0.2">
      <c r="A21" s="364" t="s">
        <v>18</v>
      </c>
      <c r="B21" s="9" t="s">
        <v>15</v>
      </c>
      <c r="C21" s="5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x14ac:dyDescent="0.2">
      <c r="A22" s="365"/>
      <c r="B22" s="9" t="s">
        <v>16</v>
      </c>
      <c r="C22" s="103"/>
      <c r="D22" s="112"/>
      <c r="E22" s="112"/>
      <c r="F22" s="112"/>
      <c r="G22" s="112"/>
      <c r="H22" s="112"/>
      <c r="I22" s="112"/>
      <c r="J22" s="355"/>
      <c r="K22" s="355"/>
      <c r="L22" s="355"/>
      <c r="M22" s="355"/>
      <c r="N22" s="355"/>
      <c r="O22" s="355"/>
      <c r="P22" s="355"/>
      <c r="Q22" s="355"/>
    </row>
    <row r="23" spans="1:17" ht="13.5" thickBot="1" x14ac:dyDescent="0.25">
      <c r="A23" s="366"/>
      <c r="B23" s="17"/>
      <c r="C23" s="10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x14ac:dyDescent="0.2">
      <c r="A24" s="364" t="s">
        <v>19</v>
      </c>
      <c r="B24" s="5" t="s">
        <v>15</v>
      </c>
      <c r="C24" s="15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x14ac:dyDescent="0.2">
      <c r="A25" s="365"/>
      <c r="B25" s="9" t="s">
        <v>16</v>
      </c>
      <c r="C25" s="103"/>
      <c r="D25" s="112"/>
      <c r="E25" s="112"/>
      <c r="F25" s="112"/>
      <c r="G25" s="112"/>
      <c r="H25" s="112"/>
      <c r="I25" s="112"/>
      <c r="J25" s="355"/>
      <c r="K25" s="355"/>
      <c r="L25" s="355"/>
      <c r="M25" s="355"/>
      <c r="N25" s="355"/>
      <c r="O25" s="355"/>
      <c r="P25" s="355"/>
      <c r="Q25" s="355"/>
    </row>
    <row r="26" spans="1:17" x14ac:dyDescent="0.2">
      <c r="A26" s="366"/>
      <c r="B26" s="11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x14ac:dyDescent="0.2">
      <c r="A27" s="364" t="s">
        <v>20</v>
      </c>
      <c r="B27" s="21" t="s">
        <v>16</v>
      </c>
      <c r="C27" s="5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x14ac:dyDescent="0.2">
      <c r="A28" s="365"/>
      <c r="B28" s="9" t="s">
        <v>16</v>
      </c>
      <c r="C28" s="25"/>
      <c r="D28" s="112"/>
      <c r="E28" s="112"/>
      <c r="F28" s="112"/>
      <c r="G28" s="112"/>
      <c r="H28" s="112"/>
      <c r="I28" s="112"/>
      <c r="J28" s="355"/>
      <c r="K28" s="355"/>
      <c r="L28" s="355"/>
      <c r="M28" s="355"/>
      <c r="N28" s="355"/>
      <c r="O28" s="355"/>
      <c r="P28" s="355"/>
      <c r="Q28" s="355"/>
    </row>
    <row r="29" spans="1:17" ht="13.5" thickBot="1" x14ac:dyDescent="0.25">
      <c r="A29" s="366"/>
      <c r="B29" s="23"/>
      <c r="C29" s="2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 x14ac:dyDescent="0.2">
      <c r="A30" s="364" t="s">
        <v>21</v>
      </c>
      <c r="B30" s="5" t="s">
        <v>15</v>
      </c>
      <c r="C30" s="5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">
      <c r="A31" s="365"/>
      <c r="B31" s="9" t="s">
        <v>16</v>
      </c>
      <c r="C31" s="109"/>
      <c r="D31" s="112"/>
      <c r="E31" s="112"/>
      <c r="F31" s="112"/>
      <c r="G31" s="112"/>
      <c r="H31" s="112"/>
      <c r="I31" s="112"/>
      <c r="J31" s="7"/>
      <c r="K31" s="7"/>
      <c r="L31" s="7"/>
      <c r="M31" s="7"/>
      <c r="N31" s="7"/>
      <c r="O31" s="7"/>
      <c r="P31" s="7"/>
      <c r="Q31" s="7"/>
    </row>
    <row r="32" spans="1:17" ht="13.5" thickBot="1" x14ac:dyDescent="0.25">
      <c r="A32" s="366"/>
      <c r="B32" s="17"/>
      <c r="C32" s="11"/>
      <c r="D32" s="13"/>
      <c r="E32" s="13"/>
      <c r="F32" s="13"/>
      <c r="G32" s="13"/>
      <c r="H32" s="13"/>
      <c r="I32" s="13"/>
      <c r="J32" s="14"/>
      <c r="K32" s="24"/>
      <c r="L32" s="14"/>
      <c r="M32" s="24"/>
      <c r="N32" s="14"/>
      <c r="O32" s="24"/>
      <c r="P32" s="14"/>
      <c r="Q32" s="24"/>
    </row>
    <row r="33" spans="1:17" x14ac:dyDescent="0.2">
      <c r="A33" s="364" t="s">
        <v>22</v>
      </c>
      <c r="B33" s="5" t="s">
        <v>15</v>
      </c>
      <c r="C33" s="9"/>
      <c r="D33" s="8"/>
      <c r="E33" s="20"/>
      <c r="F33" s="8"/>
      <c r="G33" s="20"/>
      <c r="H33" s="104"/>
      <c r="I33" s="104"/>
      <c r="J33" s="104"/>
      <c r="K33" s="104"/>
      <c r="L33" s="8"/>
      <c r="M33" s="20"/>
      <c r="N33" s="8"/>
      <c r="O33" s="20"/>
      <c r="P33" s="8"/>
      <c r="Q33" s="20"/>
    </row>
    <row r="34" spans="1:17" x14ac:dyDescent="0.2">
      <c r="A34" s="365"/>
      <c r="B34" s="23" t="s">
        <v>16</v>
      </c>
      <c r="C34" s="23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ht="13.5" thickBot="1" x14ac:dyDescent="0.25">
      <c r="A35" s="366"/>
      <c r="B35" s="17"/>
      <c r="C35" s="26"/>
      <c r="D35" s="14"/>
      <c r="E35" s="24"/>
      <c r="F35" s="14"/>
      <c r="G35" s="24"/>
      <c r="H35" s="14"/>
      <c r="I35" s="24"/>
      <c r="J35" s="102"/>
      <c r="K35" s="113"/>
      <c r="L35" s="14"/>
      <c r="M35" s="24"/>
      <c r="N35" s="14"/>
      <c r="O35" s="24"/>
      <c r="P35" s="14"/>
      <c r="Q35" s="24"/>
    </row>
    <row r="36" spans="1:17" x14ac:dyDescent="0.2">
      <c r="A36" s="364" t="s">
        <v>23</v>
      </c>
      <c r="B36" s="5" t="s">
        <v>15</v>
      </c>
      <c r="C36" s="5"/>
      <c r="D36" s="8"/>
      <c r="E36" s="20"/>
      <c r="F36" s="8"/>
      <c r="G36" s="20"/>
      <c r="H36" s="8"/>
      <c r="I36" s="20"/>
      <c r="J36" s="8"/>
      <c r="K36" s="20"/>
      <c r="L36" s="8"/>
      <c r="M36" s="20"/>
      <c r="N36" s="8"/>
      <c r="O36" s="20"/>
      <c r="P36" s="8"/>
      <c r="Q36" s="20"/>
    </row>
    <row r="37" spans="1:17" x14ac:dyDescent="0.2">
      <c r="A37" s="365"/>
      <c r="B37" s="9" t="s">
        <v>16</v>
      </c>
      <c r="C37" s="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ht="13.5" thickBot="1" x14ac:dyDescent="0.25">
      <c r="A38" s="366"/>
      <c r="B38" s="17"/>
      <c r="C38" s="26"/>
      <c r="D38" s="14"/>
      <c r="E38" s="24"/>
      <c r="F38" s="14"/>
      <c r="G38" s="24"/>
      <c r="H38" s="14"/>
      <c r="I38" s="24"/>
      <c r="J38" s="102"/>
      <c r="K38" s="113"/>
      <c r="L38" s="102"/>
      <c r="M38" s="113"/>
      <c r="N38" s="102"/>
      <c r="O38" s="113"/>
      <c r="P38" s="102"/>
      <c r="Q38" s="113"/>
    </row>
    <row r="39" spans="1:17" x14ac:dyDescent="0.2">
      <c r="A39" s="364" t="s">
        <v>24</v>
      </c>
      <c r="B39" s="5" t="s">
        <v>15</v>
      </c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">
      <c r="A40" s="365"/>
      <c r="B40" s="23" t="s">
        <v>16</v>
      </c>
      <c r="C40" s="9"/>
      <c r="D40" s="112"/>
      <c r="E40" s="112"/>
      <c r="F40" s="112"/>
      <c r="G40" s="112"/>
      <c r="H40" s="112"/>
      <c r="I40" s="112"/>
      <c r="J40" s="355"/>
      <c r="K40" s="355"/>
      <c r="L40" s="355"/>
      <c r="M40" s="355"/>
      <c r="N40" s="355"/>
      <c r="O40" s="355"/>
      <c r="P40" s="355"/>
      <c r="Q40" s="355"/>
    </row>
    <row r="41" spans="1:17" ht="13.5" thickBot="1" x14ac:dyDescent="0.25">
      <c r="A41" s="366"/>
      <c r="B41" s="17"/>
      <c r="C41" s="9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 x14ac:dyDescent="0.2">
      <c r="A42" s="364" t="s">
        <v>25</v>
      </c>
      <c r="B42" s="5" t="s">
        <v>15</v>
      </c>
      <c r="C42" s="6"/>
      <c r="D42" s="8"/>
      <c r="E42" s="20"/>
      <c r="F42" s="8"/>
      <c r="G42" s="20"/>
      <c r="H42" s="8"/>
      <c r="I42" s="20"/>
      <c r="J42" s="8"/>
      <c r="K42" s="8"/>
      <c r="L42" s="8"/>
      <c r="M42" s="8"/>
      <c r="N42" s="8"/>
      <c r="O42" s="8"/>
      <c r="P42" s="8"/>
      <c r="Q42" s="224"/>
    </row>
    <row r="43" spans="1:17" x14ac:dyDescent="0.2">
      <c r="A43" s="365"/>
      <c r="B43" s="9" t="s">
        <v>16</v>
      </c>
      <c r="C43" s="10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225"/>
    </row>
    <row r="44" spans="1:17" ht="13.5" thickBot="1" x14ac:dyDescent="0.25">
      <c r="A44" s="366"/>
      <c r="B44" s="11"/>
      <c r="C44" s="12"/>
      <c r="D44" s="14"/>
      <c r="E44" s="24"/>
      <c r="F44" s="14"/>
      <c r="G44" s="24"/>
      <c r="H44" s="14"/>
      <c r="I44" s="24"/>
      <c r="J44" s="102"/>
      <c r="K44" s="102"/>
      <c r="L44" s="102"/>
      <c r="M44" s="102"/>
      <c r="N44" s="102"/>
      <c r="O44" s="102"/>
      <c r="P44" s="102"/>
      <c r="Q44" s="226"/>
    </row>
    <row r="45" spans="1:17" x14ac:dyDescent="0.2">
      <c r="A45" s="364" t="s">
        <v>26</v>
      </c>
      <c r="B45" s="5" t="s">
        <v>15</v>
      </c>
      <c r="C45" s="9"/>
      <c r="D45" s="8"/>
      <c r="E45" s="20"/>
      <c r="F45" s="8"/>
      <c r="G45" s="20"/>
      <c r="H45" s="8"/>
      <c r="I45" s="20"/>
      <c r="J45" s="8"/>
      <c r="K45" s="20"/>
      <c r="L45" s="116"/>
      <c r="M45" s="116"/>
      <c r="N45" s="116"/>
      <c r="O45" s="116"/>
      <c r="P45" s="116"/>
      <c r="Q45" s="352"/>
    </row>
    <row r="46" spans="1:17" x14ac:dyDescent="0.2">
      <c r="A46" s="365"/>
      <c r="B46" s="21" t="s">
        <v>16</v>
      </c>
      <c r="C46" s="9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225"/>
    </row>
    <row r="47" spans="1:17" ht="13.5" thickBot="1" x14ac:dyDescent="0.25">
      <c r="A47" s="366"/>
      <c r="B47" s="11"/>
      <c r="C47" s="11"/>
      <c r="D47" s="14"/>
      <c r="E47" s="24"/>
      <c r="F47" s="14"/>
      <c r="G47" s="24"/>
      <c r="H47" s="14"/>
      <c r="I47" s="24"/>
      <c r="J47" s="14"/>
      <c r="K47" s="24"/>
      <c r="L47" s="115"/>
      <c r="M47" s="115"/>
      <c r="N47" s="115"/>
      <c r="O47" s="115"/>
      <c r="P47" s="115"/>
      <c r="Q47" s="353"/>
    </row>
    <row r="48" spans="1:17" x14ac:dyDescent="0.2">
      <c r="A48" s="364" t="s">
        <v>52</v>
      </c>
      <c r="B48" s="5" t="s">
        <v>15</v>
      </c>
      <c r="C48" s="5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224"/>
    </row>
    <row r="49" spans="1:17" x14ac:dyDescent="0.2">
      <c r="A49" s="365"/>
      <c r="B49" s="21" t="s">
        <v>16</v>
      </c>
      <c r="C49" s="9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225"/>
    </row>
    <row r="50" spans="1:17" ht="13.5" thickBot="1" x14ac:dyDescent="0.25">
      <c r="A50" s="366"/>
      <c r="B50" s="11" t="s">
        <v>16</v>
      </c>
      <c r="C50" s="11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226"/>
    </row>
    <row r="51" spans="1:17" x14ac:dyDescent="0.2">
      <c r="A51" s="364" t="s">
        <v>53</v>
      </c>
      <c r="B51" s="5" t="s">
        <v>15</v>
      </c>
      <c r="C51" s="15"/>
      <c r="D51" s="8"/>
      <c r="E51" s="7"/>
      <c r="F51" s="8"/>
      <c r="G51" s="7"/>
      <c r="H51" s="8"/>
      <c r="I51" s="7"/>
      <c r="J51" s="8"/>
      <c r="K51" s="7"/>
      <c r="L51" s="8"/>
      <c r="M51" s="7"/>
      <c r="N51" s="8"/>
      <c r="O51" s="7"/>
      <c r="P51" s="8"/>
      <c r="Q51" s="225"/>
    </row>
    <row r="52" spans="1:17" x14ac:dyDescent="0.2">
      <c r="A52" s="365"/>
      <c r="B52" s="21" t="s">
        <v>16</v>
      </c>
      <c r="C52" s="25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225"/>
    </row>
    <row r="53" spans="1:17" ht="13.5" thickBot="1" x14ac:dyDescent="0.25">
      <c r="A53" s="366"/>
      <c r="B53" s="11"/>
      <c r="C53" s="11"/>
      <c r="D53" s="102"/>
      <c r="E53" s="100"/>
      <c r="F53" s="102"/>
      <c r="G53" s="100"/>
      <c r="H53" s="102"/>
      <c r="I53" s="100"/>
      <c r="J53" s="102"/>
      <c r="K53" s="100"/>
      <c r="L53" s="102"/>
      <c r="M53" s="100"/>
      <c r="N53" s="102"/>
      <c r="O53" s="100"/>
      <c r="P53" s="102"/>
      <c r="Q53" s="226"/>
    </row>
    <row r="54" spans="1:17" x14ac:dyDescent="0.2">
      <c r="A54" s="364" t="s">
        <v>65</v>
      </c>
      <c r="B54" s="5" t="s">
        <v>15</v>
      </c>
      <c r="C54" s="15"/>
      <c r="D54" s="224"/>
      <c r="E54" s="221"/>
      <c r="F54" s="224"/>
      <c r="G54" s="221"/>
      <c r="H54" s="224"/>
      <c r="I54" s="221"/>
      <c r="J54" s="224"/>
      <c r="K54" s="221"/>
      <c r="L54" s="224"/>
      <c r="M54" s="221"/>
      <c r="N54" s="224"/>
      <c r="O54" s="221"/>
      <c r="P54" s="224"/>
      <c r="Q54" s="224"/>
    </row>
    <row r="55" spans="1:17" x14ac:dyDescent="0.2">
      <c r="A55" s="365"/>
      <c r="B55" s="21" t="s">
        <v>16</v>
      </c>
      <c r="C55" s="25"/>
      <c r="D55" s="225"/>
      <c r="E55" s="222"/>
      <c r="F55" s="225"/>
      <c r="G55" s="222"/>
      <c r="H55" s="225"/>
      <c r="I55" s="222"/>
      <c r="J55" s="225"/>
      <c r="K55" s="222"/>
      <c r="L55" s="225"/>
      <c r="M55" s="222"/>
      <c r="N55" s="225"/>
      <c r="O55" s="222"/>
      <c r="P55" s="225"/>
      <c r="Q55" s="225"/>
    </row>
    <row r="56" spans="1:17" ht="13.5" thickBot="1" x14ac:dyDescent="0.25">
      <c r="A56" s="366"/>
      <c r="B56" s="350"/>
      <c r="C56" s="351"/>
      <c r="D56" s="226"/>
      <c r="E56" s="223"/>
      <c r="F56" s="226"/>
      <c r="G56" s="223"/>
      <c r="H56" s="226"/>
      <c r="I56" s="223"/>
      <c r="J56" s="226"/>
      <c r="K56" s="223"/>
      <c r="L56" s="226"/>
      <c r="M56" s="223"/>
      <c r="N56" s="226"/>
      <c r="O56" s="223"/>
      <c r="P56" s="226"/>
      <c r="Q56" s="226"/>
    </row>
    <row r="57" spans="1:17" x14ac:dyDescent="0.2">
      <c r="A57" s="364" t="s">
        <v>54</v>
      </c>
      <c r="B57" s="5" t="s">
        <v>16</v>
      </c>
      <c r="C57" s="354"/>
      <c r="D57" s="225"/>
      <c r="E57" s="225"/>
      <c r="F57" s="225"/>
      <c r="G57" s="225"/>
      <c r="H57" s="225"/>
      <c r="I57" s="225"/>
      <c r="J57" s="225"/>
      <c r="K57" s="225"/>
      <c r="L57" s="225"/>
      <c r="M57" s="225"/>
      <c r="N57" s="225"/>
      <c r="O57" s="225"/>
      <c r="P57" s="225"/>
      <c r="Q57" s="225"/>
    </row>
    <row r="58" spans="1:17" x14ac:dyDescent="0.2">
      <c r="A58" s="365"/>
      <c r="B58" s="21" t="s">
        <v>16</v>
      </c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ht="13.5" thickBot="1" x14ac:dyDescent="0.25">
      <c r="A59" s="366"/>
      <c r="B59" s="11"/>
      <c r="C59" s="17"/>
      <c r="D59" s="14"/>
      <c r="E59" s="13"/>
      <c r="F59" s="14"/>
      <c r="G59" s="13"/>
      <c r="H59" s="14"/>
      <c r="I59" s="13"/>
      <c r="J59" s="102"/>
      <c r="K59" s="100"/>
      <c r="L59" s="102"/>
      <c r="M59" s="100"/>
      <c r="N59" s="102"/>
      <c r="O59" s="100"/>
      <c r="P59" s="100"/>
      <c r="Q59" s="102"/>
    </row>
    <row r="60" spans="1:17" x14ac:dyDescent="0.2">
      <c r="A60" s="28"/>
      <c r="B60" s="1"/>
      <c r="C60" s="106"/>
      <c r="D60" s="105"/>
      <c r="E60" s="1"/>
      <c r="F60" s="1"/>
      <c r="G60" s="1"/>
      <c r="H60" s="1"/>
      <c r="I60" s="1"/>
      <c r="J60" s="367"/>
      <c r="K60" s="367"/>
      <c r="L60" s="367"/>
      <c r="M60" s="1"/>
      <c r="N60" s="29"/>
      <c r="O60" s="29"/>
      <c r="P60" s="29"/>
      <c r="Q60" s="29"/>
    </row>
    <row r="61" spans="1:17" x14ac:dyDescent="0.2">
      <c r="A61" s="368" t="s">
        <v>27</v>
      </c>
      <c r="B61" s="368"/>
      <c r="C61" s="368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8"/>
    </row>
    <row r="66" spans="1:17" x14ac:dyDescent="0.2">
      <c r="A66" s="96"/>
      <c r="B66" s="96"/>
      <c r="C66" s="27"/>
      <c r="D66" s="96"/>
      <c r="E66" s="96"/>
      <c r="F66" s="96"/>
      <c r="G66" s="96"/>
      <c r="H66" s="96"/>
      <c r="I66" s="96"/>
      <c r="J66" s="123"/>
      <c r="K66" s="123"/>
      <c r="L66" s="123"/>
    </row>
    <row r="67" spans="1:17" x14ac:dyDescent="0.2">
      <c r="A67" s="28"/>
      <c r="B67" s="1"/>
      <c r="C67" s="117" t="s">
        <v>28</v>
      </c>
      <c r="D67" s="105"/>
      <c r="E67" s="1"/>
      <c r="F67" s="1"/>
      <c r="G67" s="1"/>
      <c r="H67" s="1"/>
      <c r="I67" s="1"/>
      <c r="J67" s="369"/>
      <c r="K67" s="369"/>
      <c r="L67" s="369"/>
    </row>
    <row r="68" spans="1:17" x14ac:dyDescent="0.2">
      <c r="A68" s="30"/>
      <c r="B68" s="1"/>
      <c r="C68" s="117" t="s">
        <v>29</v>
      </c>
      <c r="D68" s="105"/>
      <c r="E68" s="1"/>
      <c r="F68" s="1"/>
      <c r="G68" s="1"/>
      <c r="H68" s="1"/>
      <c r="I68" s="1"/>
      <c r="J68" s="369"/>
      <c r="K68" s="369"/>
      <c r="L68" s="369"/>
    </row>
    <row r="70" spans="1:17" ht="20.25" x14ac:dyDescent="0.3">
      <c r="A70" s="356" t="s">
        <v>0</v>
      </c>
      <c r="B70" s="356"/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356"/>
      <c r="O70" s="356"/>
      <c r="P70" s="356"/>
      <c r="Q70" s="356"/>
    </row>
    <row r="71" spans="1:17" ht="20.25" x14ac:dyDescent="0.3">
      <c r="A71" s="356" t="s">
        <v>1</v>
      </c>
      <c r="B71" s="356"/>
      <c r="C71" s="356"/>
      <c r="D71" s="356"/>
      <c r="E71" s="356"/>
      <c r="F71" s="356"/>
      <c r="G71" s="356"/>
      <c r="H71" s="356"/>
      <c r="I71" s="356"/>
      <c r="J71" s="356"/>
      <c r="K71" s="356"/>
      <c r="L71" s="356"/>
      <c r="M71" s="356"/>
      <c r="N71" s="356"/>
      <c r="O71" s="356"/>
      <c r="P71" s="356"/>
      <c r="Q71" s="356"/>
    </row>
    <row r="72" spans="1:17" ht="20.25" x14ac:dyDescent="0.3">
      <c r="A72" s="356" t="s">
        <v>66</v>
      </c>
      <c r="B72" s="356"/>
      <c r="C72" s="356"/>
      <c r="D72" s="356"/>
      <c r="E72" s="356"/>
      <c r="F72" s="356"/>
      <c r="G72" s="356"/>
      <c r="H72" s="356"/>
      <c r="I72" s="356"/>
      <c r="J72" s="356"/>
      <c r="K72" s="356"/>
      <c r="L72" s="356"/>
      <c r="M72" s="356"/>
      <c r="N72" s="356"/>
      <c r="O72" s="356"/>
      <c r="P72" s="356"/>
      <c r="Q72" s="356"/>
    </row>
    <row r="73" spans="1:17" ht="13.5" thickBo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357" t="s">
        <v>2</v>
      </c>
      <c r="B74" s="357" t="s">
        <v>3</v>
      </c>
      <c r="C74" s="357" t="s">
        <v>4</v>
      </c>
      <c r="D74" s="360" t="s">
        <v>5</v>
      </c>
      <c r="E74" s="361"/>
      <c r="F74" s="360" t="s">
        <v>6</v>
      </c>
      <c r="G74" s="361"/>
      <c r="H74" s="360" t="s">
        <v>7</v>
      </c>
      <c r="I74" s="361"/>
      <c r="J74" s="360" t="s">
        <v>8</v>
      </c>
      <c r="K74" s="361"/>
      <c r="L74" s="360" t="s">
        <v>9</v>
      </c>
      <c r="M74" s="361"/>
      <c r="N74" s="360" t="s">
        <v>10</v>
      </c>
      <c r="O74" s="361"/>
      <c r="P74" s="360" t="s">
        <v>11</v>
      </c>
      <c r="Q74" s="361"/>
    </row>
    <row r="75" spans="1:17" ht="13.5" thickBot="1" x14ac:dyDescent="0.25">
      <c r="A75" s="358"/>
      <c r="B75" s="358"/>
      <c r="C75" s="358"/>
      <c r="D75" s="362">
        <v>3</v>
      </c>
      <c r="E75" s="363"/>
      <c r="F75" s="362">
        <f>1+D75</f>
        <v>4</v>
      </c>
      <c r="G75" s="363"/>
      <c r="H75" s="362">
        <f>1+F75</f>
        <v>5</v>
      </c>
      <c r="I75" s="363"/>
      <c r="J75" s="362">
        <v>6</v>
      </c>
      <c r="K75" s="363"/>
      <c r="L75" s="362">
        <v>7</v>
      </c>
      <c r="M75" s="363"/>
      <c r="N75" s="362">
        <v>8</v>
      </c>
      <c r="O75" s="363"/>
      <c r="P75" s="362">
        <f>1+N75</f>
        <v>9</v>
      </c>
      <c r="Q75" s="363"/>
    </row>
    <row r="76" spans="1:17" ht="13.5" thickBot="1" x14ac:dyDescent="0.25">
      <c r="A76" s="359"/>
      <c r="B76" s="359"/>
      <c r="C76" s="359"/>
      <c r="D76" s="2" t="s">
        <v>12</v>
      </c>
      <c r="E76" s="3" t="s">
        <v>13</v>
      </c>
      <c r="F76" s="4" t="s">
        <v>12</v>
      </c>
      <c r="G76" s="3" t="s">
        <v>13</v>
      </c>
      <c r="H76" s="4" t="s">
        <v>12</v>
      </c>
      <c r="I76" s="3" t="s">
        <v>13</v>
      </c>
      <c r="J76" s="4" t="s">
        <v>12</v>
      </c>
      <c r="K76" s="3" t="s">
        <v>13</v>
      </c>
      <c r="L76" s="4" t="s">
        <v>12</v>
      </c>
      <c r="M76" s="3" t="s">
        <v>13</v>
      </c>
      <c r="N76" s="4" t="s">
        <v>12</v>
      </c>
      <c r="O76" s="3" t="s">
        <v>13</v>
      </c>
      <c r="P76" s="4" t="s">
        <v>12</v>
      </c>
      <c r="Q76" s="3" t="s">
        <v>13</v>
      </c>
    </row>
    <row r="77" spans="1:17" x14ac:dyDescent="0.2">
      <c r="A77" s="364" t="s">
        <v>14</v>
      </c>
      <c r="B77" s="5" t="s">
        <v>15</v>
      </c>
      <c r="C77" s="5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ht="12.75" customHeight="1" x14ac:dyDescent="0.2">
      <c r="A78" s="365"/>
      <c r="B78" s="9" t="s">
        <v>16</v>
      </c>
      <c r="C78" s="103"/>
      <c r="D78" s="112"/>
      <c r="E78" s="112"/>
      <c r="F78" s="112"/>
      <c r="G78" s="112"/>
      <c r="H78" s="112"/>
      <c r="I78" s="112"/>
      <c r="J78" s="355"/>
      <c r="K78" s="355"/>
      <c r="L78" s="355"/>
      <c r="M78" s="355"/>
      <c r="N78" s="355"/>
      <c r="O78" s="355"/>
      <c r="P78" s="355"/>
      <c r="Q78" s="355"/>
    </row>
    <row r="79" spans="1:17" ht="13.5" thickBot="1" x14ac:dyDescent="0.25">
      <c r="A79" s="366"/>
      <c r="B79" s="11"/>
      <c r="C79" s="10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</row>
    <row r="80" spans="1:17" x14ac:dyDescent="0.2">
      <c r="A80" s="364" t="s">
        <v>64</v>
      </c>
      <c r="B80" s="5" t="s">
        <v>15</v>
      </c>
      <c r="C80" s="5"/>
      <c r="D80" s="7"/>
      <c r="E80" s="7"/>
      <c r="F80" s="7"/>
      <c r="G80" s="7"/>
      <c r="H80" s="124"/>
      <c r="I80" s="124"/>
      <c r="J80" s="220"/>
      <c r="K80" s="220"/>
      <c r="L80" s="220"/>
      <c r="M80" s="220"/>
      <c r="N80" s="220"/>
      <c r="O80" s="220"/>
      <c r="P80" s="220"/>
      <c r="Q80" s="220"/>
    </row>
    <row r="81" spans="1:17" x14ac:dyDescent="0.2">
      <c r="A81" s="365"/>
      <c r="B81" s="16" t="s">
        <v>16</v>
      </c>
      <c r="C81" s="21"/>
      <c r="D81" s="7"/>
      <c r="E81" s="7"/>
      <c r="F81" s="7"/>
      <c r="G81" s="7"/>
      <c r="H81" s="217"/>
      <c r="I81" s="217"/>
      <c r="J81" s="218"/>
      <c r="K81" s="218"/>
      <c r="L81" s="218"/>
      <c r="M81" s="218"/>
      <c r="N81" s="218"/>
      <c r="O81" s="218"/>
      <c r="P81" s="218"/>
      <c r="Q81" s="218"/>
    </row>
    <row r="82" spans="1:17" ht="13.5" thickBot="1" x14ac:dyDescent="0.25">
      <c r="A82" s="366"/>
      <c r="B82" s="16" t="s">
        <v>16</v>
      </c>
      <c r="C82" s="9"/>
      <c r="D82" s="11"/>
      <c r="E82" s="11"/>
      <c r="F82" s="11"/>
      <c r="G82" s="11"/>
      <c r="H82" s="125"/>
      <c r="I82" s="125"/>
      <c r="J82" s="227"/>
      <c r="K82" s="227"/>
      <c r="L82" s="227"/>
      <c r="M82" s="227"/>
      <c r="N82" s="227"/>
      <c r="O82" s="227"/>
      <c r="P82" s="227"/>
      <c r="Q82" s="227"/>
    </row>
    <row r="83" spans="1:17" x14ac:dyDescent="0.2">
      <c r="A83" s="364" t="s">
        <v>63</v>
      </c>
      <c r="B83" s="5" t="s">
        <v>15</v>
      </c>
      <c r="C83" s="15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</row>
    <row r="84" spans="1:17" ht="12.75" customHeight="1" x14ac:dyDescent="0.2">
      <c r="A84" s="365"/>
      <c r="B84" s="16" t="s">
        <v>16</v>
      </c>
      <c r="C84" s="31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</row>
    <row r="85" spans="1:17" ht="13.5" thickBot="1" x14ac:dyDescent="0.25">
      <c r="A85" s="366"/>
      <c r="B85" s="17"/>
      <c r="C85" s="31"/>
      <c r="D85" s="227"/>
      <c r="E85" s="227"/>
      <c r="F85" s="227"/>
      <c r="G85" s="227"/>
      <c r="H85" s="227"/>
      <c r="I85" s="227"/>
      <c r="J85" s="227"/>
      <c r="K85" s="227"/>
      <c r="L85" s="227"/>
      <c r="M85" s="227"/>
      <c r="N85" s="227"/>
      <c r="O85" s="227"/>
      <c r="P85" s="227"/>
      <c r="Q85" s="227"/>
    </row>
    <row r="86" spans="1:17" x14ac:dyDescent="0.2">
      <c r="A86" s="364" t="s">
        <v>17</v>
      </c>
      <c r="B86" s="19" t="s">
        <v>15</v>
      </c>
      <c r="C86" s="15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ht="12.75" customHeight="1" x14ac:dyDescent="0.2">
      <c r="A87" s="365"/>
      <c r="B87" s="9" t="s">
        <v>16</v>
      </c>
      <c r="C87" s="10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ht="13.5" thickBot="1" x14ac:dyDescent="0.25">
      <c r="A88" s="366"/>
      <c r="B88" s="17" t="s">
        <v>16</v>
      </c>
      <c r="C88" s="1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</row>
    <row r="89" spans="1:17" x14ac:dyDescent="0.2">
      <c r="A89" s="364" t="s">
        <v>18</v>
      </c>
      <c r="B89" s="9" t="s">
        <v>15</v>
      </c>
      <c r="C89" s="5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ht="12.75" customHeight="1" x14ac:dyDescent="0.2">
      <c r="A90" s="365"/>
      <c r="B90" s="9" t="s">
        <v>16</v>
      </c>
      <c r="C90" s="103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355"/>
      <c r="O90" s="355"/>
      <c r="P90" s="355"/>
      <c r="Q90" s="355"/>
    </row>
    <row r="91" spans="1:17" ht="13.5" thickBot="1" x14ac:dyDescent="0.25">
      <c r="A91" s="366"/>
      <c r="B91" s="17"/>
      <c r="C91" s="10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</row>
    <row r="92" spans="1:17" x14ac:dyDescent="0.2">
      <c r="A92" s="364" t="s">
        <v>19</v>
      </c>
      <c r="B92" s="5" t="s">
        <v>15</v>
      </c>
      <c r="C92" s="15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ht="12.75" customHeight="1" x14ac:dyDescent="0.2">
      <c r="A93" s="365"/>
      <c r="B93" s="9" t="s">
        <v>16</v>
      </c>
      <c r="C93" s="103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</row>
    <row r="94" spans="1:17" ht="13.5" thickBot="1" x14ac:dyDescent="0.25">
      <c r="A94" s="366"/>
      <c r="B94" s="11"/>
      <c r="C94" s="1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</row>
    <row r="95" spans="1:17" x14ac:dyDescent="0.2">
      <c r="A95" s="364" t="s">
        <v>20</v>
      </c>
      <c r="B95" s="21" t="s">
        <v>16</v>
      </c>
      <c r="C95" s="5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ht="12.75" customHeight="1" x14ac:dyDescent="0.2">
      <c r="A96" s="365"/>
      <c r="B96" s="9" t="s">
        <v>16</v>
      </c>
      <c r="C96" s="25"/>
      <c r="D96" s="112"/>
      <c r="E96" s="112"/>
      <c r="F96" s="112"/>
      <c r="G96" s="112"/>
      <c r="H96" s="112"/>
      <c r="I96" s="112"/>
      <c r="J96" s="7"/>
      <c r="K96" s="7"/>
      <c r="L96" s="7"/>
      <c r="M96" s="7"/>
      <c r="N96" s="7"/>
      <c r="O96" s="7"/>
      <c r="P96" s="7"/>
      <c r="Q96" s="7"/>
    </row>
    <row r="97" spans="1:17" ht="13.5" thickBot="1" x14ac:dyDescent="0.25">
      <c r="A97" s="366"/>
      <c r="B97" s="23"/>
      <c r="C97" s="22"/>
      <c r="D97" s="13"/>
      <c r="E97" s="13"/>
      <c r="F97" s="13"/>
      <c r="G97" s="13"/>
      <c r="H97" s="13"/>
      <c r="I97" s="13"/>
      <c r="J97" s="14"/>
      <c r="K97" s="24"/>
      <c r="L97" s="102"/>
      <c r="M97" s="113"/>
      <c r="N97" s="14"/>
      <c r="O97" s="24"/>
      <c r="P97" s="14"/>
      <c r="Q97" s="24"/>
    </row>
    <row r="98" spans="1:17" x14ac:dyDescent="0.2">
      <c r="A98" s="364" t="s">
        <v>21</v>
      </c>
      <c r="B98" s="5" t="s">
        <v>15</v>
      </c>
      <c r="C98" s="5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ht="12.75" customHeight="1" x14ac:dyDescent="0.2">
      <c r="A99" s="365"/>
      <c r="B99" s="9" t="s">
        <v>16</v>
      </c>
      <c r="C99" s="10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ht="13.5" thickBot="1" x14ac:dyDescent="0.25">
      <c r="A100" s="366"/>
      <c r="B100" s="17"/>
      <c r="C100" s="11"/>
      <c r="D100" s="13"/>
      <c r="E100" s="13"/>
      <c r="F100" s="13"/>
      <c r="G100" s="13"/>
      <c r="H100" s="13"/>
      <c r="I100" s="13"/>
      <c r="J100" s="14"/>
      <c r="K100" s="24"/>
      <c r="L100" s="14"/>
      <c r="M100" s="24"/>
      <c r="N100" s="14"/>
      <c r="O100" s="24"/>
      <c r="P100" s="14"/>
      <c r="Q100" s="24"/>
    </row>
    <row r="101" spans="1:17" x14ac:dyDescent="0.2">
      <c r="A101" s="364" t="s">
        <v>22</v>
      </c>
      <c r="B101" s="5" t="s">
        <v>15</v>
      </c>
      <c r="C101" s="9"/>
      <c r="D101" s="8"/>
      <c r="E101" s="20"/>
      <c r="F101" s="8"/>
      <c r="G101" s="20"/>
      <c r="H101" s="104"/>
      <c r="I101" s="104"/>
      <c r="J101" s="104"/>
      <c r="K101" s="104"/>
      <c r="L101" s="8"/>
      <c r="M101" s="20"/>
      <c r="N101" s="8"/>
      <c r="O101" s="20"/>
      <c r="P101" s="8"/>
      <c r="Q101" s="20"/>
    </row>
    <row r="102" spans="1:17" ht="12.75" customHeight="1" x14ac:dyDescent="0.2">
      <c r="A102" s="365"/>
      <c r="B102" s="23" t="s">
        <v>16</v>
      </c>
      <c r="C102" s="2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ht="13.5" thickBot="1" x14ac:dyDescent="0.25">
      <c r="A103" s="366"/>
      <c r="B103" s="17"/>
      <c r="C103" s="26"/>
      <c r="D103" s="14"/>
      <c r="E103" s="24"/>
      <c r="F103" s="102"/>
      <c r="G103" s="113"/>
      <c r="H103" s="14"/>
      <c r="I103" s="24"/>
      <c r="J103" s="102"/>
      <c r="K103" s="113"/>
      <c r="L103" s="14"/>
      <c r="M103" s="24"/>
      <c r="N103" s="14"/>
      <c r="O103" s="24"/>
      <c r="P103" s="14"/>
      <c r="Q103" s="24"/>
    </row>
    <row r="104" spans="1:17" x14ac:dyDescent="0.2">
      <c r="A104" s="364" t="s">
        <v>23</v>
      </c>
      <c r="B104" s="5" t="s">
        <v>15</v>
      </c>
      <c r="C104" s="5"/>
      <c r="D104" s="8"/>
      <c r="E104" s="20"/>
      <c r="F104" s="8"/>
      <c r="G104" s="20"/>
      <c r="H104" s="8"/>
      <c r="I104" s="20"/>
      <c r="J104" s="8"/>
      <c r="K104" s="20"/>
      <c r="L104" s="8"/>
      <c r="M104" s="20"/>
      <c r="N104" s="8"/>
      <c r="O104" s="20"/>
      <c r="P104" s="8"/>
      <c r="Q104" s="20"/>
    </row>
    <row r="105" spans="1:17" ht="12.75" customHeight="1" x14ac:dyDescent="0.2">
      <c r="A105" s="365"/>
      <c r="B105" s="9" t="s">
        <v>16</v>
      </c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ht="13.5" thickBot="1" x14ac:dyDescent="0.25">
      <c r="A106" s="366"/>
      <c r="B106" s="17"/>
      <c r="C106" s="26"/>
      <c r="D106" s="14"/>
      <c r="E106" s="24"/>
      <c r="F106" s="14"/>
      <c r="G106" s="24"/>
      <c r="H106" s="14"/>
      <c r="I106" s="24"/>
      <c r="J106" s="102"/>
      <c r="K106" s="113"/>
      <c r="L106" s="102"/>
      <c r="M106" s="113"/>
      <c r="N106" s="102"/>
      <c r="O106" s="113"/>
      <c r="P106" s="102"/>
      <c r="Q106" s="113"/>
    </row>
    <row r="107" spans="1:17" x14ac:dyDescent="0.2">
      <c r="A107" s="364" t="s">
        <v>24</v>
      </c>
      <c r="B107" s="5" t="s">
        <v>15</v>
      </c>
      <c r="C107" s="6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">
      <c r="A108" s="365"/>
      <c r="B108" s="23" t="s">
        <v>16</v>
      </c>
      <c r="C108" s="9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</row>
    <row r="109" spans="1:17" ht="13.5" thickBot="1" x14ac:dyDescent="0.25">
      <c r="A109" s="366"/>
      <c r="B109" s="17"/>
      <c r="C109" s="9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</row>
    <row r="110" spans="1:17" x14ac:dyDescent="0.2">
      <c r="A110" s="364" t="s">
        <v>25</v>
      </c>
      <c r="B110" s="5" t="s">
        <v>15</v>
      </c>
      <c r="C110" s="6"/>
      <c r="D110" s="8"/>
      <c r="E110" s="20"/>
      <c r="F110" s="8"/>
      <c r="G110" s="20"/>
      <c r="H110" s="8"/>
      <c r="I110" s="20"/>
      <c r="J110" s="8"/>
      <c r="K110" s="8"/>
      <c r="L110" s="8"/>
      <c r="M110" s="8"/>
      <c r="N110" s="8"/>
      <c r="O110" s="8"/>
      <c r="P110" s="8"/>
      <c r="Q110" s="224"/>
    </row>
    <row r="111" spans="1:17" x14ac:dyDescent="0.2">
      <c r="A111" s="365"/>
      <c r="B111" s="9" t="s">
        <v>16</v>
      </c>
      <c r="C111" s="10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225"/>
    </row>
    <row r="112" spans="1:17" ht="13.5" thickBot="1" x14ac:dyDescent="0.25">
      <c r="A112" s="366"/>
      <c r="B112" s="11"/>
      <c r="C112" s="12"/>
      <c r="D112" s="14"/>
      <c r="E112" s="24"/>
      <c r="F112" s="14"/>
      <c r="G112" s="24"/>
      <c r="H112" s="14"/>
      <c r="I112" s="24"/>
      <c r="J112" s="102"/>
      <c r="K112" s="102"/>
      <c r="L112" s="102"/>
      <c r="M112" s="102"/>
      <c r="N112" s="102"/>
      <c r="O112" s="102"/>
      <c r="P112" s="102"/>
      <c r="Q112" s="226"/>
    </row>
    <row r="113" spans="1:17" x14ac:dyDescent="0.2">
      <c r="A113" s="364" t="s">
        <v>26</v>
      </c>
      <c r="B113" s="5" t="s">
        <v>15</v>
      </c>
      <c r="C113" s="9"/>
      <c r="D113" s="8"/>
      <c r="E113" s="20"/>
      <c r="F113" s="8"/>
      <c r="G113" s="20"/>
      <c r="H113" s="8"/>
      <c r="I113" s="20"/>
      <c r="J113" s="8"/>
      <c r="K113" s="20"/>
      <c r="L113" s="116"/>
      <c r="M113" s="116"/>
      <c r="N113" s="116"/>
      <c r="O113" s="116"/>
      <c r="P113" s="116"/>
      <c r="Q113" s="352"/>
    </row>
    <row r="114" spans="1:17" x14ac:dyDescent="0.2">
      <c r="A114" s="365"/>
      <c r="B114" s="21" t="s">
        <v>16</v>
      </c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225"/>
    </row>
    <row r="115" spans="1:17" ht="13.5" thickBot="1" x14ac:dyDescent="0.25">
      <c r="A115" s="366"/>
      <c r="B115" s="11"/>
      <c r="C115" s="11"/>
      <c r="D115" s="14"/>
      <c r="E115" s="24"/>
      <c r="F115" s="14"/>
      <c r="G115" s="24"/>
      <c r="H115" s="14"/>
      <c r="I115" s="24"/>
      <c r="J115" s="14"/>
      <c r="K115" s="24"/>
      <c r="L115" s="115"/>
      <c r="M115" s="115"/>
      <c r="N115" s="115"/>
      <c r="O115" s="115"/>
      <c r="P115" s="115"/>
      <c r="Q115" s="353"/>
    </row>
    <row r="116" spans="1:17" x14ac:dyDescent="0.2">
      <c r="A116" s="364" t="s">
        <v>52</v>
      </c>
      <c r="B116" s="5" t="s">
        <v>15</v>
      </c>
      <c r="C116" s="5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224"/>
    </row>
    <row r="117" spans="1:17" x14ac:dyDescent="0.2">
      <c r="A117" s="365"/>
      <c r="B117" s="21" t="s">
        <v>16</v>
      </c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225"/>
    </row>
    <row r="118" spans="1:17" ht="13.5" thickBot="1" x14ac:dyDescent="0.25">
      <c r="A118" s="366"/>
      <c r="B118" s="11" t="s">
        <v>16</v>
      </c>
      <c r="C118" s="11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226"/>
    </row>
    <row r="119" spans="1:17" x14ac:dyDescent="0.2">
      <c r="A119" s="364" t="s">
        <v>53</v>
      </c>
      <c r="B119" s="5" t="s">
        <v>15</v>
      </c>
      <c r="C119" s="15"/>
      <c r="D119" s="8"/>
      <c r="E119" s="7"/>
      <c r="F119" s="8"/>
      <c r="G119" s="7"/>
      <c r="H119" s="8"/>
      <c r="I119" s="7"/>
      <c r="J119" s="8"/>
      <c r="K119" s="7"/>
      <c r="L119" s="8"/>
      <c r="M119" s="7"/>
      <c r="N119" s="8"/>
      <c r="O119" s="7"/>
      <c r="P119" s="8"/>
      <c r="Q119" s="225"/>
    </row>
    <row r="120" spans="1:17" x14ac:dyDescent="0.2">
      <c r="A120" s="365"/>
      <c r="B120" s="21" t="s">
        <v>16</v>
      </c>
      <c r="C120" s="25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225"/>
    </row>
    <row r="121" spans="1:17" ht="13.5" thickBot="1" x14ac:dyDescent="0.25">
      <c r="A121" s="366"/>
      <c r="B121" s="11"/>
      <c r="C121" s="11"/>
      <c r="D121" s="102"/>
      <c r="E121" s="100"/>
      <c r="F121" s="102"/>
      <c r="G121" s="100"/>
      <c r="H121" s="102"/>
      <c r="I121" s="100"/>
      <c r="J121" s="102"/>
      <c r="K121" s="100"/>
      <c r="L121" s="102"/>
      <c r="M121" s="100"/>
      <c r="N121" s="102"/>
      <c r="O121" s="100"/>
      <c r="P121" s="102"/>
      <c r="Q121" s="226"/>
    </row>
    <row r="122" spans="1:17" x14ac:dyDescent="0.2">
      <c r="A122" s="364" t="s">
        <v>65</v>
      </c>
      <c r="B122" s="5" t="s">
        <v>15</v>
      </c>
      <c r="C122" s="15"/>
      <c r="D122" s="224"/>
      <c r="E122" s="221"/>
      <c r="F122" s="224"/>
      <c r="G122" s="221"/>
      <c r="H122" s="224"/>
      <c r="I122" s="221"/>
      <c r="J122" s="224"/>
      <c r="K122" s="221"/>
      <c r="L122" s="224"/>
      <c r="M122" s="221"/>
      <c r="N122" s="224"/>
      <c r="O122" s="221"/>
      <c r="P122" s="224"/>
      <c r="Q122" s="224"/>
    </row>
    <row r="123" spans="1:17" x14ac:dyDescent="0.2">
      <c r="A123" s="365"/>
      <c r="B123" s="21" t="s">
        <v>16</v>
      </c>
      <c r="C123" s="25"/>
      <c r="D123" s="225"/>
      <c r="E123" s="222"/>
      <c r="F123" s="225"/>
      <c r="G123" s="222"/>
      <c r="H123" s="225"/>
      <c r="I123" s="222"/>
      <c r="J123" s="225"/>
      <c r="K123" s="222"/>
      <c r="L123" s="225"/>
      <c r="M123" s="222"/>
      <c r="N123" s="225"/>
      <c r="O123" s="222"/>
      <c r="P123" s="225"/>
      <c r="Q123" s="225"/>
    </row>
    <row r="124" spans="1:17" ht="12.75" customHeight="1" thickBot="1" x14ac:dyDescent="0.25">
      <c r="A124" s="366"/>
      <c r="B124" s="350"/>
      <c r="C124" s="351"/>
      <c r="D124" s="226"/>
      <c r="E124" s="223"/>
      <c r="F124" s="226"/>
      <c r="G124" s="223"/>
      <c r="H124" s="226"/>
      <c r="I124" s="223"/>
      <c r="J124" s="226"/>
      <c r="K124" s="223"/>
      <c r="L124" s="226"/>
      <c r="M124" s="223"/>
      <c r="N124" s="226"/>
      <c r="O124" s="223"/>
      <c r="P124" s="226"/>
      <c r="Q124" s="226"/>
    </row>
    <row r="125" spans="1:17" x14ac:dyDescent="0.2">
      <c r="A125" s="364" t="s">
        <v>54</v>
      </c>
      <c r="B125" s="5" t="s">
        <v>16</v>
      </c>
      <c r="C125" s="354"/>
      <c r="D125" s="225"/>
      <c r="E125" s="225"/>
      <c r="F125" s="225"/>
      <c r="G125" s="225"/>
      <c r="H125" s="225"/>
      <c r="I125" s="225"/>
      <c r="J125" s="225"/>
      <c r="K125" s="225"/>
      <c r="L125" s="225"/>
      <c r="M125" s="225"/>
      <c r="N125" s="225"/>
      <c r="O125" s="225"/>
      <c r="P125" s="225"/>
      <c r="Q125" s="225"/>
    </row>
    <row r="126" spans="1:17" x14ac:dyDescent="0.2">
      <c r="A126" s="365"/>
      <c r="B126" s="21" t="s">
        <v>16</v>
      </c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ht="13.5" thickBot="1" x14ac:dyDescent="0.25">
      <c r="A127" s="366"/>
      <c r="B127" s="11"/>
      <c r="C127" s="17"/>
      <c r="D127" s="14"/>
      <c r="E127" s="13"/>
      <c r="F127" s="14"/>
      <c r="G127" s="13"/>
      <c r="H127" s="14"/>
      <c r="I127" s="13"/>
      <c r="J127" s="102"/>
      <c r="K127" s="100"/>
      <c r="L127" s="102"/>
      <c r="M127" s="100"/>
      <c r="N127" s="102"/>
      <c r="O127" s="100"/>
      <c r="P127" s="100"/>
      <c r="Q127" s="102"/>
    </row>
    <row r="128" spans="1:17" x14ac:dyDescent="0.2">
      <c r="A128" s="28"/>
      <c r="B128" s="1"/>
      <c r="C128" s="349"/>
      <c r="D128" s="348"/>
      <c r="E128" s="1"/>
      <c r="F128" s="1"/>
      <c r="G128" s="1"/>
      <c r="H128" s="1"/>
      <c r="I128" s="1"/>
      <c r="J128" s="367"/>
      <c r="K128" s="367"/>
      <c r="L128" s="367"/>
      <c r="M128" s="1"/>
      <c r="N128" s="29"/>
      <c r="O128" s="29"/>
      <c r="P128" s="29"/>
      <c r="Q128" s="29"/>
    </row>
    <row r="129" spans="1:17" x14ac:dyDescent="0.2">
      <c r="A129" s="368" t="s">
        <v>27</v>
      </c>
      <c r="B129" s="368"/>
      <c r="C129" s="368"/>
      <c r="D129" s="368"/>
      <c r="E129" s="368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</row>
    <row r="134" spans="1:17" x14ac:dyDescent="0.2">
      <c r="A134" s="96"/>
      <c r="B134" s="96"/>
      <c r="C134" s="27"/>
      <c r="D134" s="96"/>
      <c r="E134" s="96"/>
      <c r="F134" s="96"/>
      <c r="G134" s="96"/>
      <c r="H134" s="96"/>
      <c r="I134" s="96"/>
      <c r="J134" s="123"/>
      <c r="K134" s="123"/>
      <c r="L134" s="123"/>
    </row>
    <row r="135" spans="1:17" x14ac:dyDescent="0.2">
      <c r="A135" s="28"/>
      <c r="B135" s="1"/>
      <c r="C135" s="348" t="s">
        <v>28</v>
      </c>
      <c r="D135" s="348"/>
      <c r="E135" s="1"/>
      <c r="F135" s="1"/>
      <c r="G135" s="1"/>
      <c r="H135" s="1"/>
      <c r="I135" s="1"/>
      <c r="J135" s="369"/>
      <c r="K135" s="369"/>
      <c r="L135" s="369"/>
    </row>
    <row r="136" spans="1:17" ht="13.5" thickBot="1" x14ac:dyDescent="0.25">
      <c r="A136" s="30"/>
      <c r="B136" s="1"/>
      <c r="C136" s="348" t="s">
        <v>29</v>
      </c>
      <c r="D136" s="348"/>
      <c r="E136" s="1"/>
      <c r="F136" s="1"/>
      <c r="G136" s="1"/>
      <c r="H136" s="1"/>
      <c r="I136" s="1"/>
      <c r="J136" s="369"/>
      <c r="K136" s="369"/>
      <c r="L136" s="369"/>
    </row>
    <row r="137" spans="1:17" x14ac:dyDescent="0.2">
      <c r="A137" s="357" t="s">
        <v>2</v>
      </c>
      <c r="B137" s="357" t="s">
        <v>3</v>
      </c>
      <c r="C137" s="357" t="s">
        <v>4</v>
      </c>
      <c r="D137" s="360" t="s">
        <v>5</v>
      </c>
      <c r="E137" s="361"/>
      <c r="F137" s="360" t="s">
        <v>6</v>
      </c>
      <c r="G137" s="361"/>
      <c r="H137" s="360" t="s">
        <v>7</v>
      </c>
      <c r="I137" s="361"/>
      <c r="J137" s="360" t="s">
        <v>8</v>
      </c>
      <c r="K137" s="361"/>
      <c r="L137" s="360" t="s">
        <v>9</v>
      </c>
      <c r="M137" s="361"/>
      <c r="N137" s="360" t="s">
        <v>10</v>
      </c>
      <c r="O137" s="361"/>
      <c r="P137" s="360" t="s">
        <v>11</v>
      </c>
      <c r="Q137" s="361"/>
    </row>
    <row r="138" spans="1:17" x14ac:dyDescent="0.2">
      <c r="A138" s="358"/>
      <c r="B138" s="358"/>
      <c r="C138" s="358"/>
      <c r="D138" s="362">
        <v>10</v>
      </c>
      <c r="E138" s="363"/>
      <c r="F138" s="362">
        <f>1+D138</f>
        <v>11</v>
      </c>
      <c r="G138" s="363"/>
      <c r="H138" s="362">
        <f>1+F138</f>
        <v>12</v>
      </c>
      <c r="I138" s="363"/>
      <c r="J138" s="362">
        <v>13</v>
      </c>
      <c r="K138" s="363"/>
      <c r="L138" s="362">
        <f>1+J138</f>
        <v>14</v>
      </c>
      <c r="M138" s="363"/>
      <c r="N138" s="362">
        <v>15</v>
      </c>
      <c r="O138" s="363"/>
      <c r="P138" s="362">
        <f>1+N138</f>
        <v>16</v>
      </c>
      <c r="Q138" s="363"/>
    </row>
    <row r="139" spans="1:17" ht="13.5" thickBot="1" x14ac:dyDescent="0.25">
      <c r="A139" s="359"/>
      <c r="B139" s="359"/>
      <c r="C139" s="359"/>
      <c r="D139" s="2" t="s">
        <v>12</v>
      </c>
      <c r="E139" s="3" t="s">
        <v>13</v>
      </c>
      <c r="F139" s="4" t="s">
        <v>12</v>
      </c>
      <c r="G139" s="3" t="s">
        <v>13</v>
      </c>
      <c r="H139" s="4" t="s">
        <v>12</v>
      </c>
      <c r="I139" s="3" t="s">
        <v>13</v>
      </c>
      <c r="J139" s="4" t="s">
        <v>12</v>
      </c>
      <c r="K139" s="3" t="s">
        <v>13</v>
      </c>
      <c r="L139" s="4" t="s">
        <v>12</v>
      </c>
      <c r="M139" s="3" t="s">
        <v>13</v>
      </c>
      <c r="N139" s="4" t="s">
        <v>12</v>
      </c>
      <c r="O139" s="3" t="s">
        <v>13</v>
      </c>
      <c r="P139" s="4" t="s">
        <v>12</v>
      </c>
      <c r="Q139" s="3" t="s">
        <v>13</v>
      </c>
    </row>
    <row r="140" spans="1:17" x14ac:dyDescent="0.2">
      <c r="A140" s="364" t="s">
        <v>57</v>
      </c>
      <c r="B140" s="5" t="s">
        <v>15</v>
      </c>
      <c r="C140" s="5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">
      <c r="A141" s="365"/>
      <c r="B141" s="9" t="s">
        <v>16</v>
      </c>
      <c r="C141" s="10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ht="13.5" thickBot="1" x14ac:dyDescent="0.25">
      <c r="A142" s="366"/>
      <c r="B142" s="11"/>
      <c r="C142" s="10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</row>
    <row r="143" spans="1:17" x14ac:dyDescent="0.2">
      <c r="A143" s="364" t="s">
        <v>43</v>
      </c>
      <c r="B143" s="5" t="s">
        <v>15</v>
      </c>
      <c r="C143" s="15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">
      <c r="A144" s="365"/>
      <c r="B144" s="16" t="s">
        <v>16</v>
      </c>
      <c r="C144" s="3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ht="13.5" thickBot="1" x14ac:dyDescent="0.25">
      <c r="A145" s="366"/>
      <c r="B145" s="17"/>
      <c r="C145" s="18"/>
      <c r="D145" s="100"/>
      <c r="E145" s="100"/>
      <c r="F145" s="100"/>
      <c r="G145" s="100"/>
      <c r="H145" s="100"/>
      <c r="I145" s="100"/>
      <c r="J145" s="100"/>
      <c r="K145" s="100"/>
      <c r="L145" s="13"/>
      <c r="M145" s="13"/>
      <c r="N145" s="100"/>
      <c r="O145" s="100"/>
      <c r="P145" s="100"/>
      <c r="Q145" s="100"/>
    </row>
    <row r="146" spans="1:17" x14ac:dyDescent="0.2">
      <c r="A146" s="364" t="s">
        <v>17</v>
      </c>
      <c r="B146" s="19" t="s">
        <v>15</v>
      </c>
      <c r="C146" s="5"/>
      <c r="D146" s="112"/>
      <c r="E146" s="112"/>
      <c r="F146" s="112"/>
      <c r="G146" s="112"/>
      <c r="H146" s="112"/>
      <c r="I146" s="112"/>
      <c r="J146" s="7"/>
      <c r="K146" s="7"/>
      <c r="L146" s="7"/>
      <c r="M146" s="7"/>
      <c r="N146" s="7"/>
      <c r="O146" s="7"/>
      <c r="P146" s="7"/>
      <c r="Q146" s="7"/>
    </row>
    <row r="147" spans="1:17" x14ac:dyDescent="0.2">
      <c r="A147" s="365"/>
      <c r="B147" s="9" t="s">
        <v>16</v>
      </c>
      <c r="C147" s="9"/>
      <c r="D147" s="112"/>
      <c r="E147" s="112"/>
      <c r="F147" s="112"/>
      <c r="G147" s="112"/>
      <c r="H147" s="112"/>
      <c r="I147" s="112"/>
      <c r="J147" s="7"/>
      <c r="K147" s="7"/>
      <c r="L147" s="7"/>
      <c r="M147" s="7"/>
      <c r="N147" s="7"/>
      <c r="O147" s="7"/>
      <c r="P147" s="7"/>
      <c r="Q147" s="7"/>
    </row>
    <row r="148" spans="1:17" ht="13.5" thickBot="1" x14ac:dyDescent="0.25">
      <c r="A148" s="366"/>
      <c r="B148" s="17" t="s">
        <v>16</v>
      </c>
      <c r="C148" s="21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</row>
    <row r="149" spans="1:17" x14ac:dyDescent="0.2">
      <c r="A149" s="364" t="s">
        <v>18</v>
      </c>
      <c r="B149" s="9" t="s">
        <v>15</v>
      </c>
      <c r="C149" s="2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">
      <c r="A150" s="365"/>
      <c r="B150" s="9" t="s">
        <v>16</v>
      </c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">
      <c r="A151" s="366"/>
      <c r="B151" s="17"/>
      <c r="C151" s="17"/>
      <c r="D151" s="100"/>
      <c r="E151" s="100"/>
      <c r="F151" s="100"/>
      <c r="G151" s="100"/>
      <c r="H151" s="13"/>
      <c r="I151" s="13"/>
      <c r="J151" s="100"/>
      <c r="K151" s="100"/>
      <c r="L151" s="13"/>
      <c r="M151" s="13"/>
      <c r="N151" s="100"/>
      <c r="O151" s="100"/>
      <c r="P151" s="100"/>
      <c r="Q151" s="100"/>
    </row>
    <row r="152" spans="1:17" x14ac:dyDescent="0.2">
      <c r="A152" s="364" t="s">
        <v>19</v>
      </c>
      <c r="B152" s="5" t="s">
        <v>15</v>
      </c>
      <c r="C152" s="15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">
      <c r="A153" s="365"/>
      <c r="B153" s="9" t="s">
        <v>16</v>
      </c>
      <c r="C153" s="10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">
      <c r="A154" s="366"/>
      <c r="B154" s="11"/>
      <c r="C154" s="1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</row>
    <row r="155" spans="1:17" x14ac:dyDescent="0.2">
      <c r="A155" s="364" t="s">
        <v>20</v>
      </c>
      <c r="B155" s="21" t="s">
        <v>16</v>
      </c>
      <c r="C155" s="15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">
      <c r="A156" s="365"/>
      <c r="B156" s="9" t="s">
        <v>16</v>
      </c>
      <c r="C156" s="25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">
      <c r="A157" s="366"/>
      <c r="B157" s="23"/>
      <c r="C157" s="22"/>
      <c r="D157" s="14"/>
      <c r="E157" s="24"/>
      <c r="F157" s="14"/>
      <c r="G157" s="24"/>
      <c r="H157" s="14"/>
      <c r="I157" s="24"/>
      <c r="J157" s="14"/>
      <c r="K157" s="24"/>
      <c r="L157" s="102"/>
      <c r="M157" s="113"/>
      <c r="N157" s="102"/>
      <c r="O157" s="113"/>
      <c r="P157" s="102"/>
      <c r="Q157" s="113"/>
    </row>
    <row r="158" spans="1:17" x14ac:dyDescent="0.2">
      <c r="A158" s="364" t="s">
        <v>21</v>
      </c>
      <c r="B158" s="5" t="s">
        <v>15</v>
      </c>
      <c r="C158" s="5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8"/>
    </row>
    <row r="159" spans="1:17" x14ac:dyDescent="0.2">
      <c r="A159" s="365"/>
      <c r="B159" s="9" t="s">
        <v>16</v>
      </c>
      <c r="C159" s="10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">
      <c r="A160" s="366"/>
      <c r="B160" s="17"/>
      <c r="C160" s="11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4"/>
    </row>
    <row r="161" spans="1:17" x14ac:dyDescent="0.2">
      <c r="A161" s="364" t="s">
        <v>22</v>
      </c>
      <c r="B161" s="5" t="s">
        <v>15</v>
      </c>
      <c r="C161" s="345"/>
      <c r="D161" s="8"/>
      <c r="E161" s="20"/>
      <c r="F161" s="8"/>
      <c r="G161" s="20"/>
      <c r="H161" s="346"/>
      <c r="I161" s="347"/>
      <c r="J161" s="8"/>
      <c r="K161" s="20"/>
      <c r="L161" s="8"/>
      <c r="M161" s="20"/>
      <c r="N161" s="8"/>
      <c r="O161" s="20"/>
      <c r="P161" s="8"/>
      <c r="Q161" s="20"/>
    </row>
    <row r="162" spans="1:17" x14ac:dyDescent="0.2">
      <c r="A162" s="365"/>
      <c r="B162" s="23" t="s">
        <v>16</v>
      </c>
      <c r="C162" s="2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">
      <c r="A163" s="366"/>
      <c r="B163" s="17"/>
      <c r="C163" s="26"/>
      <c r="D163" s="102"/>
      <c r="E163" s="113"/>
      <c r="F163" s="14"/>
      <c r="G163" s="24"/>
      <c r="H163" s="102"/>
      <c r="I163" s="113"/>
      <c r="J163" s="14"/>
      <c r="K163" s="24"/>
      <c r="L163" s="14"/>
      <c r="M163" s="24"/>
      <c r="N163" s="14"/>
      <c r="O163" s="24"/>
      <c r="P163" s="14"/>
      <c r="Q163" s="24"/>
    </row>
    <row r="164" spans="1:17" x14ac:dyDescent="0.2">
      <c r="A164" s="364" t="s">
        <v>23</v>
      </c>
      <c r="B164" s="5" t="s">
        <v>15</v>
      </c>
      <c r="C164" s="5"/>
      <c r="D164" s="8"/>
      <c r="E164" s="20"/>
      <c r="F164" s="8"/>
      <c r="G164" s="20"/>
      <c r="H164" s="8"/>
      <c r="I164" s="20"/>
      <c r="J164" s="8"/>
      <c r="K164" s="20"/>
      <c r="L164" s="8"/>
      <c r="M164" s="20"/>
      <c r="N164" s="8"/>
      <c r="O164" s="20"/>
      <c r="P164" s="8"/>
      <c r="Q164" s="20"/>
    </row>
    <row r="165" spans="1:17" x14ac:dyDescent="0.2">
      <c r="A165" s="365"/>
      <c r="B165" s="9" t="s">
        <v>16</v>
      </c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">
      <c r="A166" s="366"/>
      <c r="B166" s="17"/>
      <c r="C166" s="26"/>
      <c r="D166" s="14"/>
      <c r="E166" s="24"/>
      <c r="F166" s="14"/>
      <c r="G166" s="24"/>
      <c r="H166" s="102"/>
      <c r="I166" s="113"/>
      <c r="J166" s="14"/>
      <c r="K166" s="24"/>
      <c r="L166" s="14"/>
      <c r="M166" s="24"/>
      <c r="N166" s="14"/>
      <c r="O166" s="24"/>
      <c r="P166" s="14"/>
      <c r="Q166" s="24"/>
    </row>
    <row r="167" spans="1:17" x14ac:dyDescent="0.2">
      <c r="A167" s="364" t="s">
        <v>24</v>
      </c>
      <c r="B167" s="5" t="s">
        <v>15</v>
      </c>
      <c r="C167" s="6"/>
      <c r="D167" s="7"/>
      <c r="E167" s="7"/>
      <c r="F167" s="7"/>
      <c r="G167" s="7"/>
      <c r="H167" s="8"/>
      <c r="I167" s="20"/>
      <c r="J167" s="8"/>
      <c r="K167" s="20"/>
      <c r="L167" s="8"/>
      <c r="M167" s="20"/>
      <c r="N167" s="8"/>
      <c r="O167" s="20"/>
      <c r="P167" s="8"/>
      <c r="Q167" s="20"/>
    </row>
    <row r="168" spans="1:17" x14ac:dyDescent="0.2">
      <c r="A168" s="365"/>
      <c r="B168" s="23" t="s">
        <v>16</v>
      </c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">
      <c r="A169" s="366"/>
      <c r="B169" s="17"/>
      <c r="C169" s="9"/>
      <c r="D169" s="102"/>
      <c r="E169" s="102"/>
      <c r="F169" s="102"/>
      <c r="G169" s="102"/>
      <c r="H169" s="102"/>
      <c r="I169" s="113"/>
      <c r="J169" s="102"/>
      <c r="K169" s="113"/>
      <c r="L169" s="102"/>
      <c r="M169" s="113"/>
      <c r="N169" s="102"/>
      <c r="O169" s="113"/>
      <c r="P169" s="102"/>
      <c r="Q169" s="113"/>
    </row>
    <row r="170" spans="1:17" x14ac:dyDescent="0.2">
      <c r="A170" s="364" t="s">
        <v>25</v>
      </c>
      <c r="B170" s="5" t="s">
        <v>15</v>
      </c>
      <c r="C170" s="6"/>
      <c r="D170" s="8"/>
      <c r="E170" s="20"/>
      <c r="F170" s="8"/>
      <c r="G170" s="20"/>
      <c r="H170" s="8"/>
      <c r="I170" s="20"/>
      <c r="J170" s="8"/>
      <c r="K170" s="8"/>
      <c r="L170" s="8"/>
      <c r="M170" s="8"/>
      <c r="N170" s="8"/>
      <c r="O170" s="8"/>
      <c r="P170" s="8"/>
      <c r="Q170" s="8"/>
    </row>
    <row r="171" spans="1:17" x14ac:dyDescent="0.2">
      <c r="A171" s="365"/>
      <c r="B171" s="9" t="s">
        <v>16</v>
      </c>
      <c r="C171" s="10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</row>
    <row r="172" spans="1:17" x14ac:dyDescent="0.2">
      <c r="A172" s="366"/>
      <c r="B172" s="11"/>
      <c r="C172" s="12"/>
      <c r="D172" s="14"/>
      <c r="E172" s="24"/>
      <c r="F172" s="14"/>
      <c r="G172" s="24"/>
      <c r="H172" s="102"/>
      <c r="I172" s="113"/>
      <c r="J172" s="102"/>
      <c r="K172" s="102"/>
      <c r="L172" s="102"/>
      <c r="M172" s="102"/>
      <c r="N172" s="102"/>
      <c r="O172" s="102"/>
      <c r="P172" s="102"/>
      <c r="Q172" s="102"/>
    </row>
    <row r="173" spans="1:17" x14ac:dyDescent="0.2">
      <c r="A173" s="364" t="s">
        <v>26</v>
      </c>
      <c r="B173" s="5" t="s">
        <v>15</v>
      </c>
      <c r="C173" s="9"/>
      <c r="D173" s="8"/>
      <c r="E173" s="20"/>
      <c r="F173" s="8"/>
      <c r="G173" s="20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</row>
    <row r="174" spans="1:17" x14ac:dyDescent="0.2">
      <c r="A174" s="365"/>
      <c r="B174" s="21" t="s">
        <v>16</v>
      </c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">
      <c r="A175" s="366"/>
      <c r="B175" s="11"/>
      <c r="C175" s="11"/>
      <c r="D175" s="14"/>
      <c r="E175" s="24"/>
      <c r="F175" s="14"/>
      <c r="G175" s="24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</row>
    <row r="176" spans="1:17" x14ac:dyDescent="0.2">
      <c r="A176" s="364" t="s">
        <v>52</v>
      </c>
      <c r="B176" s="5" t="s">
        <v>15</v>
      </c>
      <c r="C176" s="5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8"/>
    </row>
    <row r="177" spans="1:17" x14ac:dyDescent="0.2">
      <c r="A177" s="365"/>
      <c r="B177" s="21" t="s">
        <v>16</v>
      </c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">
      <c r="A178" s="366"/>
      <c r="B178" s="11" t="s">
        <v>16</v>
      </c>
      <c r="C178" s="11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2"/>
    </row>
    <row r="179" spans="1:17" x14ac:dyDescent="0.2">
      <c r="A179" s="364" t="s">
        <v>53</v>
      </c>
      <c r="B179" s="5" t="s">
        <v>15</v>
      </c>
      <c r="C179" s="15"/>
      <c r="D179" s="8"/>
      <c r="E179" s="7"/>
      <c r="F179" s="8"/>
      <c r="G179" s="7"/>
      <c r="H179" s="8"/>
      <c r="I179" s="7"/>
      <c r="J179" s="8"/>
      <c r="K179" s="7"/>
      <c r="L179" s="8"/>
      <c r="M179" s="7"/>
      <c r="N179" s="8"/>
      <c r="O179" s="7"/>
      <c r="P179" s="8"/>
      <c r="Q179" s="7"/>
    </row>
    <row r="180" spans="1:17" x14ac:dyDescent="0.2">
      <c r="A180" s="365"/>
      <c r="B180" s="21" t="s">
        <v>16</v>
      </c>
      <c r="C180" s="25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">
      <c r="A181" s="366"/>
      <c r="B181" s="11"/>
      <c r="C181" s="11"/>
      <c r="D181" s="102"/>
      <c r="E181" s="100"/>
      <c r="F181" s="102"/>
      <c r="G181" s="100"/>
      <c r="H181" s="102"/>
      <c r="I181" s="100"/>
      <c r="J181" s="102"/>
      <c r="K181" s="100"/>
      <c r="L181" s="102"/>
      <c r="M181" s="100"/>
      <c r="N181" s="102"/>
      <c r="O181" s="100"/>
      <c r="P181" s="102"/>
      <c r="Q181" s="100"/>
    </row>
    <row r="182" spans="1:17" x14ac:dyDescent="0.2">
      <c r="A182" s="364" t="s">
        <v>54</v>
      </c>
      <c r="B182" s="5" t="s">
        <v>16</v>
      </c>
      <c r="C182" s="65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">
      <c r="A183" s="365"/>
      <c r="B183" s="21" t="s">
        <v>16</v>
      </c>
      <c r="C183" s="9"/>
      <c r="D183" s="112"/>
      <c r="E183" s="112"/>
      <c r="F183" s="112"/>
      <c r="G183" s="112"/>
      <c r="H183" s="112"/>
      <c r="I183" s="112"/>
      <c r="J183" s="7"/>
      <c r="K183" s="7"/>
      <c r="L183" s="7"/>
      <c r="M183" s="7"/>
      <c r="N183" s="7"/>
      <c r="O183" s="7"/>
      <c r="P183" s="7"/>
      <c r="Q183" s="7"/>
    </row>
    <row r="184" spans="1:17" x14ac:dyDescent="0.2">
      <c r="A184" s="366"/>
      <c r="B184" s="11"/>
      <c r="C184" s="11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</row>
    <row r="185" spans="1:17" x14ac:dyDescent="0.2">
      <c r="A185" s="28"/>
      <c r="B185" s="1"/>
      <c r="C185" s="110"/>
      <c r="D185" s="111"/>
      <c r="E185" s="1"/>
      <c r="F185" s="1"/>
      <c r="G185" s="1"/>
      <c r="H185" s="1"/>
      <c r="I185" s="1"/>
      <c r="J185" s="367"/>
      <c r="K185" s="367"/>
      <c r="L185" s="367"/>
      <c r="M185" s="1"/>
      <c r="N185" s="29"/>
      <c r="O185" s="29"/>
      <c r="P185" s="29"/>
      <c r="Q185" s="29"/>
    </row>
    <row r="186" spans="1:17" x14ac:dyDescent="0.2">
      <c r="A186" s="368" t="s">
        <v>27</v>
      </c>
      <c r="B186" s="368"/>
      <c r="C186" s="368"/>
      <c r="D186" s="368"/>
      <c r="E186" s="368"/>
      <c r="F186" s="368"/>
      <c r="G186" s="368"/>
      <c r="H186" s="368"/>
      <c r="I186" s="368"/>
      <c r="J186" s="368"/>
      <c r="K186" s="368"/>
      <c r="L186" s="368"/>
      <c r="M186" s="368"/>
      <c r="N186" s="368"/>
      <c r="O186" s="368"/>
      <c r="P186" s="368"/>
      <c r="Q186" s="368"/>
    </row>
    <row r="191" spans="1:17" x14ac:dyDescent="0.2">
      <c r="A191" s="96"/>
      <c r="B191" s="96"/>
      <c r="C191" s="27"/>
      <c r="D191" s="96"/>
      <c r="E191" s="96"/>
      <c r="F191" s="96"/>
      <c r="G191" s="96"/>
      <c r="H191" s="96"/>
      <c r="I191" s="96"/>
      <c r="J191" s="123"/>
      <c r="K191" s="123"/>
      <c r="L191" s="123"/>
    </row>
    <row r="192" spans="1:17" x14ac:dyDescent="0.2">
      <c r="A192" s="28"/>
      <c r="B192" s="1"/>
      <c r="C192" s="117" t="s">
        <v>28</v>
      </c>
      <c r="D192" s="122"/>
      <c r="E192" s="122"/>
      <c r="F192" s="1"/>
      <c r="G192" s="1"/>
      <c r="H192" s="1"/>
      <c r="I192" s="1"/>
      <c r="J192" s="369"/>
      <c r="K192" s="369"/>
      <c r="L192" s="369"/>
    </row>
    <row r="193" spans="1:12" x14ac:dyDescent="0.2">
      <c r="A193" s="30"/>
      <c r="B193" s="1"/>
      <c r="C193" s="117" t="s">
        <v>29</v>
      </c>
      <c r="D193" s="122"/>
      <c r="E193" s="122"/>
      <c r="F193" s="1"/>
      <c r="G193" s="1"/>
      <c r="H193" s="1"/>
      <c r="I193" s="1"/>
      <c r="J193" s="369"/>
      <c r="K193" s="369"/>
      <c r="L193" s="369"/>
    </row>
  </sheetData>
  <mergeCells count="118">
    <mergeCell ref="A77:A79"/>
    <mergeCell ref="J193:L193"/>
    <mergeCell ref="A167:A169"/>
    <mergeCell ref="A170:A172"/>
    <mergeCell ref="A173:A175"/>
    <mergeCell ref="A176:A178"/>
    <mergeCell ref="A179:A181"/>
    <mergeCell ref="A182:A184"/>
    <mergeCell ref="J185:L185"/>
    <mergeCell ref="A186:Q186"/>
    <mergeCell ref="J192:L192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37:A139"/>
    <mergeCell ref="B137:B139"/>
    <mergeCell ref="C137:C139"/>
    <mergeCell ref="D137:E137"/>
    <mergeCell ref="F137:G137"/>
    <mergeCell ref="H137:I137"/>
    <mergeCell ref="J137:K137"/>
    <mergeCell ref="L137:M137"/>
    <mergeCell ref="N137:O137"/>
    <mergeCell ref="P137:Q137"/>
    <mergeCell ref="D138:E138"/>
    <mergeCell ref="F138:G138"/>
    <mergeCell ref="H138:I138"/>
    <mergeCell ref="J138:K138"/>
    <mergeCell ref="L138:M138"/>
    <mergeCell ref="N138:O138"/>
    <mergeCell ref="P138:Q138"/>
    <mergeCell ref="J135:L135"/>
    <mergeCell ref="J136:L136"/>
    <mergeCell ref="A129:Q12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J128:L128"/>
    <mergeCell ref="J68:L68"/>
    <mergeCell ref="A71:Q71"/>
    <mergeCell ref="A72:Q72"/>
    <mergeCell ref="D75:E75"/>
    <mergeCell ref="F75:G75"/>
    <mergeCell ref="H75:I75"/>
    <mergeCell ref="J75:K75"/>
    <mergeCell ref="L75:M75"/>
    <mergeCell ref="N75:O75"/>
    <mergeCell ref="P75:Q75"/>
    <mergeCell ref="A70:Q70"/>
    <mergeCell ref="A74:A76"/>
    <mergeCell ref="B74:B76"/>
    <mergeCell ref="C74:C76"/>
    <mergeCell ref="D74:E74"/>
    <mergeCell ref="F74:G74"/>
    <mergeCell ref="H74:I74"/>
    <mergeCell ref="J74:K74"/>
    <mergeCell ref="L74:M74"/>
    <mergeCell ref="N74:O74"/>
    <mergeCell ref="P74:Q74"/>
    <mergeCell ref="A39:A41"/>
    <mergeCell ref="A42:A44"/>
    <mergeCell ref="A45:A47"/>
    <mergeCell ref="A48:A50"/>
    <mergeCell ref="A51:A53"/>
    <mergeCell ref="A57:A59"/>
    <mergeCell ref="J60:L60"/>
    <mergeCell ref="A61:Q61"/>
    <mergeCell ref="J67:L67"/>
    <mergeCell ref="A54:A56"/>
    <mergeCell ref="A9:A11"/>
    <mergeCell ref="A15:A17"/>
    <mergeCell ref="A18:A20"/>
    <mergeCell ref="A21:A23"/>
    <mergeCell ref="A24:A26"/>
    <mergeCell ref="A27:A29"/>
    <mergeCell ref="A30:A32"/>
    <mergeCell ref="A33:A35"/>
    <mergeCell ref="A36:A38"/>
    <mergeCell ref="A12:A14"/>
    <mergeCell ref="A2:Q2"/>
    <mergeCell ref="A3:Q3"/>
    <mergeCell ref="A4:Q4"/>
    <mergeCell ref="A6:A8"/>
    <mergeCell ref="B6:B8"/>
    <mergeCell ref="C6:C8"/>
    <mergeCell ref="D6:E6"/>
    <mergeCell ref="F6:G6"/>
    <mergeCell ref="H6:I6"/>
    <mergeCell ref="J6:K6"/>
    <mergeCell ref="L6:M6"/>
    <mergeCell ref="N6:O6"/>
    <mergeCell ref="P6:Q6"/>
    <mergeCell ref="D7:E7"/>
    <mergeCell ref="F7:G7"/>
    <mergeCell ref="H7:I7"/>
    <mergeCell ref="J7:K7"/>
    <mergeCell ref="L7:M7"/>
    <mergeCell ref="N7:O7"/>
    <mergeCell ref="P7:Q7"/>
  </mergeCells>
  <printOptions horizontalCentered="1" verticalCentered="1"/>
  <pageMargins left="3.937007874015748E-2" right="3.937007874015748E-2" top="0.31496062992125984" bottom="0.46" header="0" footer="0"/>
  <pageSetup paperSize="9" scale="61" orientation="landscape" verticalDpi="72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K201"/>
  <sheetViews>
    <sheetView topLeftCell="A182" zoomScale="75" zoomScaleNormal="75" workbookViewId="0">
      <selection activeCell="A211" sqref="A211"/>
    </sheetView>
  </sheetViews>
  <sheetFormatPr baseColWidth="10" defaultRowHeight="12.75" x14ac:dyDescent="0.2"/>
  <cols>
    <col min="1" max="1" width="10.140625" customWidth="1"/>
    <col min="2" max="2" width="9.42578125" customWidth="1"/>
    <col min="3" max="3" width="48.28515625" customWidth="1"/>
    <col min="4" max="35" width="2.85546875" customWidth="1"/>
    <col min="36" max="36" width="9" customWidth="1"/>
    <col min="37" max="37" width="71.42578125" customWidth="1"/>
    <col min="257" max="257" width="10.140625" customWidth="1"/>
    <col min="258" max="258" width="9.42578125" customWidth="1"/>
    <col min="259" max="259" width="40.85546875" customWidth="1"/>
    <col min="260" max="291" width="2.85546875" customWidth="1"/>
    <col min="292" max="292" width="9" customWidth="1"/>
    <col min="293" max="293" width="71.42578125" customWidth="1"/>
    <col min="513" max="513" width="10.140625" customWidth="1"/>
    <col min="514" max="514" width="9.42578125" customWidth="1"/>
    <col min="515" max="515" width="40.85546875" customWidth="1"/>
    <col min="516" max="547" width="2.85546875" customWidth="1"/>
    <col min="548" max="548" width="9" customWidth="1"/>
    <col min="549" max="549" width="71.42578125" customWidth="1"/>
    <col min="769" max="769" width="10.140625" customWidth="1"/>
    <col min="770" max="770" width="9.42578125" customWidth="1"/>
    <col min="771" max="771" width="40.85546875" customWidth="1"/>
    <col min="772" max="803" width="2.85546875" customWidth="1"/>
    <col min="804" max="804" width="9" customWidth="1"/>
    <col min="805" max="805" width="71.42578125" customWidth="1"/>
    <col min="1025" max="1025" width="10.140625" customWidth="1"/>
    <col min="1026" max="1026" width="9.42578125" customWidth="1"/>
    <col min="1027" max="1027" width="40.85546875" customWidth="1"/>
    <col min="1028" max="1059" width="2.85546875" customWidth="1"/>
    <col min="1060" max="1060" width="9" customWidth="1"/>
    <col min="1061" max="1061" width="71.42578125" customWidth="1"/>
    <col min="1281" max="1281" width="10.140625" customWidth="1"/>
    <col min="1282" max="1282" width="9.42578125" customWidth="1"/>
    <col min="1283" max="1283" width="40.85546875" customWidth="1"/>
    <col min="1284" max="1315" width="2.85546875" customWidth="1"/>
    <col min="1316" max="1316" width="9" customWidth="1"/>
    <col min="1317" max="1317" width="71.42578125" customWidth="1"/>
    <col min="1537" max="1537" width="10.140625" customWidth="1"/>
    <col min="1538" max="1538" width="9.42578125" customWidth="1"/>
    <col min="1539" max="1539" width="40.85546875" customWidth="1"/>
    <col min="1540" max="1571" width="2.85546875" customWidth="1"/>
    <col min="1572" max="1572" width="9" customWidth="1"/>
    <col min="1573" max="1573" width="71.42578125" customWidth="1"/>
    <col min="1793" max="1793" width="10.140625" customWidth="1"/>
    <col min="1794" max="1794" width="9.42578125" customWidth="1"/>
    <col min="1795" max="1795" width="40.85546875" customWidth="1"/>
    <col min="1796" max="1827" width="2.85546875" customWidth="1"/>
    <col min="1828" max="1828" width="9" customWidth="1"/>
    <col min="1829" max="1829" width="71.42578125" customWidth="1"/>
    <col min="2049" max="2049" width="10.140625" customWidth="1"/>
    <col min="2050" max="2050" width="9.42578125" customWidth="1"/>
    <col min="2051" max="2051" width="40.85546875" customWidth="1"/>
    <col min="2052" max="2083" width="2.85546875" customWidth="1"/>
    <col min="2084" max="2084" width="9" customWidth="1"/>
    <col min="2085" max="2085" width="71.42578125" customWidth="1"/>
    <col min="2305" max="2305" width="10.140625" customWidth="1"/>
    <col min="2306" max="2306" width="9.42578125" customWidth="1"/>
    <col min="2307" max="2307" width="40.85546875" customWidth="1"/>
    <col min="2308" max="2339" width="2.85546875" customWidth="1"/>
    <col min="2340" max="2340" width="9" customWidth="1"/>
    <col min="2341" max="2341" width="71.42578125" customWidth="1"/>
    <col min="2561" max="2561" width="10.140625" customWidth="1"/>
    <col min="2562" max="2562" width="9.42578125" customWidth="1"/>
    <col min="2563" max="2563" width="40.85546875" customWidth="1"/>
    <col min="2564" max="2595" width="2.85546875" customWidth="1"/>
    <col min="2596" max="2596" width="9" customWidth="1"/>
    <col min="2597" max="2597" width="71.42578125" customWidth="1"/>
    <col min="2817" max="2817" width="10.140625" customWidth="1"/>
    <col min="2818" max="2818" width="9.42578125" customWidth="1"/>
    <col min="2819" max="2819" width="40.85546875" customWidth="1"/>
    <col min="2820" max="2851" width="2.85546875" customWidth="1"/>
    <col min="2852" max="2852" width="9" customWidth="1"/>
    <col min="2853" max="2853" width="71.42578125" customWidth="1"/>
    <col min="3073" max="3073" width="10.140625" customWidth="1"/>
    <col min="3074" max="3074" width="9.42578125" customWidth="1"/>
    <col min="3075" max="3075" width="40.85546875" customWidth="1"/>
    <col min="3076" max="3107" width="2.85546875" customWidth="1"/>
    <col min="3108" max="3108" width="9" customWidth="1"/>
    <col min="3109" max="3109" width="71.42578125" customWidth="1"/>
    <col min="3329" max="3329" width="10.140625" customWidth="1"/>
    <col min="3330" max="3330" width="9.42578125" customWidth="1"/>
    <col min="3331" max="3331" width="40.85546875" customWidth="1"/>
    <col min="3332" max="3363" width="2.85546875" customWidth="1"/>
    <col min="3364" max="3364" width="9" customWidth="1"/>
    <col min="3365" max="3365" width="71.42578125" customWidth="1"/>
    <col min="3585" max="3585" width="10.140625" customWidth="1"/>
    <col min="3586" max="3586" width="9.42578125" customWidth="1"/>
    <col min="3587" max="3587" width="40.85546875" customWidth="1"/>
    <col min="3588" max="3619" width="2.85546875" customWidth="1"/>
    <col min="3620" max="3620" width="9" customWidth="1"/>
    <col min="3621" max="3621" width="71.42578125" customWidth="1"/>
    <col min="3841" max="3841" width="10.140625" customWidth="1"/>
    <col min="3842" max="3842" width="9.42578125" customWidth="1"/>
    <col min="3843" max="3843" width="40.85546875" customWidth="1"/>
    <col min="3844" max="3875" width="2.85546875" customWidth="1"/>
    <col min="3876" max="3876" width="9" customWidth="1"/>
    <col min="3877" max="3877" width="71.42578125" customWidth="1"/>
    <col min="4097" max="4097" width="10.140625" customWidth="1"/>
    <col min="4098" max="4098" width="9.42578125" customWidth="1"/>
    <col min="4099" max="4099" width="40.85546875" customWidth="1"/>
    <col min="4100" max="4131" width="2.85546875" customWidth="1"/>
    <col min="4132" max="4132" width="9" customWidth="1"/>
    <col min="4133" max="4133" width="71.42578125" customWidth="1"/>
    <col min="4353" max="4353" width="10.140625" customWidth="1"/>
    <col min="4354" max="4354" width="9.42578125" customWidth="1"/>
    <col min="4355" max="4355" width="40.85546875" customWidth="1"/>
    <col min="4356" max="4387" width="2.85546875" customWidth="1"/>
    <col min="4388" max="4388" width="9" customWidth="1"/>
    <col min="4389" max="4389" width="71.42578125" customWidth="1"/>
    <col min="4609" max="4609" width="10.140625" customWidth="1"/>
    <col min="4610" max="4610" width="9.42578125" customWidth="1"/>
    <col min="4611" max="4611" width="40.85546875" customWidth="1"/>
    <col min="4612" max="4643" width="2.85546875" customWidth="1"/>
    <col min="4644" max="4644" width="9" customWidth="1"/>
    <col min="4645" max="4645" width="71.42578125" customWidth="1"/>
    <col min="4865" max="4865" width="10.140625" customWidth="1"/>
    <col min="4866" max="4866" width="9.42578125" customWidth="1"/>
    <col min="4867" max="4867" width="40.85546875" customWidth="1"/>
    <col min="4868" max="4899" width="2.85546875" customWidth="1"/>
    <col min="4900" max="4900" width="9" customWidth="1"/>
    <col min="4901" max="4901" width="71.42578125" customWidth="1"/>
    <col min="5121" max="5121" width="10.140625" customWidth="1"/>
    <col min="5122" max="5122" width="9.42578125" customWidth="1"/>
    <col min="5123" max="5123" width="40.85546875" customWidth="1"/>
    <col min="5124" max="5155" width="2.85546875" customWidth="1"/>
    <col min="5156" max="5156" width="9" customWidth="1"/>
    <col min="5157" max="5157" width="71.42578125" customWidth="1"/>
    <col min="5377" max="5377" width="10.140625" customWidth="1"/>
    <col min="5378" max="5378" width="9.42578125" customWidth="1"/>
    <col min="5379" max="5379" width="40.85546875" customWidth="1"/>
    <col min="5380" max="5411" width="2.85546875" customWidth="1"/>
    <col min="5412" max="5412" width="9" customWidth="1"/>
    <col min="5413" max="5413" width="71.42578125" customWidth="1"/>
    <col min="5633" max="5633" width="10.140625" customWidth="1"/>
    <col min="5634" max="5634" width="9.42578125" customWidth="1"/>
    <col min="5635" max="5635" width="40.85546875" customWidth="1"/>
    <col min="5636" max="5667" width="2.85546875" customWidth="1"/>
    <col min="5668" max="5668" width="9" customWidth="1"/>
    <col min="5669" max="5669" width="71.42578125" customWidth="1"/>
    <col min="5889" max="5889" width="10.140625" customWidth="1"/>
    <col min="5890" max="5890" width="9.42578125" customWidth="1"/>
    <col min="5891" max="5891" width="40.85546875" customWidth="1"/>
    <col min="5892" max="5923" width="2.85546875" customWidth="1"/>
    <col min="5924" max="5924" width="9" customWidth="1"/>
    <col min="5925" max="5925" width="71.42578125" customWidth="1"/>
    <col min="6145" max="6145" width="10.140625" customWidth="1"/>
    <col min="6146" max="6146" width="9.42578125" customWidth="1"/>
    <col min="6147" max="6147" width="40.85546875" customWidth="1"/>
    <col min="6148" max="6179" width="2.85546875" customWidth="1"/>
    <col min="6180" max="6180" width="9" customWidth="1"/>
    <col min="6181" max="6181" width="71.42578125" customWidth="1"/>
    <col min="6401" max="6401" width="10.140625" customWidth="1"/>
    <col min="6402" max="6402" width="9.42578125" customWidth="1"/>
    <col min="6403" max="6403" width="40.85546875" customWidth="1"/>
    <col min="6404" max="6435" width="2.85546875" customWidth="1"/>
    <col min="6436" max="6436" width="9" customWidth="1"/>
    <col min="6437" max="6437" width="71.42578125" customWidth="1"/>
    <col min="6657" max="6657" width="10.140625" customWidth="1"/>
    <col min="6658" max="6658" width="9.42578125" customWidth="1"/>
    <col min="6659" max="6659" width="40.85546875" customWidth="1"/>
    <col min="6660" max="6691" width="2.85546875" customWidth="1"/>
    <col min="6692" max="6692" width="9" customWidth="1"/>
    <col min="6693" max="6693" width="71.42578125" customWidth="1"/>
    <col min="6913" max="6913" width="10.140625" customWidth="1"/>
    <col min="6914" max="6914" width="9.42578125" customWidth="1"/>
    <col min="6915" max="6915" width="40.85546875" customWidth="1"/>
    <col min="6916" max="6947" width="2.85546875" customWidth="1"/>
    <col min="6948" max="6948" width="9" customWidth="1"/>
    <col min="6949" max="6949" width="71.42578125" customWidth="1"/>
    <col min="7169" max="7169" width="10.140625" customWidth="1"/>
    <col min="7170" max="7170" width="9.42578125" customWidth="1"/>
    <col min="7171" max="7171" width="40.85546875" customWidth="1"/>
    <col min="7172" max="7203" width="2.85546875" customWidth="1"/>
    <col min="7204" max="7204" width="9" customWidth="1"/>
    <col min="7205" max="7205" width="71.42578125" customWidth="1"/>
    <col min="7425" max="7425" width="10.140625" customWidth="1"/>
    <col min="7426" max="7426" width="9.42578125" customWidth="1"/>
    <col min="7427" max="7427" width="40.85546875" customWidth="1"/>
    <col min="7428" max="7459" width="2.85546875" customWidth="1"/>
    <col min="7460" max="7460" width="9" customWidth="1"/>
    <col min="7461" max="7461" width="71.42578125" customWidth="1"/>
    <col min="7681" max="7681" width="10.140625" customWidth="1"/>
    <col min="7682" max="7682" width="9.42578125" customWidth="1"/>
    <col min="7683" max="7683" width="40.85546875" customWidth="1"/>
    <col min="7684" max="7715" width="2.85546875" customWidth="1"/>
    <col min="7716" max="7716" width="9" customWidth="1"/>
    <col min="7717" max="7717" width="71.42578125" customWidth="1"/>
    <col min="7937" max="7937" width="10.140625" customWidth="1"/>
    <col min="7938" max="7938" width="9.42578125" customWidth="1"/>
    <col min="7939" max="7939" width="40.85546875" customWidth="1"/>
    <col min="7940" max="7971" width="2.85546875" customWidth="1"/>
    <col min="7972" max="7972" width="9" customWidth="1"/>
    <col min="7973" max="7973" width="71.42578125" customWidth="1"/>
    <col min="8193" max="8193" width="10.140625" customWidth="1"/>
    <col min="8194" max="8194" width="9.42578125" customWidth="1"/>
    <col min="8195" max="8195" width="40.85546875" customWidth="1"/>
    <col min="8196" max="8227" width="2.85546875" customWidth="1"/>
    <col min="8228" max="8228" width="9" customWidth="1"/>
    <col min="8229" max="8229" width="71.42578125" customWidth="1"/>
    <col min="8449" max="8449" width="10.140625" customWidth="1"/>
    <col min="8450" max="8450" width="9.42578125" customWidth="1"/>
    <col min="8451" max="8451" width="40.85546875" customWidth="1"/>
    <col min="8452" max="8483" width="2.85546875" customWidth="1"/>
    <col min="8484" max="8484" width="9" customWidth="1"/>
    <col min="8485" max="8485" width="71.42578125" customWidth="1"/>
    <col min="8705" max="8705" width="10.140625" customWidth="1"/>
    <col min="8706" max="8706" width="9.42578125" customWidth="1"/>
    <col min="8707" max="8707" width="40.85546875" customWidth="1"/>
    <col min="8708" max="8739" width="2.85546875" customWidth="1"/>
    <col min="8740" max="8740" width="9" customWidth="1"/>
    <col min="8741" max="8741" width="71.42578125" customWidth="1"/>
    <col min="8961" max="8961" width="10.140625" customWidth="1"/>
    <col min="8962" max="8962" width="9.42578125" customWidth="1"/>
    <col min="8963" max="8963" width="40.85546875" customWidth="1"/>
    <col min="8964" max="8995" width="2.85546875" customWidth="1"/>
    <col min="8996" max="8996" width="9" customWidth="1"/>
    <col min="8997" max="8997" width="71.42578125" customWidth="1"/>
    <col min="9217" max="9217" width="10.140625" customWidth="1"/>
    <col min="9218" max="9218" width="9.42578125" customWidth="1"/>
    <col min="9219" max="9219" width="40.85546875" customWidth="1"/>
    <col min="9220" max="9251" width="2.85546875" customWidth="1"/>
    <col min="9252" max="9252" width="9" customWidth="1"/>
    <col min="9253" max="9253" width="71.42578125" customWidth="1"/>
    <col min="9473" max="9473" width="10.140625" customWidth="1"/>
    <col min="9474" max="9474" width="9.42578125" customWidth="1"/>
    <col min="9475" max="9475" width="40.85546875" customWidth="1"/>
    <col min="9476" max="9507" width="2.85546875" customWidth="1"/>
    <col min="9508" max="9508" width="9" customWidth="1"/>
    <col min="9509" max="9509" width="71.42578125" customWidth="1"/>
    <col min="9729" max="9729" width="10.140625" customWidth="1"/>
    <col min="9730" max="9730" width="9.42578125" customWidth="1"/>
    <col min="9731" max="9731" width="40.85546875" customWidth="1"/>
    <col min="9732" max="9763" width="2.85546875" customWidth="1"/>
    <col min="9764" max="9764" width="9" customWidth="1"/>
    <col min="9765" max="9765" width="71.42578125" customWidth="1"/>
    <col min="9985" max="9985" width="10.140625" customWidth="1"/>
    <col min="9986" max="9986" width="9.42578125" customWidth="1"/>
    <col min="9987" max="9987" width="40.85546875" customWidth="1"/>
    <col min="9988" max="10019" width="2.85546875" customWidth="1"/>
    <col min="10020" max="10020" width="9" customWidth="1"/>
    <col min="10021" max="10021" width="71.42578125" customWidth="1"/>
    <col min="10241" max="10241" width="10.140625" customWidth="1"/>
    <col min="10242" max="10242" width="9.42578125" customWidth="1"/>
    <col min="10243" max="10243" width="40.85546875" customWidth="1"/>
    <col min="10244" max="10275" width="2.85546875" customWidth="1"/>
    <col min="10276" max="10276" width="9" customWidth="1"/>
    <col min="10277" max="10277" width="71.42578125" customWidth="1"/>
    <col min="10497" max="10497" width="10.140625" customWidth="1"/>
    <col min="10498" max="10498" width="9.42578125" customWidth="1"/>
    <col min="10499" max="10499" width="40.85546875" customWidth="1"/>
    <col min="10500" max="10531" width="2.85546875" customWidth="1"/>
    <col min="10532" max="10532" width="9" customWidth="1"/>
    <col min="10533" max="10533" width="71.42578125" customWidth="1"/>
    <col min="10753" max="10753" width="10.140625" customWidth="1"/>
    <col min="10754" max="10754" width="9.42578125" customWidth="1"/>
    <col min="10755" max="10755" width="40.85546875" customWidth="1"/>
    <col min="10756" max="10787" width="2.85546875" customWidth="1"/>
    <col min="10788" max="10788" width="9" customWidth="1"/>
    <col min="10789" max="10789" width="71.42578125" customWidth="1"/>
    <col min="11009" max="11009" width="10.140625" customWidth="1"/>
    <col min="11010" max="11010" width="9.42578125" customWidth="1"/>
    <col min="11011" max="11011" width="40.85546875" customWidth="1"/>
    <col min="11012" max="11043" width="2.85546875" customWidth="1"/>
    <col min="11044" max="11044" width="9" customWidth="1"/>
    <col min="11045" max="11045" width="71.42578125" customWidth="1"/>
    <col min="11265" max="11265" width="10.140625" customWidth="1"/>
    <col min="11266" max="11266" width="9.42578125" customWidth="1"/>
    <col min="11267" max="11267" width="40.85546875" customWidth="1"/>
    <col min="11268" max="11299" width="2.85546875" customWidth="1"/>
    <col min="11300" max="11300" width="9" customWidth="1"/>
    <col min="11301" max="11301" width="71.42578125" customWidth="1"/>
    <col min="11521" max="11521" width="10.140625" customWidth="1"/>
    <col min="11522" max="11522" width="9.42578125" customWidth="1"/>
    <col min="11523" max="11523" width="40.85546875" customWidth="1"/>
    <col min="11524" max="11555" width="2.85546875" customWidth="1"/>
    <col min="11556" max="11556" width="9" customWidth="1"/>
    <col min="11557" max="11557" width="71.42578125" customWidth="1"/>
    <col min="11777" max="11777" width="10.140625" customWidth="1"/>
    <col min="11778" max="11778" width="9.42578125" customWidth="1"/>
    <col min="11779" max="11779" width="40.85546875" customWidth="1"/>
    <col min="11780" max="11811" width="2.85546875" customWidth="1"/>
    <col min="11812" max="11812" width="9" customWidth="1"/>
    <col min="11813" max="11813" width="71.42578125" customWidth="1"/>
    <col min="12033" max="12033" width="10.140625" customWidth="1"/>
    <col min="12034" max="12034" width="9.42578125" customWidth="1"/>
    <col min="12035" max="12035" width="40.85546875" customWidth="1"/>
    <col min="12036" max="12067" width="2.85546875" customWidth="1"/>
    <col min="12068" max="12068" width="9" customWidth="1"/>
    <col min="12069" max="12069" width="71.42578125" customWidth="1"/>
    <col min="12289" max="12289" width="10.140625" customWidth="1"/>
    <col min="12290" max="12290" width="9.42578125" customWidth="1"/>
    <col min="12291" max="12291" width="40.85546875" customWidth="1"/>
    <col min="12292" max="12323" width="2.85546875" customWidth="1"/>
    <col min="12324" max="12324" width="9" customWidth="1"/>
    <col min="12325" max="12325" width="71.42578125" customWidth="1"/>
    <col min="12545" max="12545" width="10.140625" customWidth="1"/>
    <col min="12546" max="12546" width="9.42578125" customWidth="1"/>
    <col min="12547" max="12547" width="40.85546875" customWidth="1"/>
    <col min="12548" max="12579" width="2.85546875" customWidth="1"/>
    <col min="12580" max="12580" width="9" customWidth="1"/>
    <col min="12581" max="12581" width="71.42578125" customWidth="1"/>
    <col min="12801" max="12801" width="10.140625" customWidth="1"/>
    <col min="12802" max="12802" width="9.42578125" customWidth="1"/>
    <col min="12803" max="12803" width="40.85546875" customWidth="1"/>
    <col min="12804" max="12835" width="2.85546875" customWidth="1"/>
    <col min="12836" max="12836" width="9" customWidth="1"/>
    <col min="12837" max="12837" width="71.42578125" customWidth="1"/>
    <col min="13057" max="13057" width="10.140625" customWidth="1"/>
    <col min="13058" max="13058" width="9.42578125" customWidth="1"/>
    <col min="13059" max="13059" width="40.85546875" customWidth="1"/>
    <col min="13060" max="13091" width="2.85546875" customWidth="1"/>
    <col min="13092" max="13092" width="9" customWidth="1"/>
    <col min="13093" max="13093" width="71.42578125" customWidth="1"/>
    <col min="13313" max="13313" width="10.140625" customWidth="1"/>
    <col min="13314" max="13314" width="9.42578125" customWidth="1"/>
    <col min="13315" max="13315" width="40.85546875" customWidth="1"/>
    <col min="13316" max="13347" width="2.85546875" customWidth="1"/>
    <col min="13348" max="13348" width="9" customWidth="1"/>
    <col min="13349" max="13349" width="71.42578125" customWidth="1"/>
    <col min="13569" max="13569" width="10.140625" customWidth="1"/>
    <col min="13570" max="13570" width="9.42578125" customWidth="1"/>
    <col min="13571" max="13571" width="40.85546875" customWidth="1"/>
    <col min="13572" max="13603" width="2.85546875" customWidth="1"/>
    <col min="13604" max="13604" width="9" customWidth="1"/>
    <col min="13605" max="13605" width="71.42578125" customWidth="1"/>
    <col min="13825" max="13825" width="10.140625" customWidth="1"/>
    <col min="13826" max="13826" width="9.42578125" customWidth="1"/>
    <col min="13827" max="13827" width="40.85546875" customWidth="1"/>
    <col min="13828" max="13859" width="2.85546875" customWidth="1"/>
    <col min="13860" max="13860" width="9" customWidth="1"/>
    <col min="13861" max="13861" width="71.42578125" customWidth="1"/>
    <col min="14081" max="14081" width="10.140625" customWidth="1"/>
    <col min="14082" max="14082" width="9.42578125" customWidth="1"/>
    <col min="14083" max="14083" width="40.85546875" customWidth="1"/>
    <col min="14084" max="14115" width="2.85546875" customWidth="1"/>
    <col min="14116" max="14116" width="9" customWidth="1"/>
    <col min="14117" max="14117" width="71.42578125" customWidth="1"/>
    <col min="14337" max="14337" width="10.140625" customWidth="1"/>
    <col min="14338" max="14338" width="9.42578125" customWidth="1"/>
    <col min="14339" max="14339" width="40.85546875" customWidth="1"/>
    <col min="14340" max="14371" width="2.85546875" customWidth="1"/>
    <col min="14372" max="14372" width="9" customWidth="1"/>
    <col min="14373" max="14373" width="71.42578125" customWidth="1"/>
    <col min="14593" max="14593" width="10.140625" customWidth="1"/>
    <col min="14594" max="14594" width="9.42578125" customWidth="1"/>
    <col min="14595" max="14595" width="40.85546875" customWidth="1"/>
    <col min="14596" max="14627" width="2.85546875" customWidth="1"/>
    <col min="14628" max="14628" width="9" customWidth="1"/>
    <col min="14629" max="14629" width="71.42578125" customWidth="1"/>
    <col min="14849" max="14849" width="10.140625" customWidth="1"/>
    <col min="14850" max="14850" width="9.42578125" customWidth="1"/>
    <col min="14851" max="14851" width="40.85546875" customWidth="1"/>
    <col min="14852" max="14883" width="2.85546875" customWidth="1"/>
    <col min="14884" max="14884" width="9" customWidth="1"/>
    <col min="14885" max="14885" width="71.42578125" customWidth="1"/>
    <col min="15105" max="15105" width="10.140625" customWidth="1"/>
    <col min="15106" max="15106" width="9.42578125" customWidth="1"/>
    <col min="15107" max="15107" width="40.85546875" customWidth="1"/>
    <col min="15108" max="15139" width="2.85546875" customWidth="1"/>
    <col min="15140" max="15140" width="9" customWidth="1"/>
    <col min="15141" max="15141" width="71.42578125" customWidth="1"/>
    <col min="15361" max="15361" width="10.140625" customWidth="1"/>
    <col min="15362" max="15362" width="9.42578125" customWidth="1"/>
    <col min="15363" max="15363" width="40.85546875" customWidth="1"/>
    <col min="15364" max="15395" width="2.85546875" customWidth="1"/>
    <col min="15396" max="15396" width="9" customWidth="1"/>
    <col min="15397" max="15397" width="71.42578125" customWidth="1"/>
    <col min="15617" max="15617" width="10.140625" customWidth="1"/>
    <col min="15618" max="15618" width="9.42578125" customWidth="1"/>
    <col min="15619" max="15619" width="40.85546875" customWidth="1"/>
    <col min="15620" max="15651" width="2.85546875" customWidth="1"/>
    <col min="15652" max="15652" width="9" customWidth="1"/>
    <col min="15653" max="15653" width="71.42578125" customWidth="1"/>
    <col min="15873" max="15873" width="10.140625" customWidth="1"/>
    <col min="15874" max="15874" width="9.42578125" customWidth="1"/>
    <col min="15875" max="15875" width="40.85546875" customWidth="1"/>
    <col min="15876" max="15907" width="2.85546875" customWidth="1"/>
    <col min="15908" max="15908" width="9" customWidth="1"/>
    <col min="15909" max="15909" width="71.42578125" customWidth="1"/>
    <col min="16129" max="16129" width="10.140625" customWidth="1"/>
    <col min="16130" max="16130" width="9.42578125" customWidth="1"/>
    <col min="16131" max="16131" width="40.85546875" customWidth="1"/>
    <col min="16132" max="16163" width="2.85546875" customWidth="1"/>
    <col min="16164" max="16164" width="9" customWidth="1"/>
    <col min="16165" max="16165" width="71.42578125" customWidth="1"/>
  </cols>
  <sheetData>
    <row r="2" spans="1:37" ht="20.25" x14ac:dyDescent="0.3">
      <c r="A2" s="373" t="s">
        <v>0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  <c r="V2" s="373"/>
      <c r="W2" s="373"/>
      <c r="X2" s="373"/>
      <c r="Y2" s="373"/>
      <c r="Z2" s="373"/>
      <c r="AA2" s="373"/>
      <c r="AB2" s="373"/>
      <c r="AC2" s="373"/>
      <c r="AD2" s="373"/>
      <c r="AE2" s="373"/>
      <c r="AF2" s="373"/>
      <c r="AG2" s="373"/>
      <c r="AH2" s="373"/>
      <c r="AI2" s="373"/>
      <c r="AJ2" s="373"/>
      <c r="AK2" s="373"/>
    </row>
    <row r="3" spans="1:37" ht="20.25" x14ac:dyDescent="0.3">
      <c r="A3" s="373" t="s">
        <v>30</v>
      </c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  <c r="Z3" s="373"/>
      <c r="AA3" s="373"/>
      <c r="AB3" s="373"/>
      <c r="AC3" s="373"/>
      <c r="AD3" s="373"/>
      <c r="AE3" s="373"/>
      <c r="AF3" s="373"/>
      <c r="AG3" s="373"/>
      <c r="AH3" s="373"/>
      <c r="AI3" s="373"/>
      <c r="AJ3" s="373"/>
      <c r="AK3" s="373"/>
    </row>
    <row r="4" spans="1:37" ht="20.25" x14ac:dyDescent="0.3">
      <c r="A4" s="373" t="s">
        <v>58</v>
      </c>
      <c r="B4" s="373"/>
      <c r="C4" s="373"/>
      <c r="D4" s="373"/>
      <c r="E4" s="373"/>
      <c r="F4" s="373"/>
      <c r="G4" s="373"/>
      <c r="H4" s="373"/>
      <c r="I4" s="373"/>
      <c r="J4" s="373"/>
      <c r="K4" s="373"/>
      <c r="L4" s="373"/>
      <c r="M4" s="373"/>
      <c r="N4" s="373"/>
      <c r="O4" s="373"/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  <c r="AF4" s="373"/>
      <c r="AG4" s="373"/>
      <c r="AH4" s="373"/>
      <c r="AI4" s="373"/>
      <c r="AJ4" s="373"/>
      <c r="AK4" s="373"/>
    </row>
    <row r="5" spans="1:37" ht="13.5" thickBot="1" x14ac:dyDescent="0.25">
      <c r="A5" s="33"/>
      <c r="B5" s="33"/>
      <c r="C5" s="33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</row>
    <row r="6" spans="1:37" x14ac:dyDescent="0.2">
      <c r="A6" s="374" t="s">
        <v>2</v>
      </c>
      <c r="B6" s="374" t="s">
        <v>3</v>
      </c>
      <c r="C6" s="374" t="s">
        <v>4</v>
      </c>
      <c r="D6" s="377" t="s">
        <v>5</v>
      </c>
      <c r="E6" s="378"/>
      <c r="F6" s="378"/>
      <c r="G6" s="379"/>
      <c r="H6" s="377" t="s">
        <v>31</v>
      </c>
      <c r="I6" s="378"/>
      <c r="J6" s="378"/>
      <c r="K6" s="379"/>
      <c r="L6" s="380" t="s">
        <v>32</v>
      </c>
      <c r="M6" s="381"/>
      <c r="N6" s="381"/>
      <c r="O6" s="382"/>
      <c r="P6" s="377" t="s">
        <v>33</v>
      </c>
      <c r="Q6" s="378"/>
      <c r="R6" s="378"/>
      <c r="S6" s="379"/>
      <c r="T6" s="377" t="s">
        <v>9</v>
      </c>
      <c r="U6" s="378"/>
      <c r="V6" s="378"/>
      <c r="W6" s="379"/>
      <c r="X6" s="377" t="s">
        <v>34</v>
      </c>
      <c r="Y6" s="378"/>
      <c r="Z6" s="378"/>
      <c r="AA6" s="404"/>
      <c r="AB6" s="384" t="s">
        <v>35</v>
      </c>
      <c r="AC6" s="385"/>
      <c r="AD6" s="385"/>
      <c r="AE6" s="405"/>
      <c r="AF6" s="406" t="s">
        <v>36</v>
      </c>
      <c r="AG6" s="385"/>
      <c r="AH6" s="385"/>
      <c r="AI6" s="407"/>
      <c r="AJ6" s="302" t="s">
        <v>36</v>
      </c>
      <c r="AK6" s="374" t="s">
        <v>37</v>
      </c>
    </row>
    <row r="7" spans="1:37" ht="13.5" thickBot="1" x14ac:dyDescent="0.25">
      <c r="A7" s="375"/>
      <c r="B7" s="375"/>
      <c r="C7" s="375"/>
      <c r="D7" s="394">
        <v>12</v>
      </c>
      <c r="E7" s="395"/>
      <c r="F7" s="395"/>
      <c r="G7" s="400"/>
      <c r="H7" s="394">
        <f>1+D7</f>
        <v>13</v>
      </c>
      <c r="I7" s="395"/>
      <c r="J7" s="395"/>
      <c r="K7" s="400"/>
      <c r="L7" s="394">
        <f>1+H7</f>
        <v>14</v>
      </c>
      <c r="M7" s="395"/>
      <c r="N7" s="395"/>
      <c r="O7" s="400"/>
      <c r="P7" s="394">
        <v>15</v>
      </c>
      <c r="Q7" s="395"/>
      <c r="R7" s="395"/>
      <c r="S7" s="400"/>
      <c r="T7" s="394">
        <v>16</v>
      </c>
      <c r="U7" s="395"/>
      <c r="V7" s="395"/>
      <c r="W7" s="400"/>
      <c r="X7" s="394">
        <f>1+T7</f>
        <v>17</v>
      </c>
      <c r="Y7" s="395"/>
      <c r="Z7" s="395"/>
      <c r="AA7" s="410"/>
      <c r="AB7" s="401">
        <f>1+X7</f>
        <v>18</v>
      </c>
      <c r="AC7" s="402"/>
      <c r="AD7" s="402"/>
      <c r="AE7" s="411"/>
      <c r="AF7" s="408"/>
      <c r="AG7" s="402"/>
      <c r="AH7" s="402"/>
      <c r="AI7" s="409"/>
      <c r="AJ7" s="303"/>
      <c r="AK7" s="375"/>
    </row>
    <row r="8" spans="1:37" ht="13.5" thickBot="1" x14ac:dyDescent="0.25">
      <c r="A8" s="376"/>
      <c r="B8" s="376"/>
      <c r="C8" s="376"/>
      <c r="D8" s="36" t="s">
        <v>38</v>
      </c>
      <c r="E8" s="36" t="s">
        <v>39</v>
      </c>
      <c r="F8" s="36" t="s">
        <v>40</v>
      </c>
      <c r="G8" s="36" t="s">
        <v>41</v>
      </c>
      <c r="H8" s="37" t="s">
        <v>38</v>
      </c>
      <c r="I8" s="38" t="s">
        <v>39</v>
      </c>
      <c r="J8" s="38" t="s">
        <v>40</v>
      </c>
      <c r="K8" s="38" t="s">
        <v>41</v>
      </c>
      <c r="L8" s="36" t="s">
        <v>38</v>
      </c>
      <c r="M8" s="35" t="s">
        <v>39</v>
      </c>
      <c r="N8" s="36" t="s">
        <v>40</v>
      </c>
      <c r="O8" s="36" t="s">
        <v>41</v>
      </c>
      <c r="P8" s="38" t="s">
        <v>38</v>
      </c>
      <c r="Q8" s="38" t="s">
        <v>39</v>
      </c>
      <c r="R8" s="38" t="s">
        <v>40</v>
      </c>
      <c r="S8" s="38" t="s">
        <v>41</v>
      </c>
      <c r="T8" s="38" t="s">
        <v>38</v>
      </c>
      <c r="U8" s="38" t="s">
        <v>39</v>
      </c>
      <c r="V8" s="38" t="s">
        <v>40</v>
      </c>
      <c r="W8" s="38" t="s">
        <v>41</v>
      </c>
      <c r="X8" s="38" t="s">
        <v>38</v>
      </c>
      <c r="Y8" s="38" t="s">
        <v>39</v>
      </c>
      <c r="Z8" s="38" t="s">
        <v>40</v>
      </c>
      <c r="AA8" s="213" t="s">
        <v>41</v>
      </c>
      <c r="AB8" s="293" t="s">
        <v>38</v>
      </c>
      <c r="AC8" s="293" t="s">
        <v>39</v>
      </c>
      <c r="AD8" s="293" t="s">
        <v>40</v>
      </c>
      <c r="AE8" s="304" t="s">
        <v>41</v>
      </c>
      <c r="AF8" s="305" t="s">
        <v>38</v>
      </c>
      <c r="AG8" s="294" t="s">
        <v>39</v>
      </c>
      <c r="AH8" s="294" t="s">
        <v>40</v>
      </c>
      <c r="AI8" s="304" t="s">
        <v>41</v>
      </c>
      <c r="AJ8" s="306" t="s">
        <v>42</v>
      </c>
      <c r="AK8" s="376"/>
    </row>
    <row r="9" spans="1:37" x14ac:dyDescent="0.2">
      <c r="A9" s="364" t="s">
        <v>14</v>
      </c>
      <c r="B9" s="5" t="s">
        <v>15</v>
      </c>
      <c r="C9" s="5"/>
      <c r="D9" s="39"/>
      <c r="E9" s="40"/>
      <c r="F9" s="40"/>
      <c r="G9" s="41"/>
      <c r="H9" s="39"/>
      <c r="I9" s="40"/>
      <c r="J9" s="40"/>
      <c r="K9" s="41"/>
      <c r="L9" s="39"/>
      <c r="M9" s="40"/>
      <c r="N9" s="40"/>
      <c r="O9" s="41"/>
      <c r="P9" s="39"/>
      <c r="Q9" s="40"/>
      <c r="R9" s="40"/>
      <c r="S9" s="41"/>
      <c r="T9" s="39"/>
      <c r="U9" s="40"/>
      <c r="V9" s="40"/>
      <c r="W9" s="41"/>
      <c r="X9" s="39"/>
      <c r="Y9" s="40"/>
      <c r="Z9" s="40"/>
      <c r="AA9" s="41"/>
      <c r="AB9" s="290"/>
      <c r="AC9" s="291"/>
      <c r="AD9" s="291"/>
      <c r="AE9" s="307"/>
      <c r="AF9" s="228">
        <v>0</v>
      </c>
      <c r="AG9" s="255">
        <f t="shared" ref="AG9:AI10" si="0">E9+I9+M9+Q9+U9+Y9+AC9</f>
        <v>0</v>
      </c>
      <c r="AH9" s="255">
        <f t="shared" si="0"/>
        <v>0</v>
      </c>
      <c r="AI9" s="256">
        <f t="shared" si="0"/>
        <v>0</v>
      </c>
      <c r="AJ9" s="240">
        <f>AF9*2+AG9*2.5+AH9*2.5+AI9*2.5</f>
        <v>0</v>
      </c>
      <c r="AK9" s="140"/>
    </row>
    <row r="10" spans="1:37" x14ac:dyDescent="0.2">
      <c r="A10" s="365"/>
      <c r="B10" s="9" t="s">
        <v>16</v>
      </c>
      <c r="C10" s="101"/>
      <c r="D10" s="206"/>
      <c r="E10" s="48"/>
      <c r="F10" s="48"/>
      <c r="G10" s="49"/>
      <c r="H10" s="206"/>
      <c r="I10" s="48"/>
      <c r="J10" s="48"/>
      <c r="K10" s="49"/>
      <c r="L10" s="206"/>
      <c r="M10" s="48"/>
      <c r="N10" s="48"/>
      <c r="O10" s="49"/>
      <c r="P10" s="206"/>
      <c r="Q10" s="48"/>
      <c r="R10" s="48"/>
      <c r="S10" s="49"/>
      <c r="T10" s="206"/>
      <c r="U10" s="48"/>
      <c r="V10" s="48"/>
      <c r="W10" s="49"/>
      <c r="X10" s="206"/>
      <c r="Y10" s="48"/>
      <c r="Z10" s="48"/>
      <c r="AA10" s="49"/>
      <c r="AB10" s="206"/>
      <c r="AC10" s="48"/>
      <c r="AD10" s="48"/>
      <c r="AE10" s="244"/>
      <c r="AF10" s="231">
        <v>0</v>
      </c>
      <c r="AG10" s="232">
        <f t="shared" si="0"/>
        <v>0</v>
      </c>
      <c r="AH10" s="232">
        <f t="shared" si="0"/>
        <v>0</v>
      </c>
      <c r="AI10" s="233">
        <f t="shared" si="0"/>
        <v>0</v>
      </c>
      <c r="AJ10" s="241">
        <f>AF10*2+AG10*2.5+AH10*2.5+AI10*2.5</f>
        <v>0</v>
      </c>
      <c r="AK10" s="141"/>
    </row>
    <row r="11" spans="1:37" ht="13.5" thickBot="1" x14ac:dyDescent="0.25">
      <c r="A11" s="366"/>
      <c r="B11" s="11"/>
      <c r="C11" s="12"/>
      <c r="D11" s="52"/>
      <c r="E11" s="53"/>
      <c r="F11" s="53"/>
      <c r="G11" s="54"/>
      <c r="H11" s="52"/>
      <c r="I11" s="53"/>
      <c r="J11" s="53"/>
      <c r="K11" s="54"/>
      <c r="L11" s="52"/>
      <c r="M11" s="53"/>
      <c r="N11" s="53"/>
      <c r="O11" s="54"/>
      <c r="P11" s="52"/>
      <c r="Q11" s="53"/>
      <c r="R11" s="53"/>
      <c r="S11" s="54"/>
      <c r="T11" s="52"/>
      <c r="U11" s="53"/>
      <c r="V11" s="53"/>
      <c r="W11" s="54"/>
      <c r="X11" s="52"/>
      <c r="Y11" s="53"/>
      <c r="Z11" s="53"/>
      <c r="AA11" s="54"/>
      <c r="AB11" s="52"/>
      <c r="AC11" s="53"/>
      <c r="AD11" s="53"/>
      <c r="AE11" s="274"/>
      <c r="AF11" s="280"/>
      <c r="AG11" s="281"/>
      <c r="AH11" s="281"/>
      <c r="AI11" s="308"/>
      <c r="AJ11" s="309"/>
      <c r="AK11" s="142"/>
    </row>
    <row r="12" spans="1:37" ht="12.75" customHeight="1" x14ac:dyDescent="0.2">
      <c r="A12" s="364" t="s">
        <v>67</v>
      </c>
      <c r="B12" s="5" t="s">
        <v>15</v>
      </c>
      <c r="C12" s="207"/>
      <c r="D12" s="39"/>
      <c r="E12" s="40"/>
      <c r="F12" s="40"/>
      <c r="G12" s="41"/>
      <c r="H12" s="39"/>
      <c r="I12" s="40"/>
      <c r="J12" s="40"/>
      <c r="K12" s="41"/>
      <c r="L12" s="39"/>
      <c r="M12" s="40"/>
      <c r="N12" s="40"/>
      <c r="O12" s="41"/>
      <c r="P12" s="39"/>
      <c r="Q12" s="40"/>
      <c r="R12" s="40"/>
      <c r="S12" s="41"/>
      <c r="T12" s="39"/>
      <c r="U12" s="40"/>
      <c r="V12" s="40"/>
      <c r="W12" s="41"/>
      <c r="X12" s="39"/>
      <c r="Y12" s="40"/>
      <c r="Z12" s="40"/>
      <c r="AA12" s="41"/>
      <c r="AB12" s="39"/>
      <c r="AC12" s="40"/>
      <c r="AD12" s="40"/>
      <c r="AE12" s="41"/>
      <c r="AF12" s="42">
        <f>H12+L12+P12+T12+X12+AB12</f>
        <v>0</v>
      </c>
      <c r="AG12" s="134">
        <f t="shared" ref="AG12:AG13" si="1">E12+I12+M12+Q12+U12+Y12+AC12</f>
        <v>0</v>
      </c>
      <c r="AH12" s="134">
        <f t="shared" ref="AH12:AH13" si="2">F12+J12+N12+R12+V12+Z12+AD12</f>
        <v>0</v>
      </c>
      <c r="AI12" s="135">
        <f t="shared" ref="AI12:AI13" si="3">G12+K12+O12+S12+W12+AA12+AE12</f>
        <v>0</v>
      </c>
      <c r="AJ12" s="45">
        <f>AF12*2+AG12*2.5+AH12*2.5+AI12*2.5</f>
        <v>0</v>
      </c>
      <c r="AK12" s="416"/>
    </row>
    <row r="13" spans="1:37" x14ac:dyDescent="0.2">
      <c r="A13" s="365"/>
      <c r="B13" s="188" t="s">
        <v>16</v>
      </c>
      <c r="C13" s="9"/>
      <c r="D13" s="206"/>
      <c r="E13" s="48"/>
      <c r="F13" s="48"/>
      <c r="G13" s="49"/>
      <c r="H13" s="47"/>
      <c r="I13" s="48"/>
      <c r="J13" s="48"/>
      <c r="K13" s="49"/>
      <c r="L13" s="47"/>
      <c r="M13" s="48"/>
      <c r="N13" s="48"/>
      <c r="O13" s="49"/>
      <c r="P13" s="47"/>
      <c r="Q13" s="48"/>
      <c r="R13" s="48"/>
      <c r="S13" s="49"/>
      <c r="T13" s="47"/>
      <c r="U13" s="48"/>
      <c r="V13" s="48"/>
      <c r="W13" s="49"/>
      <c r="X13" s="47"/>
      <c r="Y13" s="48"/>
      <c r="Z13" s="48"/>
      <c r="AA13" s="49"/>
      <c r="AB13" s="47"/>
      <c r="AC13" s="48"/>
      <c r="AD13" s="48"/>
      <c r="AE13" s="49"/>
      <c r="AF13" s="42">
        <f>H13+L13+P13+T13+X13+AB13</f>
        <v>0</v>
      </c>
      <c r="AG13" s="55">
        <f t="shared" si="1"/>
        <v>0</v>
      </c>
      <c r="AH13" s="55">
        <f t="shared" si="2"/>
        <v>0</v>
      </c>
      <c r="AI13" s="50">
        <f t="shared" si="3"/>
        <v>0</v>
      </c>
      <c r="AJ13" s="45">
        <f>AF13*2+AG13*2.5+AH13*2.5+AI13*2.5</f>
        <v>0</v>
      </c>
      <c r="AK13" s="416"/>
    </row>
    <row r="14" spans="1:37" ht="13.5" thickBot="1" x14ac:dyDescent="0.25">
      <c r="A14" s="366"/>
      <c r="B14" s="17"/>
      <c r="C14" s="208"/>
      <c r="D14" s="52"/>
      <c r="E14" s="53"/>
      <c r="F14" s="53"/>
      <c r="G14" s="54"/>
      <c r="H14" s="52"/>
      <c r="I14" s="53"/>
      <c r="J14" s="53"/>
      <c r="K14" s="54"/>
      <c r="L14" s="52"/>
      <c r="M14" s="53"/>
      <c r="N14" s="53"/>
      <c r="O14" s="54"/>
      <c r="P14" s="52"/>
      <c r="Q14" s="53"/>
      <c r="R14" s="53"/>
      <c r="S14" s="54"/>
      <c r="T14" s="52"/>
      <c r="U14" s="53"/>
      <c r="V14" s="53"/>
      <c r="W14" s="54"/>
      <c r="X14" s="52"/>
      <c r="Y14" s="53"/>
      <c r="Z14" s="53"/>
      <c r="AA14" s="54"/>
      <c r="AB14" s="52"/>
      <c r="AC14" s="53"/>
      <c r="AD14" s="53"/>
      <c r="AE14" s="54"/>
      <c r="AF14" s="150"/>
      <c r="AG14" s="151"/>
      <c r="AH14" s="151"/>
      <c r="AI14" s="156"/>
      <c r="AJ14" s="145"/>
      <c r="AK14" s="416"/>
    </row>
    <row r="15" spans="1:37" x14ac:dyDescent="0.2">
      <c r="A15" s="364" t="s">
        <v>43</v>
      </c>
      <c r="B15" s="5" t="s">
        <v>15</v>
      </c>
      <c r="C15" s="207"/>
      <c r="D15" s="39"/>
      <c r="E15" s="40"/>
      <c r="F15" s="40"/>
      <c r="G15" s="41"/>
      <c r="H15" s="39"/>
      <c r="I15" s="40"/>
      <c r="J15" s="40"/>
      <c r="K15" s="41"/>
      <c r="L15" s="39"/>
      <c r="M15" s="40"/>
      <c r="N15" s="40"/>
      <c r="O15" s="41"/>
      <c r="P15" s="39"/>
      <c r="Q15" s="40"/>
      <c r="R15" s="40"/>
      <c r="S15" s="41"/>
      <c r="T15" s="39"/>
      <c r="U15" s="40"/>
      <c r="V15" s="40"/>
      <c r="W15" s="41"/>
      <c r="X15" s="39"/>
      <c r="Y15" s="40"/>
      <c r="Z15" s="40"/>
      <c r="AA15" s="41"/>
      <c r="AB15" s="39"/>
      <c r="AC15" s="40"/>
      <c r="AD15" s="40"/>
      <c r="AE15" s="41"/>
      <c r="AF15" s="42">
        <f>H15+L15+P15+T15+X15+AB15</f>
        <v>0</v>
      </c>
      <c r="AG15" s="134">
        <f t="shared" ref="AG15:AI16" si="4">E15+I15+M15+Q15+U15+Y15+AC15</f>
        <v>0</v>
      </c>
      <c r="AH15" s="134">
        <f t="shared" si="4"/>
        <v>0</v>
      </c>
      <c r="AI15" s="135">
        <f t="shared" si="4"/>
        <v>0</v>
      </c>
      <c r="AJ15" s="45">
        <f>AF15*2+AG15*2.5+AH15*2.5+AI15*2.5</f>
        <v>0</v>
      </c>
      <c r="AK15" s="46"/>
    </row>
    <row r="16" spans="1:37" x14ac:dyDescent="0.2">
      <c r="A16" s="365"/>
      <c r="B16" s="188" t="s">
        <v>16</v>
      </c>
      <c r="C16" s="9"/>
      <c r="D16" s="206"/>
      <c r="E16" s="48"/>
      <c r="F16" s="48"/>
      <c r="G16" s="49"/>
      <c r="H16" s="47"/>
      <c r="I16" s="48"/>
      <c r="J16" s="48"/>
      <c r="K16" s="49"/>
      <c r="L16" s="47"/>
      <c r="M16" s="48"/>
      <c r="N16" s="48"/>
      <c r="O16" s="49"/>
      <c r="P16" s="47"/>
      <c r="Q16" s="48"/>
      <c r="R16" s="48"/>
      <c r="S16" s="49"/>
      <c r="T16" s="47"/>
      <c r="U16" s="48"/>
      <c r="V16" s="48"/>
      <c r="W16" s="49"/>
      <c r="X16" s="47"/>
      <c r="Y16" s="48"/>
      <c r="Z16" s="48"/>
      <c r="AA16" s="49"/>
      <c r="AB16" s="47"/>
      <c r="AC16" s="48"/>
      <c r="AD16" s="48"/>
      <c r="AE16" s="49"/>
      <c r="AF16" s="42">
        <f>H16+L16+P16+T16+X16+AB16</f>
        <v>0</v>
      </c>
      <c r="AG16" s="55">
        <f t="shared" si="4"/>
        <v>0</v>
      </c>
      <c r="AH16" s="55">
        <f t="shared" si="4"/>
        <v>0</v>
      </c>
      <c r="AI16" s="50">
        <f t="shared" si="4"/>
        <v>0</v>
      </c>
      <c r="AJ16" s="45">
        <f>AF16*2+AG16*2.5+AH16*2.5+AI16*2.5</f>
        <v>0</v>
      </c>
      <c r="AK16" s="51"/>
    </row>
    <row r="17" spans="1:37" ht="13.5" thickBot="1" x14ac:dyDescent="0.25">
      <c r="A17" s="366"/>
      <c r="B17" s="17"/>
      <c r="C17" s="208"/>
      <c r="D17" s="52"/>
      <c r="E17" s="53"/>
      <c r="F17" s="53"/>
      <c r="G17" s="54"/>
      <c r="H17" s="52"/>
      <c r="I17" s="53"/>
      <c r="J17" s="53"/>
      <c r="K17" s="54"/>
      <c r="L17" s="52"/>
      <c r="M17" s="53"/>
      <c r="N17" s="53"/>
      <c r="O17" s="54"/>
      <c r="P17" s="52"/>
      <c r="Q17" s="53"/>
      <c r="R17" s="53"/>
      <c r="S17" s="54"/>
      <c r="T17" s="52"/>
      <c r="U17" s="53"/>
      <c r="V17" s="53"/>
      <c r="W17" s="54"/>
      <c r="X17" s="52"/>
      <c r="Y17" s="53"/>
      <c r="Z17" s="53"/>
      <c r="AA17" s="54"/>
      <c r="AB17" s="52"/>
      <c r="AC17" s="53"/>
      <c r="AD17" s="53"/>
      <c r="AE17" s="54"/>
      <c r="AF17" s="150"/>
      <c r="AG17" s="151"/>
      <c r="AH17" s="151"/>
      <c r="AI17" s="156"/>
      <c r="AJ17" s="145"/>
      <c r="AK17" s="56"/>
    </row>
    <row r="18" spans="1:37" x14ac:dyDescent="0.2">
      <c r="A18" s="364" t="s">
        <v>17</v>
      </c>
      <c r="B18" s="5" t="s">
        <v>15</v>
      </c>
      <c r="C18" s="5"/>
      <c r="D18" s="97"/>
      <c r="E18" s="43"/>
      <c r="F18" s="43"/>
      <c r="G18" s="44"/>
      <c r="H18" s="97"/>
      <c r="I18" s="43"/>
      <c r="J18" s="43"/>
      <c r="K18" s="44"/>
      <c r="L18" s="97"/>
      <c r="M18" s="43"/>
      <c r="N18" s="43"/>
      <c r="O18" s="44"/>
      <c r="P18" s="97"/>
      <c r="Q18" s="43"/>
      <c r="R18" s="43"/>
      <c r="S18" s="44"/>
      <c r="T18" s="97"/>
      <c r="U18" s="43"/>
      <c r="V18" s="43"/>
      <c r="W18" s="44"/>
      <c r="X18" s="97"/>
      <c r="Y18" s="43"/>
      <c r="Z18" s="43"/>
      <c r="AA18" s="44"/>
      <c r="AB18" s="97"/>
      <c r="AC18" s="43"/>
      <c r="AD18" s="43"/>
      <c r="AE18" s="126"/>
      <c r="AF18" s="228">
        <f>H18+L18+P18+T18+X18+AB18+D18</f>
        <v>0</v>
      </c>
      <c r="AG18" s="229">
        <f t="shared" ref="AG18:AI20" si="5">E18+I18+M18+Q18+U18+Y18+AC18</f>
        <v>0</v>
      </c>
      <c r="AH18" s="229">
        <f t="shared" si="5"/>
        <v>0</v>
      </c>
      <c r="AI18" s="230">
        <f t="shared" si="5"/>
        <v>0</v>
      </c>
      <c r="AJ18" s="240">
        <f>AF18*2+AG18*2.5+AH18*2.5+AI18*2.5</f>
        <v>0</v>
      </c>
      <c r="AK18" s="143"/>
    </row>
    <row r="19" spans="1:37" x14ac:dyDescent="0.2">
      <c r="A19" s="365"/>
      <c r="B19" s="9" t="s">
        <v>16</v>
      </c>
      <c r="C19" s="21"/>
      <c r="D19" s="42"/>
      <c r="E19" s="55"/>
      <c r="F19" s="55"/>
      <c r="G19" s="50"/>
      <c r="H19" s="42"/>
      <c r="I19" s="55"/>
      <c r="J19" s="55"/>
      <c r="K19" s="50"/>
      <c r="L19" s="42"/>
      <c r="M19" s="55"/>
      <c r="N19" s="55"/>
      <c r="O19" s="50"/>
      <c r="P19" s="42"/>
      <c r="Q19" s="55"/>
      <c r="R19" s="55"/>
      <c r="S19" s="50"/>
      <c r="T19" s="42"/>
      <c r="U19" s="55"/>
      <c r="V19" s="55"/>
      <c r="W19" s="50"/>
      <c r="X19" s="42"/>
      <c r="Y19" s="55"/>
      <c r="Z19" s="55"/>
      <c r="AA19" s="50"/>
      <c r="AB19" s="42"/>
      <c r="AC19" s="55"/>
      <c r="AD19" s="55"/>
      <c r="AE19" s="138"/>
      <c r="AF19" s="231">
        <f>H19+L19+P19+T19+X19+AB19+D19</f>
        <v>0</v>
      </c>
      <c r="AG19" s="232">
        <f t="shared" si="5"/>
        <v>0</v>
      </c>
      <c r="AH19" s="232">
        <f t="shared" si="5"/>
        <v>0</v>
      </c>
      <c r="AI19" s="233">
        <f t="shared" si="5"/>
        <v>0</v>
      </c>
      <c r="AJ19" s="241">
        <f>AF19*2+AG19*2.5+AH19*2.5+AI19*2.5</f>
        <v>0</v>
      </c>
      <c r="AK19" s="140"/>
    </row>
    <row r="20" spans="1:37" x14ac:dyDescent="0.2">
      <c r="A20" s="365"/>
      <c r="B20" s="23" t="s">
        <v>16</v>
      </c>
      <c r="C20" s="9"/>
      <c r="D20" s="42"/>
      <c r="E20" s="55"/>
      <c r="F20" s="55"/>
      <c r="G20" s="50"/>
      <c r="H20" s="42"/>
      <c r="I20" s="55"/>
      <c r="J20" s="55"/>
      <c r="K20" s="50"/>
      <c r="L20" s="42"/>
      <c r="M20" s="55"/>
      <c r="N20" s="55"/>
      <c r="O20" s="50"/>
      <c r="P20" s="42"/>
      <c r="Q20" s="55"/>
      <c r="R20" s="55"/>
      <c r="S20" s="50"/>
      <c r="T20" s="42"/>
      <c r="U20" s="55"/>
      <c r="V20" s="55"/>
      <c r="W20" s="50"/>
      <c r="X20" s="42"/>
      <c r="Y20" s="55"/>
      <c r="Z20" s="55"/>
      <c r="AA20" s="50"/>
      <c r="AB20" s="42"/>
      <c r="AC20" s="55"/>
      <c r="AD20" s="55"/>
      <c r="AE20" s="138"/>
      <c r="AF20" s="231">
        <f>H20+L20+P20+T20+X20+AB20+D20</f>
        <v>0</v>
      </c>
      <c r="AG20" s="232">
        <f t="shared" si="5"/>
        <v>0</v>
      </c>
      <c r="AH20" s="232">
        <f t="shared" si="5"/>
        <v>0</v>
      </c>
      <c r="AI20" s="233">
        <f t="shared" si="5"/>
        <v>0</v>
      </c>
      <c r="AJ20" s="241">
        <f>AF20*2+AG20*2.5+AH20*2.5+AI20*2.5</f>
        <v>0</v>
      </c>
      <c r="AK20" s="140"/>
    </row>
    <row r="21" spans="1:37" ht="13.5" thickBot="1" x14ac:dyDescent="0.25">
      <c r="A21" s="366"/>
      <c r="B21" s="17"/>
      <c r="C21" s="17"/>
      <c r="D21" s="52"/>
      <c r="E21" s="53"/>
      <c r="F21" s="53"/>
      <c r="G21" s="54"/>
      <c r="H21" s="57"/>
      <c r="I21" s="58"/>
      <c r="J21" s="58"/>
      <c r="K21" s="59"/>
      <c r="L21" s="57"/>
      <c r="M21" s="58"/>
      <c r="N21" s="58"/>
      <c r="O21" s="59"/>
      <c r="P21" s="57"/>
      <c r="Q21" s="58"/>
      <c r="R21" s="58"/>
      <c r="S21" s="59"/>
      <c r="T21" s="52"/>
      <c r="U21" s="53"/>
      <c r="V21" s="53"/>
      <c r="W21" s="54"/>
      <c r="X21" s="52"/>
      <c r="Y21" s="53"/>
      <c r="Z21" s="53"/>
      <c r="AA21" s="54"/>
      <c r="AB21" s="52"/>
      <c r="AC21" s="53"/>
      <c r="AD21" s="53"/>
      <c r="AE21" s="139"/>
      <c r="AF21" s="280"/>
      <c r="AG21" s="281"/>
      <c r="AH21" s="281"/>
      <c r="AI21" s="308"/>
      <c r="AJ21" s="310"/>
      <c r="AK21" s="144"/>
    </row>
    <row r="22" spans="1:37" x14ac:dyDescent="0.2">
      <c r="A22" s="364" t="s">
        <v>18</v>
      </c>
      <c r="B22" s="5" t="s">
        <v>15</v>
      </c>
      <c r="C22" s="5"/>
      <c r="D22" s="97"/>
      <c r="E22" s="43"/>
      <c r="F22" s="43"/>
      <c r="G22" s="44"/>
      <c r="H22" s="97"/>
      <c r="I22" s="43"/>
      <c r="J22" s="43"/>
      <c r="K22" s="44"/>
      <c r="L22" s="97"/>
      <c r="M22" s="43"/>
      <c r="N22" s="43"/>
      <c r="O22" s="44"/>
      <c r="P22" s="97"/>
      <c r="Q22" s="43"/>
      <c r="R22" s="43"/>
      <c r="S22" s="44"/>
      <c r="T22" s="97"/>
      <c r="U22" s="43"/>
      <c r="V22" s="177"/>
      <c r="W22" s="44"/>
      <c r="X22" s="97"/>
      <c r="Y22" s="43"/>
      <c r="Z22" s="43"/>
      <c r="AA22" s="44"/>
      <c r="AB22" s="97"/>
      <c r="AC22" s="43"/>
      <c r="AD22" s="43"/>
      <c r="AE22" s="44"/>
      <c r="AF22" s="42">
        <f>H22+L22+P22+T22+X22+AB22+D22</f>
        <v>0</v>
      </c>
      <c r="AG22" s="134">
        <f t="shared" ref="AG22:AI23" si="6">E22+I22+M22+Q22+U22+Y22+AC22</f>
        <v>0</v>
      </c>
      <c r="AH22" s="134">
        <f t="shared" si="6"/>
        <v>0</v>
      </c>
      <c r="AI22" s="135">
        <f t="shared" si="6"/>
        <v>0</v>
      </c>
      <c r="AJ22" s="45">
        <f>AF22*2+AG22*2.5+AH22*2.5+AI22*2.5</f>
        <v>0</v>
      </c>
      <c r="AK22" s="60"/>
    </row>
    <row r="23" spans="1:37" x14ac:dyDescent="0.2">
      <c r="A23" s="365"/>
      <c r="B23" s="9" t="s">
        <v>16</v>
      </c>
      <c r="C23" s="9"/>
      <c r="D23" s="42"/>
      <c r="E23" s="55"/>
      <c r="F23" s="55"/>
      <c r="G23" s="50"/>
      <c r="H23" s="42"/>
      <c r="I23" s="55"/>
      <c r="J23" s="55"/>
      <c r="K23" s="50"/>
      <c r="L23" s="42"/>
      <c r="M23" s="55"/>
      <c r="N23" s="55"/>
      <c r="O23" s="50"/>
      <c r="P23" s="42"/>
      <c r="Q23" s="55"/>
      <c r="R23" s="55"/>
      <c r="S23" s="50"/>
      <c r="T23" s="42"/>
      <c r="U23" s="138"/>
      <c r="V23" s="48"/>
      <c r="W23" s="176"/>
      <c r="X23" s="42"/>
      <c r="Y23" s="55"/>
      <c r="Z23" s="55"/>
      <c r="AA23" s="50"/>
      <c r="AB23" s="42"/>
      <c r="AC23" s="55"/>
      <c r="AD23" s="55"/>
      <c r="AE23" s="50"/>
      <c r="AF23" s="42">
        <f>H23+L23+P23+T23+X23+AB23+D23</f>
        <v>0</v>
      </c>
      <c r="AG23" s="48">
        <f t="shared" si="6"/>
        <v>0</v>
      </c>
      <c r="AH23" s="48">
        <f t="shared" si="6"/>
        <v>0</v>
      </c>
      <c r="AI23" s="50">
        <f t="shared" si="6"/>
        <v>0</v>
      </c>
      <c r="AJ23" s="45">
        <f>AF23*2+AG23*2.5+AH23*2.5+AI23*2.5</f>
        <v>0</v>
      </c>
      <c r="AK23" s="51"/>
    </row>
    <row r="24" spans="1:37" ht="13.5" thickBot="1" x14ac:dyDescent="0.25">
      <c r="A24" s="366"/>
      <c r="B24" s="17"/>
      <c r="C24" s="17"/>
      <c r="D24" s="52"/>
      <c r="E24" s="53"/>
      <c r="F24" s="53"/>
      <c r="G24" s="54"/>
      <c r="H24" s="52"/>
      <c r="I24" s="53"/>
      <c r="J24" s="53"/>
      <c r="K24" s="54"/>
      <c r="L24" s="52"/>
      <c r="M24" s="53"/>
      <c r="N24" s="53"/>
      <c r="O24" s="54"/>
      <c r="P24" s="52"/>
      <c r="Q24" s="53"/>
      <c r="R24" s="53"/>
      <c r="S24" s="54"/>
      <c r="T24" s="52"/>
      <c r="U24" s="53"/>
      <c r="V24" s="134"/>
      <c r="W24" s="54"/>
      <c r="X24" s="52"/>
      <c r="Y24" s="53"/>
      <c r="Z24" s="53"/>
      <c r="AA24" s="54"/>
      <c r="AB24" s="52"/>
      <c r="AC24" s="53"/>
      <c r="AD24" s="53"/>
      <c r="AE24" s="54"/>
      <c r="AF24" s="150"/>
      <c r="AG24" s="151"/>
      <c r="AH24" s="151"/>
      <c r="AI24" s="156"/>
      <c r="AJ24" s="145"/>
      <c r="AK24" s="61"/>
    </row>
    <row r="25" spans="1:37" x14ac:dyDescent="0.2">
      <c r="A25" s="364" t="s">
        <v>19</v>
      </c>
      <c r="B25" s="5" t="s">
        <v>15</v>
      </c>
      <c r="C25" s="15"/>
      <c r="D25" s="97"/>
      <c r="E25" s="43"/>
      <c r="F25" s="43"/>
      <c r="G25" s="44"/>
      <c r="H25" s="97"/>
      <c r="I25" s="43"/>
      <c r="J25" s="43"/>
      <c r="K25" s="44"/>
      <c r="L25" s="97"/>
      <c r="M25" s="43"/>
      <c r="N25" s="43"/>
      <c r="O25" s="44"/>
      <c r="P25" s="97"/>
      <c r="Q25" s="43"/>
      <c r="R25" s="43"/>
      <c r="S25" s="44"/>
      <c r="T25" s="97"/>
      <c r="U25" s="43"/>
      <c r="V25" s="177"/>
      <c r="W25" s="44"/>
      <c r="X25" s="97"/>
      <c r="Y25" s="43"/>
      <c r="Z25" s="43"/>
      <c r="AA25" s="44"/>
      <c r="AB25" s="97"/>
      <c r="AC25" s="43"/>
      <c r="AD25" s="43"/>
      <c r="AE25" s="126"/>
      <c r="AF25" s="228">
        <f>P25+AB25+D25+H25+L25+T25+X25</f>
        <v>0</v>
      </c>
      <c r="AG25" s="229">
        <f t="shared" ref="AG25:AI32" si="7">E25+I25+M25+Q25+U25+Y25+AC25</f>
        <v>0</v>
      </c>
      <c r="AH25" s="229">
        <f t="shared" si="7"/>
        <v>0</v>
      </c>
      <c r="AI25" s="230">
        <f t="shared" si="7"/>
        <v>0</v>
      </c>
      <c r="AJ25" s="240">
        <f>AF25*2+AG25*2.5+AH25*2.5+AI25*2.5</f>
        <v>0</v>
      </c>
      <c r="AK25" s="154"/>
    </row>
    <row r="26" spans="1:37" x14ac:dyDescent="0.2">
      <c r="A26" s="365"/>
      <c r="B26" s="9" t="s">
        <v>16</v>
      </c>
      <c r="C26" s="32"/>
      <c r="D26" s="42"/>
      <c r="E26" s="55"/>
      <c r="F26" s="55"/>
      <c r="G26" s="50"/>
      <c r="H26" s="42"/>
      <c r="I26" s="55"/>
      <c r="J26" s="55"/>
      <c r="K26" s="50"/>
      <c r="L26" s="42"/>
      <c r="M26" s="55"/>
      <c r="N26" s="55"/>
      <c r="O26" s="50"/>
      <c r="P26" s="42"/>
      <c r="Q26" s="55"/>
      <c r="R26" s="55"/>
      <c r="S26" s="50"/>
      <c r="T26" s="42"/>
      <c r="U26" s="138"/>
      <c r="V26" s="48"/>
      <c r="W26" s="176"/>
      <c r="X26" s="42"/>
      <c r="Y26" s="55"/>
      <c r="Z26" s="55"/>
      <c r="AA26" s="50"/>
      <c r="AB26" s="42"/>
      <c r="AC26" s="55"/>
      <c r="AD26" s="55"/>
      <c r="AE26" s="138"/>
      <c r="AF26" s="231">
        <f>P26+AB26+D26+H26+L26+T26+X26</f>
        <v>0</v>
      </c>
      <c r="AG26" s="147">
        <f t="shared" si="7"/>
        <v>0</v>
      </c>
      <c r="AH26" s="147">
        <f t="shared" si="7"/>
        <v>0</v>
      </c>
      <c r="AI26" s="233">
        <f t="shared" si="7"/>
        <v>0</v>
      </c>
      <c r="AJ26" s="241">
        <f>AF26*2+AG26*2.5+AH26*2.5+AI26*2.5</f>
        <v>0</v>
      </c>
      <c r="AK26" s="154"/>
    </row>
    <row r="27" spans="1:37" ht="13.5" thickBot="1" x14ac:dyDescent="0.25">
      <c r="A27" s="365"/>
      <c r="B27" s="23"/>
      <c r="C27" s="12"/>
      <c r="D27" s="52"/>
      <c r="E27" s="53"/>
      <c r="F27" s="53"/>
      <c r="G27" s="54"/>
      <c r="H27" s="52"/>
      <c r="I27" s="53"/>
      <c r="J27" s="53"/>
      <c r="K27" s="54"/>
      <c r="L27" s="52"/>
      <c r="M27" s="53"/>
      <c r="N27" s="53"/>
      <c r="O27" s="54"/>
      <c r="P27" s="52"/>
      <c r="Q27" s="53"/>
      <c r="R27" s="53"/>
      <c r="S27" s="54"/>
      <c r="T27" s="52"/>
      <c r="U27" s="53"/>
      <c r="V27" s="134"/>
      <c r="W27" s="54"/>
      <c r="X27" s="52"/>
      <c r="Y27" s="53"/>
      <c r="Z27" s="53"/>
      <c r="AA27" s="54"/>
      <c r="AB27" s="52"/>
      <c r="AC27" s="53"/>
      <c r="AD27" s="53"/>
      <c r="AE27" s="139"/>
      <c r="AF27" s="311"/>
      <c r="AG27" s="153"/>
      <c r="AH27" s="153"/>
      <c r="AI27" s="158"/>
      <c r="AJ27" s="312"/>
      <c r="AK27" s="313"/>
    </row>
    <row r="28" spans="1:37" x14ac:dyDescent="0.2">
      <c r="A28" s="364" t="s">
        <v>20</v>
      </c>
      <c r="B28" s="5" t="s">
        <v>15</v>
      </c>
      <c r="C28" s="15"/>
      <c r="D28" s="97"/>
      <c r="E28" s="43"/>
      <c r="F28" s="43"/>
      <c r="G28" s="44"/>
      <c r="H28" s="97"/>
      <c r="I28" s="43"/>
      <c r="J28" s="43"/>
      <c r="K28" s="44"/>
      <c r="L28" s="97"/>
      <c r="M28" s="43"/>
      <c r="N28" s="43"/>
      <c r="O28" s="44"/>
      <c r="P28" s="97"/>
      <c r="Q28" s="43"/>
      <c r="R28" s="43"/>
      <c r="S28" s="44"/>
      <c r="T28" s="97"/>
      <c r="U28" s="43"/>
      <c r="V28" s="43"/>
      <c r="W28" s="44"/>
      <c r="X28" s="97"/>
      <c r="Y28" s="43"/>
      <c r="Z28" s="43"/>
      <c r="AA28" s="44"/>
      <c r="AB28" s="97"/>
      <c r="AC28" s="43"/>
      <c r="AD28" s="43"/>
      <c r="AE28" s="126"/>
      <c r="AF28" s="314">
        <f>H28+L28+P28+T28+X28+AB28+D28</f>
        <v>0</v>
      </c>
      <c r="AG28" s="255">
        <f t="shared" si="7"/>
        <v>0</v>
      </c>
      <c r="AH28" s="255">
        <f t="shared" si="7"/>
        <v>0</v>
      </c>
      <c r="AI28" s="256">
        <f t="shared" si="7"/>
        <v>0</v>
      </c>
      <c r="AJ28" s="315">
        <f>AF28*2+AG28*2.5+AH28*2.5+AI28*2.5</f>
        <v>0</v>
      </c>
      <c r="AK28" s="316"/>
    </row>
    <row r="29" spans="1:37" x14ac:dyDescent="0.2">
      <c r="A29" s="365"/>
      <c r="B29" s="9" t="s">
        <v>16</v>
      </c>
      <c r="C29" s="25"/>
      <c r="D29" s="42"/>
      <c r="E29" s="55"/>
      <c r="F29" s="55"/>
      <c r="G29" s="50"/>
      <c r="H29" s="42"/>
      <c r="I29" s="55"/>
      <c r="J29" s="55"/>
      <c r="K29" s="50"/>
      <c r="L29" s="42"/>
      <c r="M29" s="55"/>
      <c r="N29" s="55"/>
      <c r="O29" s="50"/>
      <c r="P29" s="42"/>
      <c r="Q29" s="55"/>
      <c r="R29" s="55"/>
      <c r="S29" s="50"/>
      <c r="T29" s="42"/>
      <c r="U29" s="55"/>
      <c r="V29" s="55"/>
      <c r="W29" s="50"/>
      <c r="X29" s="42"/>
      <c r="Y29" s="55"/>
      <c r="Z29" s="55"/>
      <c r="AA29" s="50"/>
      <c r="AB29" s="42"/>
      <c r="AC29" s="55"/>
      <c r="AD29" s="55"/>
      <c r="AE29" s="138"/>
      <c r="AF29" s="231">
        <f>H29+L29+P29+T29+X29+AB29</f>
        <v>0</v>
      </c>
      <c r="AG29" s="147">
        <f t="shared" si="7"/>
        <v>0</v>
      </c>
      <c r="AH29" s="147">
        <f t="shared" si="7"/>
        <v>0</v>
      </c>
      <c r="AI29" s="146">
        <f t="shared" si="7"/>
        <v>0</v>
      </c>
      <c r="AJ29" s="178">
        <f>AF29*2+AG29*2.5+AH29*2.5+AI29*2.5</f>
        <v>0</v>
      </c>
      <c r="AK29" s="317"/>
    </row>
    <row r="30" spans="1:37" ht="13.5" thickBot="1" x14ac:dyDescent="0.25">
      <c r="A30" s="365"/>
      <c r="B30" s="23"/>
      <c r="C30" s="23"/>
      <c r="D30" s="57"/>
      <c r="E30" s="58"/>
      <c r="F30" s="58"/>
      <c r="G30" s="59"/>
      <c r="H30" s="57"/>
      <c r="I30" s="58"/>
      <c r="J30" s="58"/>
      <c r="K30" s="59"/>
      <c r="L30" s="57"/>
      <c r="M30" s="58"/>
      <c r="N30" s="58"/>
      <c r="O30" s="59"/>
      <c r="P30" s="57"/>
      <c r="Q30" s="58"/>
      <c r="R30" s="58"/>
      <c r="S30" s="59"/>
      <c r="T30" s="57"/>
      <c r="U30" s="58"/>
      <c r="V30" s="58"/>
      <c r="W30" s="59"/>
      <c r="X30" s="57"/>
      <c r="Y30" s="58"/>
      <c r="Z30" s="58"/>
      <c r="AA30" s="59"/>
      <c r="AB30" s="57"/>
      <c r="AC30" s="58"/>
      <c r="AD30" s="58"/>
      <c r="AE30" s="128"/>
      <c r="AF30" s="234"/>
      <c r="AG30" s="264"/>
      <c r="AH30" s="264"/>
      <c r="AI30" s="265"/>
      <c r="AJ30" s="243"/>
      <c r="AK30" s="318"/>
    </row>
    <row r="31" spans="1:37" x14ac:dyDescent="0.2">
      <c r="A31" s="364" t="s">
        <v>21</v>
      </c>
      <c r="B31" s="5" t="s">
        <v>15</v>
      </c>
      <c r="C31" s="5"/>
      <c r="D31" s="97"/>
      <c r="E31" s="43"/>
      <c r="F31" s="43"/>
      <c r="G31" s="44"/>
      <c r="H31" s="97"/>
      <c r="I31" s="43"/>
      <c r="J31" s="43"/>
      <c r="K31" s="44"/>
      <c r="L31" s="97"/>
      <c r="M31" s="43"/>
      <c r="N31" s="43"/>
      <c r="O31" s="44"/>
      <c r="P31" s="97"/>
      <c r="Q31" s="43"/>
      <c r="R31" s="43"/>
      <c r="S31" s="44"/>
      <c r="T31" s="97"/>
      <c r="U31" s="43"/>
      <c r="V31" s="43"/>
      <c r="W31" s="44"/>
      <c r="X31" s="97"/>
      <c r="Y31" s="43"/>
      <c r="Z31" s="43"/>
      <c r="AA31" s="44"/>
      <c r="AB31" s="97"/>
      <c r="AC31" s="43"/>
      <c r="AD31" s="43"/>
      <c r="AE31" s="183"/>
      <c r="AF31" s="228">
        <f>H31+L31+P31+T31+X31+AB31+D31</f>
        <v>0</v>
      </c>
      <c r="AG31" s="255">
        <f t="shared" si="7"/>
        <v>0</v>
      </c>
      <c r="AH31" s="255">
        <f t="shared" si="7"/>
        <v>0</v>
      </c>
      <c r="AI31" s="279">
        <f t="shared" si="7"/>
        <v>0</v>
      </c>
      <c r="AJ31" s="196">
        <f>AF31*2+AG31*2.5+AH31*2.5+AI31*2.5</f>
        <v>0</v>
      </c>
      <c r="AK31" s="320"/>
    </row>
    <row r="32" spans="1:37" x14ac:dyDescent="0.2">
      <c r="A32" s="365"/>
      <c r="B32" s="23" t="s">
        <v>16</v>
      </c>
      <c r="C32" s="109"/>
      <c r="D32" s="47"/>
      <c r="E32" s="48"/>
      <c r="F32" s="48"/>
      <c r="G32" s="49"/>
      <c r="H32" s="47"/>
      <c r="I32" s="48"/>
      <c r="J32" s="48"/>
      <c r="K32" s="49"/>
      <c r="L32" s="47"/>
      <c r="M32" s="48"/>
      <c r="N32" s="48"/>
      <c r="O32" s="49"/>
      <c r="P32" s="47"/>
      <c r="Q32" s="48"/>
      <c r="R32" s="48"/>
      <c r="S32" s="49"/>
      <c r="T32" s="42"/>
      <c r="U32" s="55"/>
      <c r="V32" s="55"/>
      <c r="W32" s="50"/>
      <c r="X32" s="42"/>
      <c r="Y32" s="55"/>
      <c r="Z32" s="55"/>
      <c r="AA32" s="50"/>
      <c r="AB32" s="42"/>
      <c r="AC32" s="55"/>
      <c r="AD32" s="55"/>
      <c r="AE32" s="184"/>
      <c r="AF32" s="231">
        <f>H32+L32+P32+T32+X32+AB32</f>
        <v>0</v>
      </c>
      <c r="AG32" s="232">
        <f t="shared" si="7"/>
        <v>0</v>
      </c>
      <c r="AH32" s="232">
        <f t="shared" si="7"/>
        <v>0</v>
      </c>
      <c r="AI32" s="246">
        <f t="shared" si="7"/>
        <v>0</v>
      </c>
      <c r="AJ32" s="197">
        <f>AF32*2+AG32*2.5+AH32*2.5+AI32*2.5</f>
        <v>0</v>
      </c>
      <c r="AK32" s="25"/>
    </row>
    <row r="33" spans="1:37" ht="13.5" thickBot="1" x14ac:dyDescent="0.25">
      <c r="A33" s="366"/>
      <c r="B33" s="17"/>
      <c r="C33" s="17"/>
      <c r="D33" s="57"/>
      <c r="E33" s="58"/>
      <c r="F33" s="58"/>
      <c r="G33" s="59"/>
      <c r="H33" s="57"/>
      <c r="I33" s="58"/>
      <c r="J33" s="58"/>
      <c r="K33" s="59"/>
      <c r="L33" s="57"/>
      <c r="M33" s="58"/>
      <c r="N33" s="58"/>
      <c r="O33" s="59"/>
      <c r="P33" s="57"/>
      <c r="Q33" s="58"/>
      <c r="R33" s="58"/>
      <c r="S33" s="59"/>
      <c r="T33" s="57"/>
      <c r="U33" s="58"/>
      <c r="V33" s="58"/>
      <c r="W33" s="59"/>
      <c r="X33" s="57"/>
      <c r="Y33" s="58"/>
      <c r="Z33" s="58"/>
      <c r="AA33" s="59"/>
      <c r="AB33" s="57"/>
      <c r="AC33" s="58"/>
      <c r="AD33" s="58"/>
      <c r="AE33" s="185"/>
      <c r="AF33" s="258"/>
      <c r="AG33" s="259"/>
      <c r="AH33" s="259"/>
      <c r="AI33" s="277"/>
      <c r="AJ33" s="198"/>
      <c r="AK33" s="61"/>
    </row>
    <row r="34" spans="1:37" x14ac:dyDescent="0.2">
      <c r="A34" s="364" t="s">
        <v>44</v>
      </c>
      <c r="B34" s="5" t="s">
        <v>15</v>
      </c>
      <c r="C34" s="5"/>
      <c r="D34" s="97"/>
      <c r="E34" s="43"/>
      <c r="F34" s="43"/>
      <c r="G34" s="44"/>
      <c r="H34" s="97"/>
      <c r="I34" s="43"/>
      <c r="J34" s="43"/>
      <c r="K34" s="44"/>
      <c r="L34" s="97"/>
      <c r="M34" s="43"/>
      <c r="N34" s="43"/>
      <c r="O34" s="44"/>
      <c r="P34" s="97"/>
      <c r="Q34" s="43"/>
      <c r="R34" s="43"/>
      <c r="S34" s="44"/>
      <c r="T34" s="97"/>
      <c r="U34" s="43"/>
      <c r="V34" s="43"/>
      <c r="W34" s="44"/>
      <c r="X34" s="97"/>
      <c r="Y34" s="43"/>
      <c r="Z34" s="43"/>
      <c r="AA34" s="44"/>
      <c r="AB34" s="97"/>
      <c r="AC34" s="43"/>
      <c r="AD34" s="43"/>
      <c r="AE34" s="126"/>
      <c r="AF34" s="250">
        <f>H34+L34+P34+T34+X34+AB34+D34</f>
        <v>0</v>
      </c>
      <c r="AG34" s="251">
        <f t="shared" ref="AG34:AI35" si="8">E34+I34+M34+Q34+U34+Y34+AC34</f>
        <v>0</v>
      </c>
      <c r="AH34" s="251">
        <f t="shared" si="8"/>
        <v>0</v>
      </c>
      <c r="AI34" s="252">
        <f t="shared" si="8"/>
        <v>0</v>
      </c>
      <c r="AJ34" s="240">
        <f>AF34*2+AG34*2.5+AH34*2.5+AI34*2.5</f>
        <v>0</v>
      </c>
      <c r="AK34" s="319"/>
    </row>
    <row r="35" spans="1:37" x14ac:dyDescent="0.2">
      <c r="A35" s="365"/>
      <c r="B35" s="23" t="s">
        <v>16</v>
      </c>
      <c r="C35" s="23"/>
      <c r="D35" s="42"/>
      <c r="E35" s="55"/>
      <c r="F35" s="55"/>
      <c r="G35" s="50"/>
      <c r="H35" s="42"/>
      <c r="I35" s="55"/>
      <c r="J35" s="55"/>
      <c r="K35" s="50"/>
      <c r="L35" s="42"/>
      <c r="M35" s="55"/>
      <c r="N35" s="55"/>
      <c r="O35" s="50"/>
      <c r="P35" s="42"/>
      <c r="Q35" s="55"/>
      <c r="R35" s="55"/>
      <c r="S35" s="50"/>
      <c r="T35" s="42"/>
      <c r="U35" s="55"/>
      <c r="V35" s="55"/>
      <c r="W35" s="50"/>
      <c r="X35" s="42"/>
      <c r="Y35" s="55"/>
      <c r="Z35" s="55"/>
      <c r="AA35" s="50"/>
      <c r="AB35" s="42"/>
      <c r="AC35" s="55"/>
      <c r="AD35" s="55"/>
      <c r="AE35" s="138"/>
      <c r="AF35" s="231">
        <f>H35+L35+P35+T35+X35+AB35</f>
        <v>0</v>
      </c>
      <c r="AG35" s="232">
        <f t="shared" si="8"/>
        <v>0</v>
      </c>
      <c r="AH35" s="232">
        <f t="shared" si="8"/>
        <v>0</v>
      </c>
      <c r="AI35" s="233">
        <f t="shared" si="8"/>
        <v>0</v>
      </c>
      <c r="AJ35" s="241">
        <f>AF35*2+AG35*2.5+AH35*2.5+AI35*2.5</f>
        <v>0</v>
      </c>
      <c r="AK35" s="159"/>
    </row>
    <row r="36" spans="1:37" ht="13.5" thickBot="1" x14ac:dyDescent="0.25">
      <c r="A36" s="366"/>
      <c r="B36" s="17"/>
      <c r="C36" s="26"/>
      <c r="D36" s="57"/>
      <c r="E36" s="58"/>
      <c r="F36" s="58"/>
      <c r="G36" s="59"/>
      <c r="H36" s="57"/>
      <c r="I36" s="58"/>
      <c r="J36" s="58"/>
      <c r="K36" s="59"/>
      <c r="L36" s="57"/>
      <c r="M36" s="58"/>
      <c r="N36" s="58"/>
      <c r="O36" s="59"/>
      <c r="P36" s="57"/>
      <c r="Q36" s="58"/>
      <c r="R36" s="58"/>
      <c r="S36" s="59"/>
      <c r="T36" s="57"/>
      <c r="U36" s="58"/>
      <c r="V36" s="58"/>
      <c r="W36" s="59"/>
      <c r="X36" s="57"/>
      <c r="Y36" s="58"/>
      <c r="Z36" s="58"/>
      <c r="AA36" s="59"/>
      <c r="AB36" s="57"/>
      <c r="AC36" s="58"/>
      <c r="AD36" s="58"/>
      <c r="AE36" s="128"/>
      <c r="AF36" s="242"/>
      <c r="AG36" s="235"/>
      <c r="AH36" s="235"/>
      <c r="AI36" s="236"/>
      <c r="AJ36" s="243"/>
      <c r="AK36" s="157"/>
    </row>
    <row r="37" spans="1:37" x14ac:dyDescent="0.2">
      <c r="A37" s="364" t="s">
        <v>23</v>
      </c>
      <c r="B37" s="5" t="s">
        <v>15</v>
      </c>
      <c r="C37" s="5"/>
      <c r="D37" s="97"/>
      <c r="E37" s="43"/>
      <c r="F37" s="43"/>
      <c r="G37" s="44"/>
      <c r="H37" s="97"/>
      <c r="I37" s="43"/>
      <c r="J37" s="43"/>
      <c r="K37" s="44"/>
      <c r="L37" s="97"/>
      <c r="M37" s="43"/>
      <c r="N37" s="43"/>
      <c r="O37" s="44"/>
      <c r="P37" s="97"/>
      <c r="Q37" s="43"/>
      <c r="R37" s="43"/>
      <c r="S37" s="44"/>
      <c r="T37" s="97"/>
      <c r="U37" s="43"/>
      <c r="V37" s="43"/>
      <c r="W37" s="44"/>
      <c r="X37" s="97"/>
      <c r="Y37" s="43"/>
      <c r="Z37" s="43"/>
      <c r="AA37" s="44"/>
      <c r="AB37" s="97"/>
      <c r="AC37" s="43"/>
      <c r="AD37" s="43"/>
      <c r="AE37" s="44"/>
      <c r="AF37" s="42">
        <v>0</v>
      </c>
      <c r="AG37" s="134">
        <f t="shared" ref="AG37:AI38" si="9">E37+I37+M37+Q37+U37+Y37+AC37</f>
        <v>0</v>
      </c>
      <c r="AH37" s="134">
        <f t="shared" si="9"/>
        <v>0</v>
      </c>
      <c r="AI37" s="135">
        <f t="shared" si="9"/>
        <v>0</v>
      </c>
      <c r="AJ37" s="45">
        <f>AF37*2+AG37*2.5+AH37*2.5+AI37*2.5</f>
        <v>0</v>
      </c>
      <c r="AK37" s="15"/>
    </row>
    <row r="38" spans="1:37" x14ac:dyDescent="0.2">
      <c r="A38" s="365"/>
      <c r="B38" s="9" t="s">
        <v>16</v>
      </c>
      <c r="C38" s="9"/>
      <c r="D38" s="42"/>
      <c r="E38" s="55"/>
      <c r="F38" s="55"/>
      <c r="G38" s="50"/>
      <c r="H38" s="42"/>
      <c r="I38" s="55"/>
      <c r="J38" s="55"/>
      <c r="K38" s="50"/>
      <c r="L38" s="42"/>
      <c r="M38" s="55"/>
      <c r="N38" s="55"/>
      <c r="O38" s="50"/>
      <c r="P38" s="42"/>
      <c r="Q38" s="55"/>
      <c r="R38" s="55"/>
      <c r="S38" s="50"/>
      <c r="T38" s="42"/>
      <c r="U38" s="55"/>
      <c r="V38" s="55"/>
      <c r="W38" s="50"/>
      <c r="X38" s="42"/>
      <c r="Y38" s="55"/>
      <c r="Z38" s="55"/>
      <c r="AA38" s="50"/>
      <c r="AB38" s="42"/>
      <c r="AC38" s="55"/>
      <c r="AD38" s="55"/>
      <c r="AE38" s="50"/>
      <c r="AF38" s="42">
        <v>0</v>
      </c>
      <c r="AG38" s="55">
        <f t="shared" si="9"/>
        <v>0</v>
      </c>
      <c r="AH38" s="55">
        <f t="shared" si="9"/>
        <v>0</v>
      </c>
      <c r="AI38" s="50">
        <f t="shared" si="9"/>
        <v>0</v>
      </c>
      <c r="AJ38" s="45">
        <f>AF38*2+AG38*2.5+AH38*2.5+AI38*2.5</f>
        <v>0</v>
      </c>
      <c r="AK38" s="63"/>
    </row>
    <row r="39" spans="1:37" ht="13.5" thickBot="1" x14ac:dyDescent="0.25">
      <c r="A39" s="366"/>
      <c r="B39" s="17"/>
      <c r="C39" s="26"/>
      <c r="D39" s="57"/>
      <c r="E39" s="58"/>
      <c r="F39" s="58"/>
      <c r="G39" s="59"/>
      <c r="H39" s="57"/>
      <c r="I39" s="58"/>
      <c r="J39" s="58"/>
      <c r="K39" s="59"/>
      <c r="L39" s="57"/>
      <c r="M39" s="58"/>
      <c r="N39" s="58"/>
      <c r="O39" s="59"/>
      <c r="P39" s="57"/>
      <c r="Q39" s="58"/>
      <c r="R39" s="58"/>
      <c r="S39" s="59"/>
      <c r="T39" s="57"/>
      <c r="U39" s="58"/>
      <c r="V39" s="58"/>
      <c r="W39" s="59"/>
      <c r="X39" s="57"/>
      <c r="Y39" s="58"/>
      <c r="Z39" s="58"/>
      <c r="AA39" s="59"/>
      <c r="AB39" s="57"/>
      <c r="AC39" s="58"/>
      <c r="AD39" s="58"/>
      <c r="AE39" s="59"/>
      <c r="AF39" s="199"/>
      <c r="AG39" s="132"/>
      <c r="AH39" s="132"/>
      <c r="AI39" s="133"/>
      <c r="AJ39" s="160"/>
      <c r="AK39" s="64"/>
    </row>
    <row r="40" spans="1:37" x14ac:dyDescent="0.2">
      <c r="A40" s="364" t="s">
        <v>24</v>
      </c>
      <c r="B40" s="5" t="s">
        <v>15</v>
      </c>
      <c r="C40" s="5"/>
      <c r="D40" s="39"/>
      <c r="E40" s="40"/>
      <c r="F40" s="40"/>
      <c r="G40" s="41"/>
      <c r="H40" s="39"/>
      <c r="I40" s="40"/>
      <c r="J40" s="40"/>
      <c r="K40" s="41"/>
      <c r="L40" s="39"/>
      <c r="M40" s="40"/>
      <c r="N40" s="40"/>
      <c r="O40" s="41"/>
      <c r="P40" s="39"/>
      <c r="Q40" s="40"/>
      <c r="R40" s="40"/>
      <c r="S40" s="41"/>
      <c r="T40" s="39"/>
      <c r="U40" s="40"/>
      <c r="V40" s="40"/>
      <c r="W40" s="41"/>
      <c r="X40" s="39"/>
      <c r="Y40" s="40"/>
      <c r="Z40" s="40"/>
      <c r="AA40" s="41"/>
      <c r="AB40" s="39"/>
      <c r="AC40" s="40"/>
      <c r="AD40" s="40"/>
      <c r="AE40" s="209"/>
      <c r="AF40" s="228">
        <f>H40+L40+P40+D40+T40+X40+AB40</f>
        <v>0</v>
      </c>
      <c r="AG40" s="254">
        <f t="shared" ref="AG40:AI41" si="10">E40+I40+M40+Q40+U40+Y40+AC40</f>
        <v>0</v>
      </c>
      <c r="AH40" s="229">
        <f t="shared" si="10"/>
        <v>0</v>
      </c>
      <c r="AI40" s="230">
        <f t="shared" si="10"/>
        <v>0</v>
      </c>
      <c r="AJ40" s="240">
        <f>AF40*2+AG40*2.5+AH40*2.5+AI40*2.5</f>
        <v>0</v>
      </c>
      <c r="AK40" s="143"/>
    </row>
    <row r="41" spans="1:37" x14ac:dyDescent="0.2">
      <c r="A41" s="365"/>
      <c r="B41" s="9" t="s">
        <v>16</v>
      </c>
      <c r="C41" s="9"/>
      <c r="D41" s="47"/>
      <c r="E41" s="48"/>
      <c r="F41" s="48"/>
      <c r="G41" s="49"/>
      <c r="H41" s="47"/>
      <c r="I41" s="48"/>
      <c r="J41" s="48"/>
      <c r="K41" s="49"/>
      <c r="L41" s="47"/>
      <c r="M41" s="48"/>
      <c r="N41" s="48"/>
      <c r="O41" s="49"/>
      <c r="P41" s="47"/>
      <c r="Q41" s="48"/>
      <c r="R41" s="48"/>
      <c r="S41" s="49"/>
      <c r="T41" s="47"/>
      <c r="U41" s="48"/>
      <c r="V41" s="48"/>
      <c r="W41" s="49"/>
      <c r="X41" s="47"/>
      <c r="Y41" s="48"/>
      <c r="Z41" s="48"/>
      <c r="AA41" s="49"/>
      <c r="AB41" s="47"/>
      <c r="AC41" s="48"/>
      <c r="AD41" s="48"/>
      <c r="AE41" s="127"/>
      <c r="AF41" s="257">
        <f>H41+L41+P41+D41+T41+X41+AB41</f>
        <v>0</v>
      </c>
      <c r="AG41" s="232">
        <f t="shared" si="10"/>
        <v>0</v>
      </c>
      <c r="AH41" s="232">
        <f t="shared" si="10"/>
        <v>0</v>
      </c>
      <c r="AI41" s="233">
        <f t="shared" si="10"/>
        <v>0</v>
      </c>
      <c r="AJ41" s="241">
        <f>AF41*2+AG41*2.5+AH41*2.5+AI41*2.5</f>
        <v>0</v>
      </c>
      <c r="AK41" s="161"/>
    </row>
    <row r="42" spans="1:37" ht="13.5" thickBot="1" x14ac:dyDescent="0.25">
      <c r="A42" s="366"/>
      <c r="B42" s="17"/>
      <c r="C42" s="9"/>
      <c r="D42" s="57"/>
      <c r="E42" s="58"/>
      <c r="F42" s="58"/>
      <c r="G42" s="59"/>
      <c r="H42" s="57"/>
      <c r="I42" s="58"/>
      <c r="J42" s="58"/>
      <c r="K42" s="59"/>
      <c r="L42" s="57"/>
      <c r="M42" s="58"/>
      <c r="N42" s="58"/>
      <c r="O42" s="59"/>
      <c r="P42" s="57"/>
      <c r="Q42" s="58"/>
      <c r="R42" s="58"/>
      <c r="S42" s="59"/>
      <c r="T42" s="57"/>
      <c r="U42" s="58"/>
      <c r="V42" s="58"/>
      <c r="W42" s="59"/>
      <c r="X42" s="57"/>
      <c r="Y42" s="58"/>
      <c r="Z42" s="58"/>
      <c r="AA42" s="59"/>
      <c r="AB42" s="57"/>
      <c r="AC42" s="58"/>
      <c r="AD42" s="58"/>
      <c r="AE42" s="128"/>
      <c r="AF42" s="234"/>
      <c r="AG42" s="264"/>
      <c r="AH42" s="264"/>
      <c r="AI42" s="265"/>
      <c r="AJ42" s="243"/>
      <c r="AK42" s="157"/>
    </row>
    <row r="43" spans="1:37" x14ac:dyDescent="0.2">
      <c r="A43" s="364" t="s">
        <v>25</v>
      </c>
      <c r="B43" s="5" t="s">
        <v>15</v>
      </c>
      <c r="C43" s="6"/>
      <c r="D43" s="97"/>
      <c r="E43" s="43"/>
      <c r="F43" s="43"/>
      <c r="G43" s="44"/>
      <c r="H43" s="97"/>
      <c r="I43" s="43"/>
      <c r="J43" s="43"/>
      <c r="K43" s="44"/>
      <c r="L43" s="97"/>
      <c r="M43" s="43"/>
      <c r="N43" s="43"/>
      <c r="O43" s="44"/>
      <c r="P43" s="39"/>
      <c r="Q43" s="40"/>
      <c r="R43" s="40"/>
      <c r="S43" s="41"/>
      <c r="T43" s="39"/>
      <c r="U43" s="40"/>
      <c r="V43" s="40"/>
      <c r="W43" s="41"/>
      <c r="X43" s="39"/>
      <c r="Y43" s="40"/>
      <c r="Z43" s="40"/>
      <c r="AA43" s="41"/>
      <c r="AB43" s="39"/>
      <c r="AC43" s="40"/>
      <c r="AD43" s="40"/>
      <c r="AE43" s="210"/>
      <c r="AF43" s="228">
        <f>P43+AB43+D43+H43+L43+T43+X43</f>
        <v>0</v>
      </c>
      <c r="AG43" s="229">
        <f t="shared" ref="AG43:AI44" si="11">E43+I43+M43+Q43+U43+Y43+AC43</f>
        <v>0</v>
      </c>
      <c r="AH43" s="255">
        <f t="shared" si="11"/>
        <v>0</v>
      </c>
      <c r="AI43" s="256">
        <f t="shared" si="11"/>
        <v>0</v>
      </c>
      <c r="AJ43" s="197">
        <f>AF43*2+AG43*2.5+AH43*2.5+AI43*2.5</f>
        <v>0</v>
      </c>
      <c r="AK43" s="95"/>
    </row>
    <row r="44" spans="1:37" x14ac:dyDescent="0.2">
      <c r="A44" s="365"/>
      <c r="B44" s="9" t="s">
        <v>16</v>
      </c>
      <c r="C44" s="10"/>
      <c r="D44" s="42"/>
      <c r="E44" s="55"/>
      <c r="F44" s="55"/>
      <c r="G44" s="50"/>
      <c r="H44" s="42"/>
      <c r="I44" s="55"/>
      <c r="J44" s="55"/>
      <c r="K44" s="50"/>
      <c r="L44" s="42"/>
      <c r="M44" s="55"/>
      <c r="N44" s="55"/>
      <c r="O44" s="50"/>
      <c r="P44" s="47"/>
      <c r="Q44" s="48"/>
      <c r="R44" s="48"/>
      <c r="S44" s="49"/>
      <c r="T44" s="47"/>
      <c r="U44" s="48"/>
      <c r="V44" s="48"/>
      <c r="W44" s="49"/>
      <c r="X44" s="47"/>
      <c r="Y44" s="48"/>
      <c r="Z44" s="48"/>
      <c r="AA44" s="49"/>
      <c r="AB44" s="47"/>
      <c r="AC44" s="48"/>
      <c r="AD44" s="48"/>
      <c r="AE44" s="211"/>
      <c r="AF44" s="231">
        <f>P44+AB44+D44+H44+L44+T44+X44</f>
        <v>0</v>
      </c>
      <c r="AG44" s="232">
        <f t="shared" si="11"/>
        <v>0</v>
      </c>
      <c r="AH44" s="232">
        <f t="shared" si="11"/>
        <v>0</v>
      </c>
      <c r="AI44" s="233">
        <f t="shared" si="11"/>
        <v>0</v>
      </c>
      <c r="AJ44" s="186">
        <f>AF44*2+AG44*2.5+AH44*2.5+AI44*2.5</f>
        <v>0</v>
      </c>
      <c r="AK44" s="60"/>
    </row>
    <row r="45" spans="1:37" ht="13.5" thickBot="1" x14ac:dyDescent="0.25">
      <c r="A45" s="366"/>
      <c r="B45" s="11"/>
      <c r="C45" s="11"/>
      <c r="D45" s="57"/>
      <c r="E45" s="58"/>
      <c r="F45" s="58"/>
      <c r="G45" s="59"/>
      <c r="H45" s="57"/>
      <c r="I45" s="58"/>
      <c r="J45" s="58"/>
      <c r="K45" s="59"/>
      <c r="L45" s="57"/>
      <c r="M45" s="58"/>
      <c r="N45" s="58"/>
      <c r="O45" s="59"/>
      <c r="P45" s="57"/>
      <c r="Q45" s="58"/>
      <c r="R45" s="58"/>
      <c r="S45" s="59"/>
      <c r="T45" s="57"/>
      <c r="U45" s="58"/>
      <c r="V45" s="58"/>
      <c r="W45" s="59"/>
      <c r="X45" s="57"/>
      <c r="Y45" s="58"/>
      <c r="Z45" s="58"/>
      <c r="AA45" s="59"/>
      <c r="AB45" s="57"/>
      <c r="AC45" s="58"/>
      <c r="AD45" s="58"/>
      <c r="AE45" s="185"/>
      <c r="AF45" s="321"/>
      <c r="AG45" s="322"/>
      <c r="AH45" s="322"/>
      <c r="AI45" s="323"/>
      <c r="AJ45" s="249"/>
      <c r="AK45" s="61"/>
    </row>
    <row r="46" spans="1:37" x14ac:dyDescent="0.2">
      <c r="A46" s="364" t="s">
        <v>26</v>
      </c>
      <c r="B46" s="5" t="s">
        <v>15</v>
      </c>
      <c r="C46" s="9"/>
      <c r="D46" s="97"/>
      <c r="E46" s="43"/>
      <c r="F46" s="43"/>
      <c r="G46" s="44"/>
      <c r="H46" s="97"/>
      <c r="I46" s="43"/>
      <c r="J46" s="43"/>
      <c r="K46" s="44"/>
      <c r="L46" s="97"/>
      <c r="M46" s="43"/>
      <c r="N46" s="43"/>
      <c r="O46" s="44"/>
      <c r="P46" s="97"/>
      <c r="Q46" s="43"/>
      <c r="R46" s="43"/>
      <c r="S46" s="44"/>
      <c r="T46" s="39"/>
      <c r="U46" s="40"/>
      <c r="V46" s="40"/>
      <c r="W46" s="41"/>
      <c r="X46" s="39"/>
      <c r="Y46" s="40"/>
      <c r="Z46" s="40"/>
      <c r="AA46" s="41"/>
      <c r="AB46" s="39"/>
      <c r="AC46" s="40"/>
      <c r="AD46" s="40"/>
      <c r="AE46" s="148"/>
      <c r="AF46" s="97">
        <f>P46+AB46+D46+H46+L46+T46+X46</f>
        <v>0</v>
      </c>
      <c r="AG46" s="251">
        <f t="shared" ref="AG46:AI47" si="12">E46+I46+M46+Q46+U46+Y46+AC46</f>
        <v>0</v>
      </c>
      <c r="AH46" s="251">
        <f t="shared" si="12"/>
        <v>0</v>
      </c>
      <c r="AI46" s="252">
        <f t="shared" si="12"/>
        <v>0</v>
      </c>
      <c r="AJ46" s="240">
        <f>AF46*2+AG46*2.5+AH46*2.5+AI46*2.5</f>
        <v>0</v>
      </c>
      <c r="AK46" s="143"/>
    </row>
    <row r="47" spans="1:37" x14ac:dyDescent="0.2">
      <c r="A47" s="365"/>
      <c r="B47" s="9" t="s">
        <v>16</v>
      </c>
      <c r="C47" s="9"/>
      <c r="D47" s="42"/>
      <c r="E47" s="55"/>
      <c r="F47" s="55"/>
      <c r="G47" s="50"/>
      <c r="H47" s="42"/>
      <c r="I47" s="55"/>
      <c r="J47" s="55"/>
      <c r="K47" s="50"/>
      <c r="L47" s="42"/>
      <c r="M47" s="55"/>
      <c r="N47" s="55"/>
      <c r="O47" s="50"/>
      <c r="P47" s="42"/>
      <c r="Q47" s="55"/>
      <c r="R47" s="55"/>
      <c r="S47" s="50"/>
      <c r="T47" s="47"/>
      <c r="U47" s="48"/>
      <c r="V47" s="48"/>
      <c r="W47" s="49"/>
      <c r="X47" s="47"/>
      <c r="Y47" s="48"/>
      <c r="Z47" s="48"/>
      <c r="AA47" s="49"/>
      <c r="AB47" s="47"/>
      <c r="AC47" s="48"/>
      <c r="AD47" s="48"/>
      <c r="AE47" s="127"/>
      <c r="AF47" s="287">
        <f>P47+AB47+D47+H47+L47+T47+X47</f>
        <v>0</v>
      </c>
      <c r="AG47" s="232">
        <f t="shared" si="12"/>
        <v>0</v>
      </c>
      <c r="AH47" s="232">
        <f t="shared" si="12"/>
        <v>0</v>
      </c>
      <c r="AI47" s="233">
        <f t="shared" si="12"/>
        <v>0</v>
      </c>
      <c r="AJ47" s="241">
        <f>AF47*2+AG47*2.5+AH47*2.5+AI47*2.5</f>
        <v>0</v>
      </c>
      <c r="AK47" s="161"/>
    </row>
    <row r="48" spans="1:37" ht="13.5" thickBot="1" x14ac:dyDescent="0.25">
      <c r="A48" s="366"/>
      <c r="B48" s="11"/>
      <c r="C48" s="11"/>
      <c r="D48" s="57"/>
      <c r="E48" s="58"/>
      <c r="F48" s="58"/>
      <c r="G48" s="59"/>
      <c r="H48" s="57"/>
      <c r="I48" s="58"/>
      <c r="J48" s="58"/>
      <c r="K48" s="59"/>
      <c r="L48" s="57"/>
      <c r="M48" s="58"/>
      <c r="N48" s="58"/>
      <c r="O48" s="59"/>
      <c r="P48" s="57"/>
      <c r="Q48" s="58"/>
      <c r="R48" s="58"/>
      <c r="S48" s="59"/>
      <c r="T48" s="57"/>
      <c r="U48" s="58"/>
      <c r="V48" s="58"/>
      <c r="W48" s="59"/>
      <c r="X48" s="57"/>
      <c r="Y48" s="58"/>
      <c r="Z48" s="58"/>
      <c r="AA48" s="59"/>
      <c r="AB48" s="57"/>
      <c r="AC48" s="58"/>
      <c r="AD48" s="58"/>
      <c r="AE48" s="128"/>
      <c r="AF48" s="242"/>
      <c r="AG48" s="235"/>
      <c r="AH48" s="235"/>
      <c r="AI48" s="236"/>
      <c r="AJ48" s="243"/>
      <c r="AK48" s="154"/>
    </row>
    <row r="49" spans="1:37" x14ac:dyDescent="0.2">
      <c r="A49" s="364" t="s">
        <v>52</v>
      </c>
      <c r="B49" s="5" t="s">
        <v>15</v>
      </c>
      <c r="C49" s="5"/>
      <c r="D49" s="97"/>
      <c r="E49" s="43"/>
      <c r="F49" s="43"/>
      <c r="G49" s="44"/>
      <c r="H49" s="97"/>
      <c r="I49" s="43"/>
      <c r="J49" s="43"/>
      <c r="K49" s="44"/>
      <c r="L49" s="97"/>
      <c r="M49" s="43"/>
      <c r="N49" s="43"/>
      <c r="O49" s="44"/>
      <c r="P49" s="39"/>
      <c r="Q49" s="40"/>
      <c r="R49" s="40"/>
      <c r="S49" s="41"/>
      <c r="T49" s="39"/>
      <c r="U49" s="40"/>
      <c r="V49" s="40"/>
      <c r="W49" s="41"/>
      <c r="X49" s="39"/>
      <c r="Y49" s="40"/>
      <c r="Z49" s="40"/>
      <c r="AA49" s="41"/>
      <c r="AB49" s="39"/>
      <c r="AC49" s="40"/>
      <c r="AD49" s="40"/>
      <c r="AE49" s="41"/>
      <c r="AF49" s="162">
        <f>P49+AB49+D49+H49+L49+T49+X49</f>
        <v>0</v>
      </c>
      <c r="AG49" s="134">
        <f t="shared" ref="AG49:AI51" si="13">E49+I49+M49+Q49+U49+Y49+AC49</f>
        <v>0</v>
      </c>
      <c r="AH49" s="134">
        <f t="shared" si="13"/>
        <v>0</v>
      </c>
      <c r="AI49" s="135">
        <f t="shared" si="13"/>
        <v>0</v>
      </c>
      <c r="AJ49" s="163">
        <f>AF49*2+AG49*2.5+AH49*2.5+AI49*2.5</f>
        <v>0</v>
      </c>
      <c r="AK49" s="15"/>
    </row>
    <row r="50" spans="1:37" x14ac:dyDescent="0.2">
      <c r="A50" s="365"/>
      <c r="B50" s="9" t="s">
        <v>16</v>
      </c>
      <c r="C50" s="9"/>
      <c r="D50" s="42"/>
      <c r="E50" s="55"/>
      <c r="F50" s="55"/>
      <c r="G50" s="50"/>
      <c r="H50" s="42"/>
      <c r="I50" s="55"/>
      <c r="J50" s="55"/>
      <c r="K50" s="50"/>
      <c r="L50" s="42"/>
      <c r="M50" s="55"/>
      <c r="N50" s="55"/>
      <c r="O50" s="50"/>
      <c r="P50" s="47"/>
      <c r="Q50" s="48"/>
      <c r="R50" s="48"/>
      <c r="S50" s="49"/>
      <c r="T50" s="47"/>
      <c r="U50" s="48"/>
      <c r="V50" s="48"/>
      <c r="W50" s="49"/>
      <c r="X50" s="47"/>
      <c r="Y50" s="48"/>
      <c r="Z50" s="48"/>
      <c r="AA50" s="49"/>
      <c r="AB50" s="47"/>
      <c r="AC50" s="48"/>
      <c r="AD50" s="48"/>
      <c r="AE50" s="49"/>
      <c r="AF50" s="42">
        <f>P50+AB50+D50+H50+L50+T50+X50</f>
        <v>0</v>
      </c>
      <c r="AG50" s="55">
        <f t="shared" si="13"/>
        <v>0</v>
      </c>
      <c r="AH50" s="55">
        <f t="shared" si="13"/>
        <v>0</v>
      </c>
      <c r="AI50" s="50">
        <f t="shared" si="13"/>
        <v>0</v>
      </c>
      <c r="AJ50" s="45">
        <f>AF50*2+AG50*2.5+AH50*2.5+AI50*2.5</f>
        <v>0</v>
      </c>
      <c r="AK50" s="63"/>
    </row>
    <row r="51" spans="1:37" x14ac:dyDescent="0.2">
      <c r="A51" s="365"/>
      <c r="B51" s="9" t="s">
        <v>16</v>
      </c>
      <c r="C51" s="9"/>
      <c r="D51" s="42"/>
      <c r="E51" s="55"/>
      <c r="F51" s="55"/>
      <c r="G51" s="50"/>
      <c r="H51" s="42"/>
      <c r="I51" s="55"/>
      <c r="J51" s="55"/>
      <c r="K51" s="50"/>
      <c r="L51" s="42"/>
      <c r="M51" s="55"/>
      <c r="N51" s="55"/>
      <c r="O51" s="50"/>
      <c r="P51" s="47"/>
      <c r="Q51" s="48"/>
      <c r="R51" s="48"/>
      <c r="S51" s="49"/>
      <c r="T51" s="47"/>
      <c r="U51" s="48"/>
      <c r="V51" s="48"/>
      <c r="W51" s="49"/>
      <c r="X51" s="47"/>
      <c r="Y51" s="48"/>
      <c r="Z51" s="48"/>
      <c r="AA51" s="49"/>
      <c r="AB51" s="47"/>
      <c r="AC51" s="48"/>
      <c r="AD51" s="48"/>
      <c r="AE51" s="49"/>
      <c r="AF51" s="42">
        <f>P51+AB51+D51+H51+L51+T51+X51</f>
        <v>0</v>
      </c>
      <c r="AG51" s="48">
        <f t="shared" si="13"/>
        <v>0</v>
      </c>
      <c r="AH51" s="48">
        <f t="shared" si="13"/>
        <v>0</v>
      </c>
      <c r="AI51" s="49">
        <f t="shared" si="13"/>
        <v>0</v>
      </c>
      <c r="AJ51" s="99">
        <f>AF51*2+AG51*2.5+AH51*2.5+AI51*2.5</f>
        <v>0</v>
      </c>
      <c r="AK51" s="108"/>
    </row>
    <row r="52" spans="1:37" ht="13.5" thickBot="1" x14ac:dyDescent="0.25">
      <c r="A52" s="366"/>
      <c r="B52" s="11"/>
      <c r="C52" s="175"/>
      <c r="D52" s="42"/>
      <c r="E52" s="55"/>
      <c r="F52" s="55"/>
      <c r="G52" s="50"/>
      <c r="H52" s="47"/>
      <c r="I52" s="48"/>
      <c r="J52" s="48"/>
      <c r="K52" s="49"/>
      <c r="L52" s="47"/>
      <c r="M52" s="48"/>
      <c r="N52" s="48"/>
      <c r="O52" s="49"/>
      <c r="P52" s="47"/>
      <c r="Q52" s="48"/>
      <c r="R52" s="48"/>
      <c r="S52" s="49"/>
      <c r="T52" s="47"/>
      <c r="U52" s="48"/>
      <c r="V52" s="48"/>
      <c r="W52" s="49"/>
      <c r="X52" s="47"/>
      <c r="Y52" s="48"/>
      <c r="Z52" s="48"/>
      <c r="AA52" s="49"/>
      <c r="AB52" s="47"/>
      <c r="AC52" s="48"/>
      <c r="AD52" s="48"/>
      <c r="AE52" s="49"/>
      <c r="AF52" s="166"/>
      <c r="AG52" s="167"/>
      <c r="AH52" s="167"/>
      <c r="AI52" s="168"/>
      <c r="AJ52" s="165"/>
      <c r="AK52" s="61"/>
    </row>
    <row r="53" spans="1:37" x14ac:dyDescent="0.2">
      <c r="A53" s="364" t="s">
        <v>53</v>
      </c>
      <c r="B53" s="169" t="s">
        <v>15</v>
      </c>
      <c r="C53" s="324"/>
      <c r="D53" s="172"/>
      <c r="E53" s="43"/>
      <c r="F53" s="43"/>
      <c r="G53" s="44"/>
      <c r="H53" s="97"/>
      <c r="I53" s="43"/>
      <c r="J53" s="43"/>
      <c r="K53" s="44"/>
      <c r="L53" s="97"/>
      <c r="M53" s="43"/>
      <c r="N53" s="43"/>
      <c r="O53" s="44"/>
      <c r="P53" s="97"/>
      <c r="Q53" s="43"/>
      <c r="R53" s="43"/>
      <c r="S53" s="44"/>
      <c r="T53" s="97"/>
      <c r="U53" s="43"/>
      <c r="V53" s="43"/>
      <c r="W53" s="44"/>
      <c r="X53" s="97"/>
      <c r="Y53" s="43"/>
      <c r="Z53" s="43"/>
      <c r="AA53" s="44"/>
      <c r="AB53" s="97"/>
      <c r="AC53" s="43"/>
      <c r="AD53" s="43"/>
      <c r="AE53" s="126"/>
      <c r="AF53" s="228">
        <f>P53+AB53+D53+H53+L53+T53+X53</f>
        <v>0</v>
      </c>
      <c r="AG53" s="229">
        <f t="shared" ref="AG53:AG54" si="14">E53+I53+M53+Q53+U53+Y53+AC53</f>
        <v>0</v>
      </c>
      <c r="AH53" s="229">
        <f t="shared" ref="AH53:AH54" si="15">F53+J53+N53+R53+V53+Z53+AD53</f>
        <v>0</v>
      </c>
      <c r="AI53" s="230">
        <f t="shared" ref="AI53:AI54" si="16">G53+K53+O53+S53+W53+AA53+AE53</f>
        <v>0</v>
      </c>
      <c r="AJ53" s="164">
        <f>AF53*2+AG53*2.5+AH53*2.5+AI53*2.5</f>
        <v>0</v>
      </c>
      <c r="AK53" s="15"/>
    </row>
    <row r="54" spans="1:37" x14ac:dyDescent="0.2">
      <c r="A54" s="365"/>
      <c r="B54" s="170" t="s">
        <v>16</v>
      </c>
      <c r="C54" s="325"/>
      <c r="D54" s="173"/>
      <c r="E54" s="55"/>
      <c r="F54" s="55"/>
      <c r="G54" s="50"/>
      <c r="H54" s="42"/>
      <c r="I54" s="55"/>
      <c r="J54" s="55"/>
      <c r="K54" s="50"/>
      <c r="L54" s="42"/>
      <c r="M54" s="55"/>
      <c r="N54" s="55"/>
      <c r="O54" s="50"/>
      <c r="P54" s="42"/>
      <c r="Q54" s="55"/>
      <c r="R54" s="55"/>
      <c r="S54" s="50"/>
      <c r="T54" s="42"/>
      <c r="U54" s="55"/>
      <c r="V54" s="55"/>
      <c r="W54" s="50"/>
      <c r="X54" s="42"/>
      <c r="Y54" s="55"/>
      <c r="Z54" s="55"/>
      <c r="AA54" s="50"/>
      <c r="AB54" s="42"/>
      <c r="AC54" s="55"/>
      <c r="AD54" s="55"/>
      <c r="AE54" s="138"/>
      <c r="AF54" s="231">
        <f>P54+AB54+D54+H54+L54+T54+X54</f>
        <v>0</v>
      </c>
      <c r="AG54" s="232">
        <f t="shared" si="14"/>
        <v>0</v>
      </c>
      <c r="AH54" s="232">
        <f t="shared" si="15"/>
        <v>0</v>
      </c>
      <c r="AI54" s="233">
        <f t="shared" si="16"/>
        <v>0</v>
      </c>
      <c r="AJ54" s="129">
        <f>AF54*2+AG54*2.5+AH54*2.5+AI54*2.5</f>
        <v>0</v>
      </c>
      <c r="AK54" s="63"/>
    </row>
    <row r="55" spans="1:37" ht="13.5" thickBot="1" x14ac:dyDescent="0.25">
      <c r="A55" s="366"/>
      <c r="B55" s="171"/>
      <c r="C55" s="326"/>
      <c r="D55" s="174"/>
      <c r="E55" s="58"/>
      <c r="F55" s="58"/>
      <c r="G55" s="59"/>
      <c r="H55" s="57"/>
      <c r="I55" s="58"/>
      <c r="J55" s="58"/>
      <c r="K55" s="59"/>
      <c r="L55" s="57"/>
      <c r="M55" s="58"/>
      <c r="N55" s="58"/>
      <c r="O55" s="59"/>
      <c r="P55" s="57"/>
      <c r="Q55" s="58"/>
      <c r="R55" s="58"/>
      <c r="S55" s="59"/>
      <c r="T55" s="57"/>
      <c r="U55" s="58"/>
      <c r="V55" s="58"/>
      <c r="W55" s="59"/>
      <c r="X55" s="57"/>
      <c r="Y55" s="58"/>
      <c r="Z55" s="58"/>
      <c r="AA55" s="59"/>
      <c r="AB55" s="57"/>
      <c r="AC55" s="58"/>
      <c r="AD55" s="58"/>
      <c r="AE55" s="128"/>
      <c r="AF55" s="242"/>
      <c r="AG55" s="235"/>
      <c r="AH55" s="235"/>
      <c r="AI55" s="236"/>
      <c r="AJ55" s="130"/>
      <c r="AK55" s="61"/>
    </row>
    <row r="56" spans="1:37" x14ac:dyDescent="0.2">
      <c r="A56" s="364" t="s">
        <v>65</v>
      </c>
      <c r="B56" s="169" t="s">
        <v>15</v>
      </c>
      <c r="C56" s="324"/>
      <c r="D56" s="172"/>
      <c r="E56" s="43"/>
      <c r="F56" s="43"/>
      <c r="G56" s="44"/>
      <c r="H56" s="97"/>
      <c r="I56" s="43"/>
      <c r="J56" s="43"/>
      <c r="K56" s="44"/>
      <c r="L56" s="97"/>
      <c r="M56" s="43"/>
      <c r="N56" s="43"/>
      <c r="O56" s="44"/>
      <c r="P56" s="97"/>
      <c r="Q56" s="43"/>
      <c r="R56" s="43"/>
      <c r="S56" s="44"/>
      <c r="T56" s="97"/>
      <c r="U56" s="43"/>
      <c r="V56" s="43"/>
      <c r="W56" s="44"/>
      <c r="X56" s="97"/>
      <c r="Y56" s="43"/>
      <c r="Z56" s="43"/>
      <c r="AA56" s="44"/>
      <c r="AB56" s="97"/>
      <c r="AC56" s="43"/>
      <c r="AD56" s="43"/>
      <c r="AE56" s="126"/>
      <c r="AF56" s="228">
        <f>P56+AB56+D56+H56+L56+T56+X56</f>
        <v>0</v>
      </c>
      <c r="AG56" s="229">
        <f t="shared" ref="AG56:AI57" si="17">E56+I56+M56+Q56+U56+Y56+AC56</f>
        <v>0</v>
      </c>
      <c r="AH56" s="229">
        <f t="shared" si="17"/>
        <v>0</v>
      </c>
      <c r="AI56" s="230">
        <f t="shared" si="17"/>
        <v>0</v>
      </c>
      <c r="AJ56" s="164">
        <f>AF56*2+AG56*2.5+AH56*2.5+AI56*2.5</f>
        <v>0</v>
      </c>
      <c r="AK56" s="15"/>
    </row>
    <row r="57" spans="1:37" x14ac:dyDescent="0.2">
      <c r="A57" s="365"/>
      <c r="B57" s="170" t="s">
        <v>16</v>
      </c>
      <c r="C57" s="325"/>
      <c r="D57" s="173"/>
      <c r="E57" s="55"/>
      <c r="F57" s="55"/>
      <c r="G57" s="50"/>
      <c r="H57" s="42"/>
      <c r="I57" s="55"/>
      <c r="J57" s="55"/>
      <c r="K57" s="50"/>
      <c r="L57" s="42"/>
      <c r="M57" s="55"/>
      <c r="N57" s="55"/>
      <c r="O57" s="50"/>
      <c r="P57" s="42"/>
      <c r="Q57" s="55"/>
      <c r="R57" s="55"/>
      <c r="S57" s="50"/>
      <c r="T57" s="42"/>
      <c r="U57" s="55"/>
      <c r="V57" s="55"/>
      <c r="W57" s="50"/>
      <c r="X57" s="42"/>
      <c r="Y57" s="55"/>
      <c r="Z57" s="55"/>
      <c r="AA57" s="50"/>
      <c r="AB57" s="42"/>
      <c r="AC57" s="55"/>
      <c r="AD57" s="55"/>
      <c r="AE57" s="138"/>
      <c r="AF57" s="231">
        <f>P57+AB57+D57+H57+L57+T57+X57</f>
        <v>0</v>
      </c>
      <c r="AG57" s="232">
        <f t="shared" si="17"/>
        <v>0</v>
      </c>
      <c r="AH57" s="232">
        <f t="shared" si="17"/>
        <v>0</v>
      </c>
      <c r="AI57" s="233">
        <f t="shared" si="17"/>
        <v>0</v>
      </c>
      <c r="AJ57" s="129">
        <f>AF57*2+AG57*2.5+AH57*2.5+AI57*2.5</f>
        <v>0</v>
      </c>
      <c r="AK57" s="63"/>
    </row>
    <row r="58" spans="1:37" ht="13.5" thickBot="1" x14ac:dyDescent="0.25">
      <c r="A58" s="366"/>
      <c r="B58" s="171"/>
      <c r="C58" s="326"/>
      <c r="D58" s="174"/>
      <c r="E58" s="58"/>
      <c r="F58" s="58"/>
      <c r="G58" s="59"/>
      <c r="H58" s="57"/>
      <c r="I58" s="58"/>
      <c r="J58" s="58"/>
      <c r="K58" s="59"/>
      <c r="L58" s="57"/>
      <c r="M58" s="58"/>
      <c r="N58" s="58"/>
      <c r="O58" s="59"/>
      <c r="P58" s="57"/>
      <c r="Q58" s="58"/>
      <c r="R58" s="58"/>
      <c r="S58" s="59"/>
      <c r="T58" s="57"/>
      <c r="U58" s="58"/>
      <c r="V58" s="58"/>
      <c r="W58" s="59"/>
      <c r="X58" s="57"/>
      <c r="Y58" s="58"/>
      <c r="Z58" s="58"/>
      <c r="AA58" s="59"/>
      <c r="AB58" s="57"/>
      <c r="AC58" s="58"/>
      <c r="AD58" s="58"/>
      <c r="AE58" s="128"/>
      <c r="AF58" s="242"/>
      <c r="AG58" s="235"/>
      <c r="AH58" s="235"/>
      <c r="AI58" s="236"/>
      <c r="AJ58" s="130"/>
      <c r="AK58" s="61"/>
    </row>
    <row r="59" spans="1:37" x14ac:dyDescent="0.2">
      <c r="A59" s="364" t="s">
        <v>54</v>
      </c>
      <c r="B59" s="9" t="s">
        <v>16</v>
      </c>
      <c r="C59" s="65"/>
      <c r="D59" s="97"/>
      <c r="E59" s="43"/>
      <c r="F59" s="43"/>
      <c r="G59" s="44"/>
      <c r="H59" s="97"/>
      <c r="I59" s="43"/>
      <c r="J59" s="43"/>
      <c r="K59" s="44"/>
      <c r="L59" s="97"/>
      <c r="M59" s="43"/>
      <c r="N59" s="43"/>
      <c r="O59" s="44"/>
      <c r="P59" s="97"/>
      <c r="Q59" s="43"/>
      <c r="R59" s="43"/>
      <c r="S59" s="44"/>
      <c r="T59" s="97"/>
      <c r="U59" s="43"/>
      <c r="V59" s="43"/>
      <c r="W59" s="44"/>
      <c r="X59" s="97"/>
      <c r="Y59" s="43"/>
      <c r="Z59" s="43"/>
      <c r="AA59" s="44"/>
      <c r="AB59" s="97"/>
      <c r="AC59" s="43"/>
      <c r="AD59" s="43"/>
      <c r="AE59" s="44"/>
      <c r="AF59" s="162">
        <f>D59+H59+L59+P59+T59+X59+AB59</f>
        <v>0</v>
      </c>
      <c r="AG59" s="132">
        <f>E59+I59+M59+Q59+U59+Y59+AC59</f>
        <v>0</v>
      </c>
      <c r="AH59" s="132">
        <f>F59+J59+N59+R59+V59+Z59+AD59</f>
        <v>0</v>
      </c>
      <c r="AI59" s="133">
        <f>G59+K59+O59+S59+W59+AA59+AE59</f>
        <v>0</v>
      </c>
      <c r="AJ59" s="98">
        <f>AF59*2+AG59*2.5+AH59*2.5+AI59*2.5</f>
        <v>0</v>
      </c>
      <c r="AK59" s="15"/>
    </row>
    <row r="60" spans="1:37" x14ac:dyDescent="0.2">
      <c r="A60" s="365"/>
      <c r="B60" s="9" t="s">
        <v>16</v>
      </c>
      <c r="C60" s="9"/>
      <c r="D60" s="42"/>
      <c r="E60" s="55"/>
      <c r="F60" s="55"/>
      <c r="G60" s="50"/>
      <c r="H60" s="42"/>
      <c r="I60" s="55"/>
      <c r="J60" s="55"/>
      <c r="K60" s="50"/>
      <c r="L60" s="42"/>
      <c r="M60" s="55"/>
      <c r="N60" s="55"/>
      <c r="O60" s="50"/>
      <c r="P60" s="42"/>
      <c r="Q60" s="55"/>
      <c r="R60" s="55"/>
      <c r="S60" s="50"/>
      <c r="T60" s="42"/>
      <c r="U60" s="55"/>
      <c r="V60" s="55"/>
      <c r="W60" s="50"/>
      <c r="X60" s="42"/>
      <c r="Y60" s="55"/>
      <c r="Z60" s="55"/>
      <c r="AA60" s="50"/>
      <c r="AB60" s="42"/>
      <c r="AC60" s="55"/>
      <c r="AD60" s="55"/>
      <c r="AE60" s="50"/>
      <c r="AF60" s="42">
        <v>0</v>
      </c>
      <c r="AG60" s="48">
        <f>E60+I60+M60+Q60+U60+Y60+AC60</f>
        <v>0</v>
      </c>
      <c r="AH60" s="48">
        <f>F60+J60+N60+R60+V60+Z60+AD60</f>
        <v>0</v>
      </c>
      <c r="AI60" s="49">
        <f>G60+K60+O60+S60+W60+AA60+AE60</f>
        <v>0</v>
      </c>
      <c r="AJ60" s="99">
        <f>AF60*2+AG60*2.5+AH60*2.5+AI60*2.5</f>
        <v>0</v>
      </c>
      <c r="AK60" s="63"/>
    </row>
    <row r="61" spans="1:37" x14ac:dyDescent="0.2">
      <c r="A61" s="366"/>
      <c r="B61" s="17"/>
      <c r="C61" s="17"/>
      <c r="D61" s="57"/>
      <c r="E61" s="58"/>
      <c r="F61" s="58"/>
      <c r="G61" s="59"/>
      <c r="H61" s="57"/>
      <c r="I61" s="58"/>
      <c r="J61" s="58"/>
      <c r="K61" s="59"/>
      <c r="L61" s="57"/>
      <c r="M61" s="58"/>
      <c r="N61" s="58"/>
      <c r="O61" s="59"/>
      <c r="P61" s="57"/>
      <c r="Q61" s="58"/>
      <c r="R61" s="58"/>
      <c r="S61" s="59"/>
      <c r="T61" s="57"/>
      <c r="U61" s="58"/>
      <c r="V61" s="58"/>
      <c r="W61" s="59"/>
      <c r="X61" s="57"/>
      <c r="Y61" s="58"/>
      <c r="Z61" s="58"/>
      <c r="AA61" s="59"/>
      <c r="AB61" s="57"/>
      <c r="AC61" s="58"/>
      <c r="AD61" s="58"/>
      <c r="AE61" s="59"/>
      <c r="AF61" s="57"/>
      <c r="AG61" s="58"/>
      <c r="AH61" s="58"/>
      <c r="AI61" s="59"/>
      <c r="AJ61" s="62"/>
      <c r="AK61" s="61"/>
    </row>
    <row r="62" spans="1:37" x14ac:dyDescent="0.2">
      <c r="A62" s="66"/>
      <c r="B62" s="67"/>
      <c r="C62" s="68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69"/>
      <c r="AH62" s="69"/>
      <c r="AI62" s="69"/>
      <c r="AJ62" s="69"/>
      <c r="AK62" s="68"/>
    </row>
    <row r="63" spans="1:37" ht="20.25" x14ac:dyDescent="0.3">
      <c r="A63" s="107"/>
      <c r="B63" s="107"/>
      <c r="C63" s="107"/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07"/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7"/>
      <c r="AA63" s="107"/>
      <c r="AB63" s="107"/>
      <c r="AC63" s="107"/>
      <c r="AD63" s="107"/>
      <c r="AE63" s="107"/>
      <c r="AF63" s="107"/>
      <c r="AG63" s="107"/>
      <c r="AH63" s="107"/>
      <c r="AI63" s="107"/>
      <c r="AJ63" s="107"/>
      <c r="AK63" s="371"/>
    </row>
    <row r="64" spans="1:37" ht="20.25" x14ac:dyDescent="0.3">
      <c r="A64" s="107"/>
      <c r="B64" s="107"/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  <c r="Q64" s="107"/>
      <c r="R64" s="107"/>
      <c r="S64" s="107"/>
      <c r="T64" s="107"/>
      <c r="U64" s="107"/>
      <c r="V64" s="107"/>
      <c r="W64" s="107"/>
      <c r="X64" s="107"/>
      <c r="Y64" s="107"/>
      <c r="Z64" s="107"/>
      <c r="AA64" s="107"/>
      <c r="AB64" s="107"/>
      <c r="AC64" s="107"/>
      <c r="AD64" s="107"/>
      <c r="AE64" s="107"/>
      <c r="AF64" s="107"/>
      <c r="AG64" s="107"/>
      <c r="AH64" s="107"/>
      <c r="AI64" s="107"/>
      <c r="AJ64" s="107"/>
      <c r="AK64" s="371"/>
    </row>
    <row r="65" spans="1:37" ht="20.25" x14ac:dyDescent="0.3">
      <c r="A65" s="107"/>
      <c r="B65" s="107"/>
      <c r="C65" s="70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07"/>
      <c r="AK65" s="371"/>
    </row>
    <row r="66" spans="1:37" x14ac:dyDescent="0.2">
      <c r="A66" s="71"/>
      <c r="B66" s="71"/>
      <c r="C66" s="67" t="s">
        <v>28</v>
      </c>
      <c r="D66" s="33"/>
      <c r="E66" s="33"/>
      <c r="F66" s="72"/>
      <c r="G66" s="69"/>
      <c r="H66" s="69"/>
      <c r="I66" s="69"/>
      <c r="J66" s="69"/>
      <c r="K66" s="69"/>
      <c r="L66" s="69"/>
      <c r="M66" s="69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72"/>
      <c r="Y66" s="372"/>
      <c r="Z66" s="372"/>
      <c r="AA66" s="372"/>
      <c r="AB66" s="372"/>
      <c r="AC66" s="372"/>
      <c r="AD66" s="372"/>
      <c r="AE66" s="372"/>
      <c r="AF66" s="372"/>
      <c r="AG66" s="372"/>
      <c r="AH66" s="372"/>
      <c r="AI66" s="372"/>
      <c r="AJ66" s="34"/>
      <c r="AK66" s="73"/>
    </row>
    <row r="67" spans="1:37" x14ac:dyDescent="0.2">
      <c r="A67" s="71"/>
      <c r="B67" s="71"/>
      <c r="C67" s="118" t="s">
        <v>29</v>
      </c>
      <c r="D67" s="68"/>
      <c r="E67" s="68"/>
      <c r="F67" s="74"/>
      <c r="G67" s="72"/>
      <c r="H67" s="72"/>
      <c r="I67" s="72"/>
      <c r="J67" s="69"/>
      <c r="K67" s="69"/>
      <c r="L67" s="69"/>
      <c r="M67" s="69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70"/>
      <c r="Y67" s="370"/>
      <c r="Z67" s="370"/>
      <c r="AA67" s="370"/>
      <c r="AB67" s="370"/>
      <c r="AC67" s="370"/>
      <c r="AD67" s="370"/>
      <c r="AE67" s="370"/>
      <c r="AF67" s="370"/>
      <c r="AG67" s="370"/>
      <c r="AH67" s="370"/>
      <c r="AI67" s="370"/>
      <c r="AJ67" s="34"/>
      <c r="AK67" s="68"/>
    </row>
    <row r="70" spans="1:37" ht="20.25" x14ac:dyDescent="0.3">
      <c r="A70" s="373" t="s">
        <v>0</v>
      </c>
      <c r="B70" s="373"/>
      <c r="C70" s="373"/>
      <c r="D70" s="373"/>
      <c r="E70" s="373"/>
      <c r="F70" s="373"/>
      <c r="G70" s="373"/>
      <c r="H70" s="373"/>
      <c r="I70" s="373"/>
      <c r="J70" s="373"/>
      <c r="K70" s="373"/>
      <c r="L70" s="373"/>
      <c r="M70" s="373"/>
      <c r="N70" s="373"/>
      <c r="O70" s="373"/>
      <c r="P70" s="373"/>
      <c r="Q70" s="373"/>
      <c r="R70" s="373"/>
      <c r="S70" s="373"/>
      <c r="T70" s="373"/>
      <c r="U70" s="373"/>
      <c r="V70" s="373"/>
      <c r="W70" s="373"/>
      <c r="X70" s="373"/>
      <c r="Y70" s="373"/>
      <c r="Z70" s="373"/>
      <c r="AA70" s="373"/>
      <c r="AB70" s="373"/>
      <c r="AC70" s="373"/>
      <c r="AD70" s="373"/>
      <c r="AE70" s="373"/>
      <c r="AF70" s="373"/>
      <c r="AG70" s="373"/>
      <c r="AH70" s="373"/>
      <c r="AI70" s="373"/>
      <c r="AJ70" s="373"/>
      <c r="AK70" s="373"/>
    </row>
    <row r="71" spans="1:37" ht="20.25" x14ac:dyDescent="0.3">
      <c r="A71" s="373" t="s">
        <v>30</v>
      </c>
      <c r="B71" s="373"/>
      <c r="C71" s="373"/>
      <c r="D71" s="373"/>
      <c r="E71" s="373"/>
      <c r="F71" s="373"/>
      <c r="G71" s="373"/>
      <c r="H71" s="373"/>
      <c r="I71" s="373"/>
      <c r="J71" s="373"/>
      <c r="K71" s="373"/>
      <c r="L71" s="373"/>
      <c r="M71" s="373"/>
      <c r="N71" s="373"/>
      <c r="O71" s="373"/>
      <c r="P71" s="373"/>
      <c r="Q71" s="373"/>
      <c r="R71" s="373"/>
      <c r="S71" s="373"/>
      <c r="T71" s="373"/>
      <c r="U71" s="373"/>
      <c r="V71" s="373"/>
      <c r="W71" s="373"/>
      <c r="X71" s="373"/>
      <c r="Y71" s="373"/>
      <c r="Z71" s="373"/>
      <c r="AA71" s="373"/>
      <c r="AB71" s="373"/>
      <c r="AC71" s="373"/>
      <c r="AD71" s="373"/>
      <c r="AE71" s="373"/>
      <c r="AF71" s="373"/>
      <c r="AG71" s="373"/>
      <c r="AH71" s="373"/>
      <c r="AI71" s="373"/>
      <c r="AJ71" s="373"/>
      <c r="AK71" s="373"/>
    </row>
    <row r="72" spans="1:37" ht="20.25" x14ac:dyDescent="0.3">
      <c r="A72" s="373" t="s">
        <v>60</v>
      </c>
      <c r="B72" s="373"/>
      <c r="C72" s="373"/>
      <c r="D72" s="373"/>
      <c r="E72" s="373"/>
      <c r="F72" s="373"/>
      <c r="G72" s="373"/>
      <c r="H72" s="373"/>
      <c r="I72" s="373"/>
      <c r="J72" s="373"/>
      <c r="K72" s="373"/>
      <c r="L72" s="373"/>
      <c r="M72" s="373"/>
      <c r="N72" s="373"/>
      <c r="O72" s="373"/>
      <c r="P72" s="373"/>
      <c r="Q72" s="373"/>
      <c r="R72" s="373"/>
      <c r="S72" s="373"/>
      <c r="T72" s="373"/>
      <c r="U72" s="373"/>
      <c r="V72" s="373"/>
      <c r="W72" s="373"/>
      <c r="X72" s="373"/>
      <c r="Y72" s="373"/>
      <c r="Z72" s="373"/>
      <c r="AA72" s="373"/>
      <c r="AB72" s="373"/>
      <c r="AC72" s="373"/>
      <c r="AD72" s="373"/>
      <c r="AE72" s="373"/>
      <c r="AF72" s="373"/>
      <c r="AG72" s="373"/>
      <c r="AH72" s="373"/>
      <c r="AI72" s="373"/>
      <c r="AJ72" s="373"/>
      <c r="AK72" s="373"/>
    </row>
    <row r="73" spans="1:37" ht="13.5" thickBot="1" x14ac:dyDescent="0.25">
      <c r="A73" s="33"/>
      <c r="B73" s="33"/>
      <c r="C73" s="33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</row>
    <row r="74" spans="1:37" x14ac:dyDescent="0.2">
      <c r="A74" s="374" t="s">
        <v>2</v>
      </c>
      <c r="B74" s="374" t="s">
        <v>3</v>
      </c>
      <c r="C74" s="374" t="s">
        <v>4</v>
      </c>
      <c r="D74" s="377" t="s">
        <v>5</v>
      </c>
      <c r="E74" s="378"/>
      <c r="F74" s="378"/>
      <c r="G74" s="379"/>
      <c r="H74" s="377" t="s">
        <v>31</v>
      </c>
      <c r="I74" s="378"/>
      <c r="J74" s="378"/>
      <c r="K74" s="379"/>
      <c r="L74" s="380" t="s">
        <v>32</v>
      </c>
      <c r="M74" s="381"/>
      <c r="N74" s="381"/>
      <c r="O74" s="382"/>
      <c r="P74" s="377" t="s">
        <v>33</v>
      </c>
      <c r="Q74" s="378"/>
      <c r="R74" s="378"/>
      <c r="S74" s="379"/>
      <c r="T74" s="377" t="s">
        <v>9</v>
      </c>
      <c r="U74" s="378"/>
      <c r="V74" s="378"/>
      <c r="W74" s="379"/>
      <c r="X74" s="377" t="s">
        <v>34</v>
      </c>
      <c r="Y74" s="378"/>
      <c r="Z74" s="378"/>
      <c r="AA74" s="383"/>
      <c r="AB74" s="384" t="s">
        <v>35</v>
      </c>
      <c r="AC74" s="385"/>
      <c r="AD74" s="385"/>
      <c r="AE74" s="386"/>
      <c r="AF74" s="387" t="s">
        <v>36</v>
      </c>
      <c r="AG74" s="385"/>
      <c r="AH74" s="385"/>
      <c r="AI74" s="405"/>
      <c r="AJ74" s="296" t="s">
        <v>36</v>
      </c>
      <c r="AK74" s="391" t="s">
        <v>37</v>
      </c>
    </row>
    <row r="75" spans="1:37" ht="13.5" thickBot="1" x14ac:dyDescent="0.25">
      <c r="A75" s="375"/>
      <c r="B75" s="375"/>
      <c r="C75" s="375"/>
      <c r="D75" s="394">
        <v>19</v>
      </c>
      <c r="E75" s="395"/>
      <c r="F75" s="395"/>
      <c r="G75" s="396"/>
      <c r="H75" s="397">
        <f>1+D75</f>
        <v>20</v>
      </c>
      <c r="I75" s="398"/>
      <c r="J75" s="398"/>
      <c r="K75" s="399"/>
      <c r="L75" s="396">
        <f>1+H75</f>
        <v>21</v>
      </c>
      <c r="M75" s="395"/>
      <c r="N75" s="395"/>
      <c r="O75" s="400"/>
      <c r="P75" s="394">
        <f>1+L75</f>
        <v>22</v>
      </c>
      <c r="Q75" s="395"/>
      <c r="R75" s="395"/>
      <c r="S75" s="400"/>
      <c r="T75" s="394">
        <f>1+P75</f>
        <v>23</v>
      </c>
      <c r="U75" s="395"/>
      <c r="V75" s="395"/>
      <c r="W75" s="400"/>
      <c r="X75" s="394">
        <f>1+T75</f>
        <v>24</v>
      </c>
      <c r="Y75" s="395"/>
      <c r="Z75" s="395"/>
      <c r="AA75" s="396"/>
      <c r="AB75" s="401">
        <f>1+X75</f>
        <v>25</v>
      </c>
      <c r="AC75" s="402"/>
      <c r="AD75" s="402"/>
      <c r="AE75" s="403"/>
      <c r="AF75" s="388"/>
      <c r="AG75" s="389"/>
      <c r="AH75" s="389"/>
      <c r="AI75" s="412"/>
      <c r="AJ75" s="297"/>
      <c r="AK75" s="392"/>
    </row>
    <row r="76" spans="1:37" ht="13.5" thickBot="1" x14ac:dyDescent="0.25">
      <c r="A76" s="376"/>
      <c r="B76" s="376"/>
      <c r="C76" s="376"/>
      <c r="D76" s="36" t="s">
        <v>38</v>
      </c>
      <c r="E76" s="36" t="s">
        <v>39</v>
      </c>
      <c r="F76" s="36" t="s">
        <v>40</v>
      </c>
      <c r="G76" s="36" t="s">
        <v>41</v>
      </c>
      <c r="H76" s="179" t="s">
        <v>38</v>
      </c>
      <c r="I76" s="38" t="s">
        <v>39</v>
      </c>
      <c r="J76" s="38" t="s">
        <v>40</v>
      </c>
      <c r="K76" s="38" t="s">
        <v>41</v>
      </c>
      <c r="L76" s="36" t="s">
        <v>38</v>
      </c>
      <c r="M76" s="35" t="s">
        <v>39</v>
      </c>
      <c r="N76" s="36" t="s">
        <v>40</v>
      </c>
      <c r="O76" s="36" t="s">
        <v>41</v>
      </c>
      <c r="P76" s="38" t="s">
        <v>38</v>
      </c>
      <c r="Q76" s="38" t="s">
        <v>39</v>
      </c>
      <c r="R76" s="38" t="s">
        <v>40</v>
      </c>
      <c r="S76" s="38" t="s">
        <v>41</v>
      </c>
      <c r="T76" s="38" t="s">
        <v>38</v>
      </c>
      <c r="U76" s="38" t="s">
        <v>39</v>
      </c>
      <c r="V76" s="38" t="s">
        <v>40</v>
      </c>
      <c r="W76" s="38" t="s">
        <v>41</v>
      </c>
      <c r="X76" s="38" t="s">
        <v>38</v>
      </c>
      <c r="Y76" s="38" t="s">
        <v>39</v>
      </c>
      <c r="Z76" s="38" t="s">
        <v>40</v>
      </c>
      <c r="AA76" s="136" t="s">
        <v>41</v>
      </c>
      <c r="AB76" s="293" t="s">
        <v>38</v>
      </c>
      <c r="AC76" s="293" t="s">
        <v>39</v>
      </c>
      <c r="AD76" s="293" t="s">
        <v>40</v>
      </c>
      <c r="AE76" s="294" t="s">
        <v>41</v>
      </c>
      <c r="AF76" s="298" t="s">
        <v>38</v>
      </c>
      <c r="AG76" s="299" t="s">
        <v>39</v>
      </c>
      <c r="AH76" s="299" t="s">
        <v>40</v>
      </c>
      <c r="AI76" s="300" t="s">
        <v>41</v>
      </c>
      <c r="AJ76" s="301" t="s">
        <v>42</v>
      </c>
      <c r="AK76" s="393"/>
    </row>
    <row r="77" spans="1:37" x14ac:dyDescent="0.2">
      <c r="A77" s="364" t="s">
        <v>14</v>
      </c>
      <c r="B77" s="5" t="s">
        <v>15</v>
      </c>
      <c r="C77" s="5"/>
      <c r="D77" s="39"/>
      <c r="E77" s="40"/>
      <c r="F77" s="40"/>
      <c r="G77" s="41"/>
      <c r="H77" s="39"/>
      <c r="I77" s="40"/>
      <c r="J77" s="40"/>
      <c r="K77" s="41"/>
      <c r="L77" s="39"/>
      <c r="M77" s="40"/>
      <c r="N77" s="40"/>
      <c r="O77" s="41"/>
      <c r="P77" s="39"/>
      <c r="Q77" s="40"/>
      <c r="R77" s="40"/>
      <c r="S77" s="41"/>
      <c r="T77" s="39"/>
      <c r="U77" s="40"/>
      <c r="V77" s="40"/>
      <c r="W77" s="41"/>
      <c r="X77" s="39"/>
      <c r="Y77" s="40"/>
      <c r="Z77" s="40"/>
      <c r="AA77" s="41"/>
      <c r="AB77" s="290"/>
      <c r="AC77" s="291"/>
      <c r="AD77" s="291"/>
      <c r="AE77" s="292"/>
      <c r="AF77" s="287">
        <v>0</v>
      </c>
      <c r="AG77" s="295">
        <f t="shared" ref="AG77:AI78" si="18">E77+I77+M77+Q77+U77+Y77+AC77</f>
        <v>0</v>
      </c>
      <c r="AH77" s="295">
        <f t="shared" si="18"/>
        <v>0</v>
      </c>
      <c r="AI77" s="289">
        <f t="shared" si="18"/>
        <v>0</v>
      </c>
      <c r="AJ77" s="283">
        <f>AF77*2+AG77*2.5+AH77*2.5+AI77*2.5</f>
        <v>0</v>
      </c>
      <c r="AK77" s="140" t="s">
        <v>56</v>
      </c>
    </row>
    <row r="78" spans="1:37" x14ac:dyDescent="0.2">
      <c r="A78" s="365"/>
      <c r="B78" s="9" t="s">
        <v>16</v>
      </c>
      <c r="C78" s="101"/>
      <c r="D78" s="47"/>
      <c r="E78" s="48"/>
      <c r="F78" s="48"/>
      <c r="G78" s="49"/>
      <c r="H78" s="47"/>
      <c r="I78" s="48"/>
      <c r="J78" s="48"/>
      <c r="K78" s="49"/>
      <c r="L78" s="47"/>
      <c r="M78" s="48"/>
      <c r="N78" s="48"/>
      <c r="O78" s="49"/>
      <c r="P78" s="47"/>
      <c r="Q78" s="48"/>
      <c r="R78" s="48"/>
      <c r="S78" s="49"/>
      <c r="T78" s="47"/>
      <c r="U78" s="48"/>
      <c r="V78" s="48"/>
      <c r="W78" s="49"/>
      <c r="X78" s="47"/>
      <c r="Y78" s="48"/>
      <c r="Z78" s="48"/>
      <c r="AA78" s="49"/>
      <c r="AB78" s="47"/>
      <c r="AC78" s="48"/>
      <c r="AD78" s="48"/>
      <c r="AE78" s="49"/>
      <c r="AF78" s="287">
        <v>0</v>
      </c>
      <c r="AG78" s="288">
        <f t="shared" si="18"/>
        <v>0</v>
      </c>
      <c r="AH78" s="288">
        <f t="shared" si="18"/>
        <v>0</v>
      </c>
      <c r="AI78" s="289">
        <f t="shared" si="18"/>
        <v>0</v>
      </c>
      <c r="AJ78" s="283">
        <f>AF78*2+AG78*2.5+AH78*2.5+AI78*2.5</f>
        <v>0</v>
      </c>
      <c r="AK78" s="141"/>
    </row>
    <row r="79" spans="1:37" ht="13.5" thickBot="1" x14ac:dyDescent="0.25">
      <c r="A79" s="366"/>
      <c r="B79" s="11"/>
      <c r="C79" s="12"/>
      <c r="D79" s="52"/>
      <c r="E79" s="53"/>
      <c r="F79" s="53"/>
      <c r="G79" s="54"/>
      <c r="H79" s="52"/>
      <c r="I79" s="53"/>
      <c r="J79" s="53"/>
      <c r="K79" s="54"/>
      <c r="L79" s="52"/>
      <c r="M79" s="53"/>
      <c r="N79" s="53"/>
      <c r="O79" s="54"/>
      <c r="P79" s="52"/>
      <c r="Q79" s="53"/>
      <c r="R79" s="53"/>
      <c r="S79" s="54"/>
      <c r="T79" s="52"/>
      <c r="U79" s="53"/>
      <c r="V79" s="53"/>
      <c r="W79" s="54"/>
      <c r="X79" s="52"/>
      <c r="Y79" s="53"/>
      <c r="Z79" s="53"/>
      <c r="AA79" s="54"/>
      <c r="AB79" s="52"/>
      <c r="AC79" s="53"/>
      <c r="AD79" s="53"/>
      <c r="AE79" s="54"/>
      <c r="AF79" s="150"/>
      <c r="AG79" s="151"/>
      <c r="AH79" s="151"/>
      <c r="AI79" s="156"/>
      <c r="AJ79" s="284"/>
      <c r="AK79" s="142"/>
    </row>
    <row r="80" spans="1:37" x14ac:dyDescent="0.2">
      <c r="A80" s="364" t="s">
        <v>67</v>
      </c>
      <c r="B80" s="5" t="s">
        <v>15</v>
      </c>
      <c r="C80" s="207"/>
      <c r="D80" s="39"/>
      <c r="E80" s="40"/>
      <c r="F80" s="40"/>
      <c r="G80" s="41"/>
      <c r="H80" s="39"/>
      <c r="I80" s="40"/>
      <c r="J80" s="40"/>
      <c r="K80" s="41"/>
      <c r="L80" s="39"/>
      <c r="M80" s="40"/>
      <c r="N80" s="40"/>
      <c r="O80" s="41"/>
      <c r="P80" s="39"/>
      <c r="Q80" s="40"/>
      <c r="R80" s="40"/>
      <c r="S80" s="41"/>
      <c r="T80" s="39"/>
      <c r="U80" s="40"/>
      <c r="V80" s="40"/>
      <c r="W80" s="41"/>
      <c r="X80" s="39"/>
      <c r="Y80" s="40"/>
      <c r="Z80" s="40"/>
      <c r="AA80" s="41"/>
      <c r="AB80" s="39"/>
      <c r="AC80" s="40"/>
      <c r="AD80" s="40"/>
      <c r="AE80" s="273"/>
      <c r="AF80" s="228">
        <f>H80+L80+D80+T80+X80+P80+AB80</f>
        <v>0</v>
      </c>
      <c r="AG80" s="229">
        <f t="shared" ref="AG80:AG81" si="19">E80+I80+M80+Q80+U80+Y80+AC80</f>
        <v>0</v>
      </c>
      <c r="AH80" s="229">
        <f t="shared" ref="AH80:AH81" si="20">F80+J80+N80+R80+V80+Z80+AD80</f>
        <v>0</v>
      </c>
      <c r="AI80" s="230">
        <f t="shared" ref="AI80:AI81" si="21">G80+K80+O80+S80+W80+AA80+AE80</f>
        <v>0</v>
      </c>
      <c r="AJ80" s="275">
        <f>AF80*2+AG80*2.5+AH80*2.5+AI80*2.5</f>
        <v>0</v>
      </c>
      <c r="AK80" s="416"/>
    </row>
    <row r="81" spans="1:37" x14ac:dyDescent="0.2">
      <c r="A81" s="365"/>
      <c r="B81" s="9" t="s">
        <v>16</v>
      </c>
      <c r="C81" s="9"/>
      <c r="D81" s="47"/>
      <c r="E81" s="48"/>
      <c r="F81" s="48"/>
      <c r="G81" s="49"/>
      <c r="H81" s="47"/>
      <c r="I81" s="48"/>
      <c r="J81" s="48"/>
      <c r="K81" s="49"/>
      <c r="L81" s="47"/>
      <c r="M81" s="48"/>
      <c r="N81" s="48"/>
      <c r="O81" s="49"/>
      <c r="P81" s="47"/>
      <c r="Q81" s="48"/>
      <c r="R81" s="48"/>
      <c r="S81" s="49"/>
      <c r="T81" s="47"/>
      <c r="U81" s="48"/>
      <c r="V81" s="48"/>
      <c r="W81" s="49"/>
      <c r="X81" s="47"/>
      <c r="Y81" s="48"/>
      <c r="Z81" s="48"/>
      <c r="AA81" s="49"/>
      <c r="AB81" s="47"/>
      <c r="AC81" s="48"/>
      <c r="AD81" s="48"/>
      <c r="AE81" s="244"/>
      <c r="AF81" s="231">
        <f>H81+L81+D81+T81+X81+P81+AB81</f>
        <v>0</v>
      </c>
      <c r="AG81" s="232">
        <f t="shared" si="19"/>
        <v>0</v>
      </c>
      <c r="AH81" s="232">
        <f t="shared" si="20"/>
        <v>0</v>
      </c>
      <c r="AI81" s="233">
        <f t="shared" si="21"/>
        <v>0</v>
      </c>
      <c r="AJ81" s="276">
        <f>AF81*2+AG81*2.5+AH81*2.5+AI81*2.5</f>
        <v>0</v>
      </c>
      <c r="AK81" s="416"/>
    </row>
    <row r="82" spans="1:37" ht="13.5" thickBot="1" x14ac:dyDescent="0.25">
      <c r="A82" s="366"/>
      <c r="B82" s="17"/>
      <c r="C82" s="208"/>
      <c r="D82" s="52"/>
      <c r="E82" s="53"/>
      <c r="F82" s="53"/>
      <c r="G82" s="54"/>
      <c r="H82" s="52"/>
      <c r="I82" s="53"/>
      <c r="J82" s="53"/>
      <c r="K82" s="54"/>
      <c r="L82" s="52"/>
      <c r="M82" s="53"/>
      <c r="N82" s="53"/>
      <c r="O82" s="54"/>
      <c r="P82" s="52"/>
      <c r="Q82" s="53"/>
      <c r="R82" s="53"/>
      <c r="S82" s="54"/>
      <c r="T82" s="52"/>
      <c r="U82" s="53"/>
      <c r="V82" s="53"/>
      <c r="W82" s="54"/>
      <c r="X82" s="52"/>
      <c r="Y82" s="53"/>
      <c r="Z82" s="53"/>
      <c r="AA82" s="54"/>
      <c r="AB82" s="52"/>
      <c r="AC82" s="53"/>
      <c r="AD82" s="53"/>
      <c r="AE82" s="274"/>
      <c r="AF82" s="258"/>
      <c r="AG82" s="259"/>
      <c r="AH82" s="259"/>
      <c r="AI82" s="260"/>
      <c r="AJ82" s="278"/>
      <c r="AK82" s="416"/>
    </row>
    <row r="83" spans="1:37" x14ac:dyDescent="0.2">
      <c r="A83" s="364" t="s">
        <v>43</v>
      </c>
      <c r="B83" s="5" t="s">
        <v>15</v>
      </c>
      <c r="C83" s="207"/>
      <c r="D83" s="39"/>
      <c r="E83" s="40"/>
      <c r="F83" s="40"/>
      <c r="G83" s="41"/>
      <c r="H83" s="39"/>
      <c r="I83" s="40"/>
      <c r="J83" s="40"/>
      <c r="K83" s="41"/>
      <c r="L83" s="39"/>
      <c r="M83" s="40"/>
      <c r="N83" s="40"/>
      <c r="O83" s="41"/>
      <c r="P83" s="39"/>
      <c r="Q83" s="40"/>
      <c r="R83" s="40"/>
      <c r="S83" s="41"/>
      <c r="T83" s="39"/>
      <c r="U83" s="40"/>
      <c r="V83" s="40"/>
      <c r="W83" s="41"/>
      <c r="X83" s="39"/>
      <c r="Y83" s="40"/>
      <c r="Z83" s="40"/>
      <c r="AA83" s="41"/>
      <c r="AB83" s="39"/>
      <c r="AC83" s="40"/>
      <c r="AD83" s="40"/>
      <c r="AE83" s="273"/>
      <c r="AF83" s="228">
        <f>H83+L83+D83+T83+X83+P83+AB83</f>
        <v>0</v>
      </c>
      <c r="AG83" s="229">
        <f t="shared" ref="AG83:AI84" si="22">E83+I83+M83+Q83+U83+Y83+AC83</f>
        <v>0</v>
      </c>
      <c r="AH83" s="229">
        <f t="shared" si="22"/>
        <v>0</v>
      </c>
      <c r="AI83" s="230">
        <f t="shared" si="22"/>
        <v>0</v>
      </c>
      <c r="AJ83" s="275">
        <f>AF83*2+AG83*2.5+AH83*2.5+AI83*2.5</f>
        <v>0</v>
      </c>
      <c r="AK83" s="46"/>
    </row>
    <row r="84" spans="1:37" x14ac:dyDescent="0.2">
      <c r="A84" s="365"/>
      <c r="B84" s="9" t="s">
        <v>16</v>
      </c>
      <c r="C84" s="9"/>
      <c r="D84" s="47"/>
      <c r="E84" s="48"/>
      <c r="F84" s="48"/>
      <c r="G84" s="49"/>
      <c r="H84" s="47"/>
      <c r="I84" s="48"/>
      <c r="J84" s="48"/>
      <c r="K84" s="49"/>
      <c r="L84" s="47"/>
      <c r="M84" s="48"/>
      <c r="N84" s="48"/>
      <c r="O84" s="49"/>
      <c r="P84" s="47"/>
      <c r="Q84" s="48"/>
      <c r="R84" s="48"/>
      <c r="S84" s="49"/>
      <c r="T84" s="47"/>
      <c r="U84" s="48"/>
      <c r="V84" s="48"/>
      <c r="W84" s="49"/>
      <c r="X84" s="47"/>
      <c r="Y84" s="48"/>
      <c r="Z84" s="48"/>
      <c r="AA84" s="49"/>
      <c r="AB84" s="47"/>
      <c r="AC84" s="48"/>
      <c r="AD84" s="48"/>
      <c r="AE84" s="244"/>
      <c r="AF84" s="231">
        <f>H84+L84+D84+T84+X84+P84+AB84</f>
        <v>0</v>
      </c>
      <c r="AG84" s="232">
        <f t="shared" si="22"/>
        <v>0</v>
      </c>
      <c r="AH84" s="232">
        <f t="shared" si="22"/>
        <v>0</v>
      </c>
      <c r="AI84" s="233">
        <f t="shared" si="22"/>
        <v>0</v>
      </c>
      <c r="AJ84" s="276">
        <f>AF84*2+AG84*2.5+AH84*2.5+AI84*2.5</f>
        <v>0</v>
      </c>
      <c r="AK84" s="137"/>
    </row>
    <row r="85" spans="1:37" ht="13.5" thickBot="1" x14ac:dyDescent="0.25">
      <c r="A85" s="366"/>
      <c r="B85" s="17"/>
      <c r="C85" s="208"/>
      <c r="D85" s="52"/>
      <c r="E85" s="53"/>
      <c r="F85" s="53"/>
      <c r="G85" s="54"/>
      <c r="H85" s="52"/>
      <c r="I85" s="53"/>
      <c r="J85" s="53"/>
      <c r="K85" s="54"/>
      <c r="L85" s="52"/>
      <c r="M85" s="53"/>
      <c r="N85" s="53"/>
      <c r="O85" s="54"/>
      <c r="P85" s="52"/>
      <c r="Q85" s="53"/>
      <c r="R85" s="53"/>
      <c r="S85" s="54"/>
      <c r="T85" s="52"/>
      <c r="U85" s="53"/>
      <c r="V85" s="53"/>
      <c r="W85" s="54"/>
      <c r="X85" s="52"/>
      <c r="Y85" s="53"/>
      <c r="Z85" s="53"/>
      <c r="AA85" s="54"/>
      <c r="AB85" s="52"/>
      <c r="AC85" s="53"/>
      <c r="AD85" s="53"/>
      <c r="AE85" s="274"/>
      <c r="AF85" s="258"/>
      <c r="AG85" s="259"/>
      <c r="AH85" s="259"/>
      <c r="AI85" s="260"/>
      <c r="AJ85" s="278"/>
      <c r="AK85" s="56"/>
    </row>
    <row r="86" spans="1:37" x14ac:dyDescent="0.2">
      <c r="A86" s="364" t="s">
        <v>17</v>
      </c>
      <c r="B86" s="5" t="s">
        <v>15</v>
      </c>
      <c r="C86" s="5"/>
      <c r="D86" s="97"/>
      <c r="E86" s="43"/>
      <c r="F86" s="43"/>
      <c r="G86" s="44"/>
      <c r="H86" s="97"/>
      <c r="I86" s="43"/>
      <c r="J86" s="43"/>
      <c r="K86" s="44"/>
      <c r="L86" s="97"/>
      <c r="M86" s="43"/>
      <c r="N86" s="43"/>
      <c r="O86" s="44"/>
      <c r="P86" s="97"/>
      <c r="Q86" s="43"/>
      <c r="R86" s="43"/>
      <c r="S86" s="44"/>
      <c r="T86" s="97"/>
      <c r="U86" s="43"/>
      <c r="V86" s="43"/>
      <c r="W86" s="44"/>
      <c r="X86" s="97"/>
      <c r="Y86" s="43"/>
      <c r="Z86" s="43"/>
      <c r="AA86" s="44"/>
      <c r="AB86" s="97"/>
      <c r="AC86" s="43"/>
      <c r="AD86" s="43"/>
      <c r="AE86" s="237"/>
      <c r="AF86" s="228">
        <f>H86+L86+P86+D86+T86+X86</f>
        <v>0</v>
      </c>
      <c r="AG86" s="255">
        <f t="shared" ref="AG86:AI88" si="23">E86+I86+M86+Q86+U86+Y86+AC86</f>
        <v>0</v>
      </c>
      <c r="AH86" s="255">
        <f t="shared" si="23"/>
        <v>0</v>
      </c>
      <c r="AI86" s="256">
        <f t="shared" si="23"/>
        <v>0</v>
      </c>
      <c r="AJ86" s="245">
        <f>AF86*2+AG86*2.5+AH86*2.5+AI86*2.5</f>
        <v>0</v>
      </c>
      <c r="AK86" s="143"/>
    </row>
    <row r="87" spans="1:37" x14ac:dyDescent="0.2">
      <c r="A87" s="365"/>
      <c r="B87" s="9" t="s">
        <v>16</v>
      </c>
      <c r="C87" s="21"/>
      <c r="D87" s="42"/>
      <c r="E87" s="55"/>
      <c r="F87" s="55"/>
      <c r="G87" s="50"/>
      <c r="H87" s="42"/>
      <c r="I87" s="55"/>
      <c r="J87" s="55"/>
      <c r="K87" s="50"/>
      <c r="L87" s="42"/>
      <c r="M87" s="55"/>
      <c r="N87" s="55"/>
      <c r="O87" s="50"/>
      <c r="P87" s="42"/>
      <c r="Q87" s="55"/>
      <c r="R87" s="55"/>
      <c r="S87" s="50"/>
      <c r="T87" s="42"/>
      <c r="U87" s="55"/>
      <c r="V87" s="55"/>
      <c r="W87" s="50"/>
      <c r="X87" s="42"/>
      <c r="Y87" s="55"/>
      <c r="Z87" s="55"/>
      <c r="AA87" s="50"/>
      <c r="AB87" s="42"/>
      <c r="AC87" s="55"/>
      <c r="AD87" s="55"/>
      <c r="AE87" s="238"/>
      <c r="AF87" s="231">
        <f>H87+L87+P87+D87+T87+X87</f>
        <v>0</v>
      </c>
      <c r="AG87" s="232">
        <f t="shared" si="23"/>
        <v>0</v>
      </c>
      <c r="AH87" s="232">
        <f t="shared" si="23"/>
        <v>0</v>
      </c>
      <c r="AI87" s="263">
        <f t="shared" si="23"/>
        <v>0</v>
      </c>
      <c r="AJ87" s="247">
        <f>AF87*2+AG87*2.5+AH87*2.5+AI87*2.5</f>
        <v>0</v>
      </c>
      <c r="AK87" s="140"/>
    </row>
    <row r="88" spans="1:37" x14ac:dyDescent="0.2">
      <c r="A88" s="365"/>
      <c r="B88" s="23" t="s">
        <v>16</v>
      </c>
      <c r="C88" s="9"/>
      <c r="D88" s="42"/>
      <c r="E88" s="55"/>
      <c r="F88" s="55"/>
      <c r="G88" s="50"/>
      <c r="H88" s="42"/>
      <c r="I88" s="55"/>
      <c r="J88" s="55"/>
      <c r="K88" s="50"/>
      <c r="L88" s="42"/>
      <c r="M88" s="55"/>
      <c r="N88" s="55"/>
      <c r="O88" s="50"/>
      <c r="P88" s="42"/>
      <c r="Q88" s="55"/>
      <c r="R88" s="55"/>
      <c r="S88" s="50"/>
      <c r="T88" s="42"/>
      <c r="U88" s="55"/>
      <c r="V88" s="55"/>
      <c r="W88" s="50"/>
      <c r="X88" s="42"/>
      <c r="Y88" s="55"/>
      <c r="Z88" s="55"/>
      <c r="AA88" s="50"/>
      <c r="AB88" s="42"/>
      <c r="AC88" s="55"/>
      <c r="AD88" s="55"/>
      <c r="AE88" s="238"/>
      <c r="AF88" s="231">
        <f>H88+L88+P88+D88+T88+X88</f>
        <v>0</v>
      </c>
      <c r="AG88" s="232">
        <f t="shared" si="23"/>
        <v>0</v>
      </c>
      <c r="AH88" s="232">
        <f t="shared" si="23"/>
        <v>0</v>
      </c>
      <c r="AI88" s="263">
        <f t="shared" si="23"/>
        <v>0</v>
      </c>
      <c r="AJ88" s="247">
        <f>AF88*2+AG88*2.5+AH88*2.5+AI88*2.5</f>
        <v>0</v>
      </c>
      <c r="AK88" s="140"/>
    </row>
    <row r="89" spans="1:37" ht="13.5" thickBot="1" x14ac:dyDescent="0.25">
      <c r="A89" s="366"/>
      <c r="B89" s="17"/>
      <c r="C89" s="214"/>
      <c r="D89" s="52"/>
      <c r="E89" s="53"/>
      <c r="F89" s="53"/>
      <c r="G89" s="54"/>
      <c r="H89" s="57"/>
      <c r="I89" s="58"/>
      <c r="J89" s="58"/>
      <c r="K89" s="59"/>
      <c r="L89" s="57"/>
      <c r="M89" s="58"/>
      <c r="N89" s="58"/>
      <c r="O89" s="59"/>
      <c r="P89" s="57"/>
      <c r="Q89" s="58"/>
      <c r="R89" s="58"/>
      <c r="S89" s="59"/>
      <c r="T89" s="52"/>
      <c r="U89" s="53"/>
      <c r="V89" s="53"/>
      <c r="W89" s="54"/>
      <c r="X89" s="52"/>
      <c r="Y89" s="53"/>
      <c r="Z89" s="53"/>
      <c r="AA89" s="54"/>
      <c r="AB89" s="52"/>
      <c r="AC89" s="53"/>
      <c r="AD89" s="53"/>
      <c r="AE89" s="274"/>
      <c r="AF89" s="280"/>
      <c r="AG89" s="281"/>
      <c r="AH89" s="281"/>
      <c r="AI89" s="260"/>
      <c r="AJ89" s="282"/>
      <c r="AK89" s="144"/>
    </row>
    <row r="90" spans="1:37" x14ac:dyDescent="0.2">
      <c r="A90" s="364" t="s">
        <v>18</v>
      </c>
      <c r="B90" s="187" t="s">
        <v>15</v>
      </c>
      <c r="C90" s="5"/>
      <c r="D90" s="190"/>
      <c r="E90" s="43"/>
      <c r="F90" s="43"/>
      <c r="G90" s="44"/>
      <c r="H90" s="97"/>
      <c r="I90" s="43"/>
      <c r="J90" s="43"/>
      <c r="K90" s="44"/>
      <c r="L90" s="97"/>
      <c r="M90" s="43"/>
      <c r="N90" s="43"/>
      <c r="O90" s="44"/>
      <c r="P90" s="97"/>
      <c r="Q90" s="43"/>
      <c r="R90" s="43"/>
      <c r="S90" s="44"/>
      <c r="T90" s="97"/>
      <c r="U90" s="43"/>
      <c r="V90" s="43"/>
      <c r="W90" s="44"/>
      <c r="X90" s="97"/>
      <c r="Y90" s="43"/>
      <c r="Z90" s="43"/>
      <c r="AA90" s="44"/>
      <c r="AB90" s="97"/>
      <c r="AC90" s="43"/>
      <c r="AD90" s="43"/>
      <c r="AE90" s="44"/>
      <c r="AF90" s="42">
        <v>0</v>
      </c>
      <c r="AG90" s="134">
        <f t="shared" ref="AG90:AI91" si="24">E90+I90+M90+Q90+U90+Y90+AC90</f>
        <v>0</v>
      </c>
      <c r="AH90" s="134">
        <f t="shared" si="24"/>
        <v>0</v>
      </c>
      <c r="AI90" s="135">
        <f t="shared" si="24"/>
        <v>0</v>
      </c>
      <c r="AJ90" s="45">
        <f>AF90*2+AG90*2.5+AH90*2.5+AI90*2.5</f>
        <v>0</v>
      </c>
      <c r="AK90" s="60"/>
    </row>
    <row r="91" spans="1:37" x14ac:dyDescent="0.2">
      <c r="A91" s="365"/>
      <c r="B91" s="9" t="s">
        <v>16</v>
      </c>
      <c r="C91" s="208"/>
      <c r="D91" s="42"/>
      <c r="E91" s="55"/>
      <c r="F91" s="55"/>
      <c r="G91" s="50"/>
      <c r="H91" s="42"/>
      <c r="I91" s="55"/>
      <c r="J91" s="55"/>
      <c r="K91" s="50"/>
      <c r="L91" s="42"/>
      <c r="M91" s="55"/>
      <c r="N91" s="55"/>
      <c r="O91" s="50"/>
      <c r="P91" s="42"/>
      <c r="Q91" s="55"/>
      <c r="R91" s="55"/>
      <c r="S91" s="50"/>
      <c r="T91" s="42"/>
      <c r="U91" s="55"/>
      <c r="V91" s="55"/>
      <c r="W91" s="50"/>
      <c r="X91" s="42"/>
      <c r="Y91" s="55"/>
      <c r="Z91" s="55"/>
      <c r="AA91" s="50"/>
      <c r="AB91" s="42"/>
      <c r="AC91" s="55"/>
      <c r="AD91" s="55"/>
      <c r="AE91" s="50"/>
      <c r="AF91" s="42">
        <v>0</v>
      </c>
      <c r="AG91" s="48">
        <f t="shared" si="24"/>
        <v>0</v>
      </c>
      <c r="AH91" s="48">
        <f t="shared" si="24"/>
        <v>0</v>
      </c>
      <c r="AI91" s="50">
        <f t="shared" si="24"/>
        <v>0</v>
      </c>
      <c r="AJ91" s="45">
        <f>AF91*2+AG91*2.5+AH91*2.5+AI91*2.5</f>
        <v>0</v>
      </c>
      <c r="AK91" s="51"/>
    </row>
    <row r="92" spans="1:37" ht="13.5" thickBot="1" x14ac:dyDescent="0.25">
      <c r="A92" s="366"/>
      <c r="B92" s="17"/>
      <c r="C92" s="17"/>
      <c r="D92" s="52"/>
      <c r="E92" s="53"/>
      <c r="F92" s="53"/>
      <c r="G92" s="54"/>
      <c r="H92" s="52"/>
      <c r="I92" s="53"/>
      <c r="J92" s="53"/>
      <c r="K92" s="54"/>
      <c r="L92" s="52"/>
      <c r="M92" s="53"/>
      <c r="N92" s="53"/>
      <c r="O92" s="54"/>
      <c r="P92" s="52"/>
      <c r="Q92" s="53"/>
      <c r="R92" s="53"/>
      <c r="S92" s="54"/>
      <c r="T92" s="52"/>
      <c r="U92" s="53"/>
      <c r="V92" s="53"/>
      <c r="W92" s="54"/>
      <c r="X92" s="52"/>
      <c r="Y92" s="53"/>
      <c r="Z92" s="53"/>
      <c r="AA92" s="54"/>
      <c r="AB92" s="52"/>
      <c r="AC92" s="53"/>
      <c r="AD92" s="53"/>
      <c r="AE92" s="54"/>
      <c r="AF92" s="150"/>
      <c r="AG92" s="151"/>
      <c r="AH92" s="151"/>
      <c r="AI92" s="156"/>
      <c r="AJ92" s="145"/>
      <c r="AK92" s="61"/>
    </row>
    <row r="93" spans="1:37" x14ac:dyDescent="0.2">
      <c r="A93" s="364" t="s">
        <v>19</v>
      </c>
      <c r="B93" s="5" t="s">
        <v>15</v>
      </c>
      <c r="C93" s="15"/>
      <c r="D93" s="97"/>
      <c r="E93" s="43"/>
      <c r="F93" s="43"/>
      <c r="G93" s="44"/>
      <c r="H93" s="97"/>
      <c r="I93" s="43"/>
      <c r="J93" s="43"/>
      <c r="K93" s="44"/>
      <c r="L93" s="97"/>
      <c r="M93" s="43"/>
      <c r="N93" s="43"/>
      <c r="O93" s="44"/>
      <c r="P93" s="97"/>
      <c r="Q93" s="43"/>
      <c r="R93" s="43"/>
      <c r="S93" s="44"/>
      <c r="T93" s="97"/>
      <c r="U93" s="43"/>
      <c r="V93" s="43"/>
      <c r="W93" s="44"/>
      <c r="X93" s="97"/>
      <c r="Y93" s="43"/>
      <c r="Z93" s="43"/>
      <c r="AA93" s="44"/>
      <c r="AB93" s="97"/>
      <c r="AC93" s="43"/>
      <c r="AD93" s="43"/>
      <c r="AE93" s="237"/>
      <c r="AF93" s="228">
        <f>P93+D93+H93+L93+T93+X93+AB93</f>
        <v>0</v>
      </c>
      <c r="AG93" s="229">
        <f t="shared" ref="AG93:AI94" si="25">E93+I93+M93+Q93+U93+Y93+AC93</f>
        <v>0</v>
      </c>
      <c r="AH93" s="229">
        <f t="shared" si="25"/>
        <v>0</v>
      </c>
      <c r="AI93" s="230">
        <f t="shared" si="25"/>
        <v>0</v>
      </c>
      <c r="AJ93" s="240">
        <f>AF93*2+AG93*2.5+AH93*2.5+AI93*2.5</f>
        <v>0</v>
      </c>
      <c r="AK93" s="154"/>
    </row>
    <row r="94" spans="1:37" x14ac:dyDescent="0.2">
      <c r="A94" s="365"/>
      <c r="B94" s="9" t="s">
        <v>16</v>
      </c>
      <c r="C94" s="32"/>
      <c r="D94" s="42"/>
      <c r="E94" s="55"/>
      <c r="F94" s="55"/>
      <c r="G94" s="50"/>
      <c r="H94" s="42"/>
      <c r="I94" s="55"/>
      <c r="J94" s="55"/>
      <c r="K94" s="50"/>
      <c r="L94" s="42"/>
      <c r="M94" s="55"/>
      <c r="N94" s="55"/>
      <c r="O94" s="50"/>
      <c r="P94" s="42"/>
      <c r="Q94" s="55"/>
      <c r="R94" s="55"/>
      <c r="S94" s="50"/>
      <c r="T94" s="42"/>
      <c r="U94" s="55"/>
      <c r="V94" s="55"/>
      <c r="W94" s="50"/>
      <c r="X94" s="42"/>
      <c r="Y94" s="55"/>
      <c r="Z94" s="55"/>
      <c r="AA94" s="50"/>
      <c r="AB94" s="42"/>
      <c r="AC94" s="55"/>
      <c r="AD94" s="55"/>
      <c r="AE94" s="238"/>
      <c r="AF94" s="231">
        <f>P94+D94+H94+L94+T94+X94+AB94</f>
        <v>0</v>
      </c>
      <c r="AG94" s="147">
        <f t="shared" si="25"/>
        <v>0</v>
      </c>
      <c r="AH94" s="147">
        <f t="shared" si="25"/>
        <v>0</v>
      </c>
      <c r="AI94" s="233">
        <f t="shared" si="25"/>
        <v>0</v>
      </c>
      <c r="AJ94" s="241">
        <f>AF94*2+AG94*2.5+AH94*2.5+AI94*2.5</f>
        <v>0</v>
      </c>
      <c r="AK94" s="154"/>
    </row>
    <row r="95" spans="1:37" ht="13.5" thickBot="1" x14ac:dyDescent="0.25">
      <c r="A95" s="365"/>
      <c r="B95" s="23"/>
      <c r="C95" s="12"/>
      <c r="D95" s="52"/>
      <c r="E95" s="53"/>
      <c r="F95" s="53"/>
      <c r="G95" s="54"/>
      <c r="H95" s="52"/>
      <c r="I95" s="53"/>
      <c r="J95" s="53"/>
      <c r="K95" s="54"/>
      <c r="L95" s="52"/>
      <c r="M95" s="53"/>
      <c r="N95" s="53"/>
      <c r="O95" s="54"/>
      <c r="P95" s="52"/>
      <c r="Q95" s="53"/>
      <c r="R95" s="53"/>
      <c r="S95" s="54"/>
      <c r="T95" s="52"/>
      <c r="U95" s="53"/>
      <c r="V95" s="53"/>
      <c r="W95" s="54"/>
      <c r="X95" s="52"/>
      <c r="Y95" s="53"/>
      <c r="Z95" s="53"/>
      <c r="AA95" s="54"/>
      <c r="AB95" s="52"/>
      <c r="AC95" s="53"/>
      <c r="AD95" s="53"/>
      <c r="AE95" s="139"/>
      <c r="AF95" s="258"/>
      <c r="AG95" s="259"/>
      <c r="AH95" s="259"/>
      <c r="AI95" s="260"/>
      <c r="AJ95" s="266"/>
      <c r="AK95" s="181"/>
    </row>
    <row r="96" spans="1:37" x14ac:dyDescent="0.2">
      <c r="A96" s="364" t="s">
        <v>20</v>
      </c>
      <c r="B96" s="5" t="s">
        <v>15</v>
      </c>
      <c r="C96" s="15"/>
      <c r="D96" s="97"/>
      <c r="E96" s="43"/>
      <c r="F96" s="43"/>
      <c r="G96" s="44"/>
      <c r="H96" s="97"/>
      <c r="I96" s="43"/>
      <c r="J96" s="43"/>
      <c r="K96" s="44"/>
      <c r="L96" s="97"/>
      <c r="M96" s="43"/>
      <c r="N96" s="43"/>
      <c r="O96" s="44"/>
      <c r="P96" s="97"/>
      <c r="Q96" s="43"/>
      <c r="R96" s="43"/>
      <c r="S96" s="44"/>
      <c r="T96" s="97"/>
      <c r="U96" s="43"/>
      <c r="V96" s="43"/>
      <c r="W96" s="44"/>
      <c r="X96" s="97"/>
      <c r="Y96" s="43"/>
      <c r="Z96" s="43"/>
      <c r="AA96" s="44"/>
      <c r="AB96" s="97"/>
      <c r="AC96" s="43"/>
      <c r="AD96" s="43"/>
      <c r="AE96" s="237"/>
      <c r="AF96" s="228">
        <f>H96+L96+P96+T96+X96+AB96</f>
        <v>0</v>
      </c>
      <c r="AG96" s="229">
        <f t="shared" ref="AG96:AI97" si="26">E96+I96+M96+Q96+U96+Y96+AC96</f>
        <v>0</v>
      </c>
      <c r="AH96" s="229">
        <f t="shared" si="26"/>
        <v>0</v>
      </c>
      <c r="AI96" s="230">
        <f t="shared" si="26"/>
        <v>0</v>
      </c>
      <c r="AJ96" s="270">
        <f>AF96*2+AG96*2.5+AH96*2.5+AI96*2.5</f>
        <v>0</v>
      </c>
      <c r="AK96" s="267"/>
    </row>
    <row r="97" spans="1:37" x14ac:dyDescent="0.2">
      <c r="A97" s="365"/>
      <c r="B97" s="9" t="s">
        <v>16</v>
      </c>
      <c r="C97" s="25"/>
      <c r="D97" s="42"/>
      <c r="E97" s="55"/>
      <c r="F97" s="55"/>
      <c r="G97" s="50"/>
      <c r="H97" s="42"/>
      <c r="I97" s="55"/>
      <c r="J97" s="55"/>
      <c r="K97" s="50"/>
      <c r="L97" s="42"/>
      <c r="M97" s="55"/>
      <c r="N97" s="55"/>
      <c r="O97" s="50"/>
      <c r="P97" s="42"/>
      <c r="Q97" s="55"/>
      <c r="R97" s="55"/>
      <c r="S97" s="50"/>
      <c r="T97" s="42"/>
      <c r="U97" s="55"/>
      <c r="V97" s="55"/>
      <c r="W97" s="50"/>
      <c r="X97" s="42"/>
      <c r="Y97" s="55"/>
      <c r="Z97" s="55"/>
      <c r="AA97" s="50"/>
      <c r="AB97" s="42"/>
      <c r="AC97" s="55"/>
      <c r="AD97" s="55"/>
      <c r="AE97" s="238"/>
      <c r="AF97" s="231">
        <f>H97+L97+P97+T97+X97+AB97</f>
        <v>0</v>
      </c>
      <c r="AG97" s="147">
        <f t="shared" si="26"/>
        <v>0</v>
      </c>
      <c r="AH97" s="147">
        <f t="shared" si="26"/>
        <v>0</v>
      </c>
      <c r="AI97" s="146">
        <f t="shared" si="26"/>
        <v>0</v>
      </c>
      <c r="AJ97" s="271">
        <f>AF97*2+AG97*2.5+AH97*2.5+AI97*2.5</f>
        <v>0</v>
      </c>
      <c r="AK97" s="268"/>
    </row>
    <row r="98" spans="1:37" ht="13.5" thickBot="1" x14ac:dyDescent="0.25">
      <c r="A98" s="365"/>
      <c r="B98" s="23"/>
      <c r="C98" s="23"/>
      <c r="D98" s="57"/>
      <c r="E98" s="58"/>
      <c r="F98" s="58"/>
      <c r="G98" s="59"/>
      <c r="H98" s="57"/>
      <c r="I98" s="58"/>
      <c r="J98" s="58"/>
      <c r="K98" s="59"/>
      <c r="L98" s="57"/>
      <c r="M98" s="58"/>
      <c r="N98" s="58"/>
      <c r="O98" s="59"/>
      <c r="P98" s="57"/>
      <c r="Q98" s="58"/>
      <c r="R98" s="58"/>
      <c r="S98" s="59"/>
      <c r="T98" s="57"/>
      <c r="U98" s="58"/>
      <c r="V98" s="58"/>
      <c r="W98" s="59"/>
      <c r="X98" s="57"/>
      <c r="Y98" s="58"/>
      <c r="Z98" s="58"/>
      <c r="AA98" s="59"/>
      <c r="AB98" s="57"/>
      <c r="AC98" s="58"/>
      <c r="AD98" s="58"/>
      <c r="AE98" s="239"/>
      <c r="AF98" s="234"/>
      <c r="AG98" s="264"/>
      <c r="AH98" s="264"/>
      <c r="AI98" s="265"/>
      <c r="AJ98" s="272"/>
      <c r="AK98" s="269"/>
    </row>
    <row r="99" spans="1:37" x14ac:dyDescent="0.2">
      <c r="A99" s="364" t="s">
        <v>21</v>
      </c>
      <c r="B99" s="5" t="s">
        <v>15</v>
      </c>
      <c r="C99" s="5"/>
      <c r="D99" s="97"/>
      <c r="E99" s="43"/>
      <c r="F99" s="43"/>
      <c r="G99" s="44"/>
      <c r="H99" s="97"/>
      <c r="I99" s="43"/>
      <c r="J99" s="43"/>
      <c r="K99" s="44"/>
      <c r="L99" s="97"/>
      <c r="M99" s="43"/>
      <c r="N99" s="43"/>
      <c r="O99" s="44"/>
      <c r="P99" s="97"/>
      <c r="Q99" s="43"/>
      <c r="R99" s="43"/>
      <c r="S99" s="44"/>
      <c r="T99" s="97"/>
      <c r="U99" s="43"/>
      <c r="V99" s="43"/>
      <c r="W99" s="44"/>
      <c r="X99" s="97"/>
      <c r="Y99" s="43"/>
      <c r="Z99" s="43"/>
      <c r="AA99" s="44"/>
      <c r="AB99" s="97"/>
      <c r="AC99" s="43"/>
      <c r="AD99" s="43"/>
      <c r="AE99" s="237"/>
      <c r="AF99" s="231">
        <f>D99</f>
        <v>0</v>
      </c>
      <c r="AG99" s="261">
        <f t="shared" ref="AG99:AI100" si="27">E99+I99+M99+Q99+U99+Y99+AC99</f>
        <v>0</v>
      </c>
      <c r="AH99" s="262">
        <f t="shared" si="27"/>
        <v>0</v>
      </c>
      <c r="AI99" s="263">
        <f t="shared" si="27"/>
        <v>0</v>
      </c>
      <c r="AJ99" s="197">
        <f>AF99*2+AG99*2.5+AH99*2.5+AI99*2.5</f>
        <v>0</v>
      </c>
      <c r="AK99" s="182"/>
    </row>
    <row r="100" spans="1:37" x14ac:dyDescent="0.2">
      <c r="A100" s="365"/>
      <c r="B100" s="23" t="s">
        <v>16</v>
      </c>
      <c r="C100" s="109"/>
      <c r="D100" s="42"/>
      <c r="E100" s="55"/>
      <c r="F100" s="55"/>
      <c r="G100" s="50"/>
      <c r="H100" s="42"/>
      <c r="I100" s="55"/>
      <c r="J100" s="55"/>
      <c r="K100" s="50"/>
      <c r="L100" s="42"/>
      <c r="M100" s="55"/>
      <c r="N100" s="55"/>
      <c r="O100" s="50"/>
      <c r="P100" s="42"/>
      <c r="Q100" s="55"/>
      <c r="R100" s="55"/>
      <c r="S100" s="50"/>
      <c r="T100" s="42"/>
      <c r="U100" s="55"/>
      <c r="V100" s="55"/>
      <c r="W100" s="50"/>
      <c r="X100" s="42"/>
      <c r="Y100" s="55"/>
      <c r="Z100" s="55"/>
      <c r="AA100" s="50"/>
      <c r="AB100" s="42"/>
      <c r="AC100" s="55"/>
      <c r="AD100" s="55"/>
      <c r="AE100" s="238"/>
      <c r="AF100" s="257">
        <f>D100</f>
        <v>0</v>
      </c>
      <c r="AG100" s="147">
        <f t="shared" si="27"/>
        <v>0</v>
      </c>
      <c r="AH100" s="147">
        <f t="shared" si="27"/>
        <v>0</v>
      </c>
      <c r="AI100" s="146">
        <f t="shared" si="27"/>
        <v>0</v>
      </c>
      <c r="AJ100" s="186">
        <f>AF100*2+AG100*2.5+AH100*2.5+AI100*2.5</f>
        <v>0</v>
      </c>
      <c r="AK100" s="25"/>
    </row>
    <row r="101" spans="1:37" ht="13.5" thickBot="1" x14ac:dyDescent="0.25">
      <c r="A101" s="366"/>
      <c r="B101" s="17"/>
      <c r="C101" s="17"/>
      <c r="D101" s="57"/>
      <c r="E101" s="58"/>
      <c r="F101" s="58"/>
      <c r="G101" s="59"/>
      <c r="H101" s="57"/>
      <c r="I101" s="58"/>
      <c r="J101" s="58"/>
      <c r="K101" s="59"/>
      <c r="L101" s="57"/>
      <c r="M101" s="58"/>
      <c r="N101" s="58"/>
      <c r="O101" s="59"/>
      <c r="P101" s="57"/>
      <c r="Q101" s="58"/>
      <c r="R101" s="58"/>
      <c r="S101" s="59"/>
      <c r="T101" s="57"/>
      <c r="U101" s="58"/>
      <c r="V101" s="58"/>
      <c r="W101" s="59"/>
      <c r="X101" s="57"/>
      <c r="Y101" s="58"/>
      <c r="Z101" s="58"/>
      <c r="AA101" s="59"/>
      <c r="AB101" s="57"/>
      <c r="AC101" s="58"/>
      <c r="AD101" s="58"/>
      <c r="AE101" s="253"/>
      <c r="AF101" s="258"/>
      <c r="AG101" s="259"/>
      <c r="AH101" s="259"/>
      <c r="AI101" s="260"/>
      <c r="AJ101" s="249"/>
      <c r="AK101" s="61"/>
    </row>
    <row r="102" spans="1:37" x14ac:dyDescent="0.2">
      <c r="A102" s="364" t="s">
        <v>44</v>
      </c>
      <c r="B102" s="5" t="s">
        <v>15</v>
      </c>
      <c r="C102" s="5"/>
      <c r="D102" s="97"/>
      <c r="E102" s="43"/>
      <c r="F102" s="43"/>
      <c r="G102" s="44"/>
      <c r="H102" s="97"/>
      <c r="I102" s="43"/>
      <c r="J102" s="43"/>
      <c r="K102" s="44"/>
      <c r="L102" s="97"/>
      <c r="M102" s="43"/>
      <c r="N102" s="43"/>
      <c r="O102" s="44"/>
      <c r="P102" s="97"/>
      <c r="Q102" s="43"/>
      <c r="R102" s="43"/>
      <c r="S102" s="44"/>
      <c r="T102" s="97"/>
      <c r="U102" s="43"/>
      <c r="V102" s="43"/>
      <c r="W102" s="44"/>
      <c r="X102" s="97"/>
      <c r="Y102" s="43"/>
      <c r="Z102" s="43"/>
      <c r="AA102" s="44"/>
      <c r="AB102" s="97"/>
      <c r="AC102" s="43"/>
      <c r="AD102" s="43"/>
      <c r="AE102" s="237"/>
      <c r="AF102" s="250">
        <f>P102+D102+H102+L102+T102+X102+AB102</f>
        <v>0</v>
      </c>
      <c r="AG102" s="251">
        <f t="shared" ref="AG102:AI103" si="28">E102+I102+M102+Q102+U102+Y102+AC102</f>
        <v>0</v>
      </c>
      <c r="AH102" s="251">
        <f t="shared" si="28"/>
        <v>0</v>
      </c>
      <c r="AI102" s="252">
        <f t="shared" si="28"/>
        <v>0</v>
      </c>
      <c r="AJ102" s="240">
        <f>AF102*2+AG102*2.5+AH102*2.5+AI102*2.5</f>
        <v>0</v>
      </c>
      <c r="AK102" s="143"/>
    </row>
    <row r="103" spans="1:37" x14ac:dyDescent="0.2">
      <c r="A103" s="365"/>
      <c r="B103" s="23" t="s">
        <v>16</v>
      </c>
      <c r="C103" s="23"/>
      <c r="D103" s="42"/>
      <c r="E103" s="55"/>
      <c r="F103" s="55"/>
      <c r="G103" s="50"/>
      <c r="H103" s="42"/>
      <c r="I103" s="55"/>
      <c r="J103" s="55"/>
      <c r="K103" s="50"/>
      <c r="L103" s="42"/>
      <c r="M103" s="55"/>
      <c r="N103" s="55"/>
      <c r="O103" s="50"/>
      <c r="P103" s="42"/>
      <c r="Q103" s="55"/>
      <c r="R103" s="55"/>
      <c r="S103" s="50"/>
      <c r="T103" s="42"/>
      <c r="U103" s="55"/>
      <c r="V103" s="55"/>
      <c r="W103" s="50"/>
      <c r="X103" s="42"/>
      <c r="Y103" s="55"/>
      <c r="Z103" s="55"/>
      <c r="AA103" s="50"/>
      <c r="AB103" s="42"/>
      <c r="AC103" s="55"/>
      <c r="AD103" s="55"/>
      <c r="AE103" s="238"/>
      <c r="AF103" s="231">
        <f>P103+D103+H103+L103+T103+X103+AB103</f>
        <v>0</v>
      </c>
      <c r="AG103" s="232">
        <f t="shared" si="28"/>
        <v>0</v>
      </c>
      <c r="AH103" s="232">
        <f t="shared" si="28"/>
        <v>0</v>
      </c>
      <c r="AI103" s="233">
        <f t="shared" si="28"/>
        <v>0</v>
      </c>
      <c r="AJ103" s="241">
        <f>AF103*2+AG103*2.5+AH103*2.5+AI103*2.5</f>
        <v>0</v>
      </c>
      <c r="AK103" s="159"/>
    </row>
    <row r="104" spans="1:37" ht="13.5" thickBot="1" x14ac:dyDescent="0.25">
      <c r="A104" s="366"/>
      <c r="B104" s="17"/>
      <c r="C104" s="26"/>
      <c r="D104" s="57"/>
      <c r="E104" s="58"/>
      <c r="F104" s="58"/>
      <c r="G104" s="59"/>
      <c r="H104" s="57"/>
      <c r="I104" s="58"/>
      <c r="J104" s="58"/>
      <c r="K104" s="59"/>
      <c r="L104" s="57"/>
      <c r="M104" s="58"/>
      <c r="N104" s="58"/>
      <c r="O104" s="59"/>
      <c r="P104" s="57"/>
      <c r="Q104" s="58"/>
      <c r="R104" s="58"/>
      <c r="S104" s="59"/>
      <c r="T104" s="57"/>
      <c r="U104" s="58"/>
      <c r="V104" s="58"/>
      <c r="W104" s="59"/>
      <c r="X104" s="57"/>
      <c r="Y104" s="58"/>
      <c r="Z104" s="58"/>
      <c r="AA104" s="59"/>
      <c r="AB104" s="57"/>
      <c r="AC104" s="58"/>
      <c r="AD104" s="58"/>
      <c r="AE104" s="239"/>
      <c r="AF104" s="242"/>
      <c r="AG104" s="235"/>
      <c r="AH104" s="235"/>
      <c r="AI104" s="236"/>
      <c r="AJ104" s="243"/>
      <c r="AK104" s="157"/>
    </row>
    <row r="105" spans="1:37" x14ac:dyDescent="0.2">
      <c r="A105" s="364" t="s">
        <v>23</v>
      </c>
      <c r="B105" s="5" t="s">
        <v>15</v>
      </c>
      <c r="C105" s="5"/>
      <c r="D105" s="97"/>
      <c r="E105" s="43"/>
      <c r="F105" s="43"/>
      <c r="G105" s="44"/>
      <c r="H105" s="97"/>
      <c r="I105" s="43"/>
      <c r="J105" s="43"/>
      <c r="K105" s="44"/>
      <c r="L105" s="97"/>
      <c r="M105" s="43"/>
      <c r="N105" s="43"/>
      <c r="O105" s="44"/>
      <c r="P105" s="97"/>
      <c r="Q105" s="43"/>
      <c r="R105" s="43"/>
      <c r="S105" s="44"/>
      <c r="T105" s="97"/>
      <c r="U105" s="43"/>
      <c r="V105" s="43"/>
      <c r="W105" s="44"/>
      <c r="X105" s="97"/>
      <c r="Y105" s="43"/>
      <c r="Z105" s="43"/>
      <c r="AA105" s="44"/>
      <c r="AB105" s="97"/>
      <c r="AC105" s="43"/>
      <c r="AD105" s="43"/>
      <c r="AE105" s="44"/>
      <c r="AF105" s="42">
        <f>P105+D105+H105+L105+T105+X105+AB105</f>
        <v>0</v>
      </c>
      <c r="AG105" s="134">
        <f t="shared" ref="AG105:AI106" si="29">E105+I105+M105+Q105+U105+Y105+AC105</f>
        <v>0</v>
      </c>
      <c r="AH105" s="134">
        <f t="shared" si="29"/>
        <v>0</v>
      </c>
      <c r="AI105" s="135">
        <f t="shared" si="29"/>
        <v>0</v>
      </c>
      <c r="AJ105" s="45">
        <f>AF105*2+AG105*2.5+AH105*2.5+AI105*2.5</f>
        <v>0</v>
      </c>
      <c r="AK105" s="15"/>
    </row>
    <row r="106" spans="1:37" x14ac:dyDescent="0.2">
      <c r="A106" s="365"/>
      <c r="B106" s="9" t="s">
        <v>16</v>
      </c>
      <c r="C106" s="9"/>
      <c r="D106" s="42"/>
      <c r="E106" s="55"/>
      <c r="F106" s="55"/>
      <c r="G106" s="50"/>
      <c r="H106" s="42"/>
      <c r="I106" s="55"/>
      <c r="J106" s="55"/>
      <c r="K106" s="50"/>
      <c r="L106" s="42"/>
      <c r="M106" s="55"/>
      <c r="N106" s="55"/>
      <c r="O106" s="50"/>
      <c r="P106" s="42"/>
      <c r="Q106" s="55"/>
      <c r="R106" s="55"/>
      <c r="S106" s="50"/>
      <c r="T106" s="42"/>
      <c r="U106" s="55"/>
      <c r="V106" s="55"/>
      <c r="W106" s="50"/>
      <c r="X106" s="42"/>
      <c r="Y106" s="55"/>
      <c r="Z106" s="55"/>
      <c r="AA106" s="50"/>
      <c r="AB106" s="42"/>
      <c r="AC106" s="55"/>
      <c r="AD106" s="55"/>
      <c r="AE106" s="50"/>
      <c r="AF106" s="42">
        <f>P106+D106+H106+L106+T106+X106+AB106</f>
        <v>0</v>
      </c>
      <c r="AG106" s="55">
        <f t="shared" si="29"/>
        <v>0</v>
      </c>
      <c r="AH106" s="55">
        <f t="shared" si="29"/>
        <v>0</v>
      </c>
      <c r="AI106" s="50">
        <f t="shared" si="29"/>
        <v>0</v>
      </c>
      <c r="AJ106" s="45">
        <f>AF106*2+AG106*2.5+AH106*2.5+AI106*2.5</f>
        <v>0</v>
      </c>
      <c r="AK106" s="63"/>
    </row>
    <row r="107" spans="1:37" ht="13.5" thickBot="1" x14ac:dyDescent="0.25">
      <c r="A107" s="366"/>
      <c r="B107" s="17"/>
      <c r="C107" s="26"/>
      <c r="D107" s="57"/>
      <c r="E107" s="58"/>
      <c r="F107" s="58"/>
      <c r="G107" s="59"/>
      <c r="H107" s="57"/>
      <c r="I107" s="58"/>
      <c r="J107" s="58"/>
      <c r="K107" s="59"/>
      <c r="L107" s="57"/>
      <c r="M107" s="58"/>
      <c r="N107" s="58"/>
      <c r="O107" s="59"/>
      <c r="P107" s="57"/>
      <c r="Q107" s="58"/>
      <c r="R107" s="58"/>
      <c r="S107" s="59"/>
      <c r="T107" s="57"/>
      <c r="U107" s="58"/>
      <c r="V107" s="58"/>
      <c r="W107" s="59"/>
      <c r="X107" s="57"/>
      <c r="Y107" s="58"/>
      <c r="Z107" s="58"/>
      <c r="AA107" s="59"/>
      <c r="AB107" s="57"/>
      <c r="AC107" s="58"/>
      <c r="AD107" s="58"/>
      <c r="AE107" s="59"/>
      <c r="AF107" s="131"/>
      <c r="AG107" s="132"/>
      <c r="AH107" s="132"/>
      <c r="AI107" s="133"/>
      <c r="AJ107" s="160"/>
      <c r="AK107" s="64"/>
    </row>
    <row r="108" spans="1:37" x14ac:dyDescent="0.2">
      <c r="A108" s="364" t="s">
        <v>24</v>
      </c>
      <c r="B108" s="5" t="s">
        <v>15</v>
      </c>
      <c r="C108" s="5"/>
      <c r="D108" s="97"/>
      <c r="E108" s="43"/>
      <c r="F108" s="43"/>
      <c r="G108" s="44"/>
      <c r="H108" s="97"/>
      <c r="I108" s="43"/>
      <c r="J108" s="43"/>
      <c r="K108" s="44"/>
      <c r="L108" s="97"/>
      <c r="M108" s="43"/>
      <c r="N108" s="43"/>
      <c r="O108" s="44"/>
      <c r="P108" s="97"/>
      <c r="Q108" s="43"/>
      <c r="R108" s="43"/>
      <c r="S108" s="44"/>
      <c r="T108" s="97"/>
      <c r="U108" s="43"/>
      <c r="V108" s="43"/>
      <c r="W108" s="44"/>
      <c r="X108" s="97"/>
      <c r="Y108" s="43"/>
      <c r="Z108" s="43"/>
      <c r="AA108" s="44"/>
      <c r="AB108" s="97"/>
      <c r="AC108" s="43"/>
      <c r="AD108" s="43"/>
      <c r="AE108" s="237"/>
      <c r="AF108" s="228">
        <f>P108+L108+T108+X108+AB108+H108+D108</f>
        <v>0</v>
      </c>
      <c r="AG108" s="229">
        <f t="shared" ref="AG108:AI109" si="30">E108+I108+M108+Q108+U108+Y108+AC108</f>
        <v>0</v>
      </c>
      <c r="AH108" s="229">
        <f t="shared" si="30"/>
        <v>0</v>
      </c>
      <c r="AI108" s="230">
        <f t="shared" si="30"/>
        <v>0</v>
      </c>
      <c r="AJ108" s="245">
        <f>AF108*2+AG108*2.5+AH108*2.5+AI108*2.5</f>
        <v>0</v>
      </c>
      <c r="AK108" s="143"/>
    </row>
    <row r="109" spans="1:37" x14ac:dyDescent="0.2">
      <c r="A109" s="365"/>
      <c r="B109" s="9" t="s">
        <v>16</v>
      </c>
      <c r="C109" s="9"/>
      <c r="D109" s="42"/>
      <c r="E109" s="55"/>
      <c r="F109" s="55"/>
      <c r="G109" s="50"/>
      <c r="H109" s="42"/>
      <c r="I109" s="55"/>
      <c r="J109" s="55"/>
      <c r="K109" s="50"/>
      <c r="L109" s="42"/>
      <c r="M109" s="55"/>
      <c r="N109" s="55"/>
      <c r="O109" s="50"/>
      <c r="P109" s="47"/>
      <c r="Q109" s="48"/>
      <c r="R109" s="48"/>
      <c r="S109" s="49"/>
      <c r="T109" s="47"/>
      <c r="U109" s="48"/>
      <c r="V109" s="48"/>
      <c r="W109" s="49"/>
      <c r="X109" s="47"/>
      <c r="Y109" s="48"/>
      <c r="Z109" s="48"/>
      <c r="AA109" s="49"/>
      <c r="AB109" s="47"/>
      <c r="AC109" s="48"/>
      <c r="AD109" s="48"/>
      <c r="AE109" s="244"/>
      <c r="AF109" s="231">
        <f>P109+L109+T109+X109+AB109+H109+D109</f>
        <v>0</v>
      </c>
      <c r="AG109" s="232">
        <f t="shared" si="30"/>
        <v>0</v>
      </c>
      <c r="AH109" s="232">
        <f t="shared" si="30"/>
        <v>0</v>
      </c>
      <c r="AI109" s="233">
        <f t="shared" si="30"/>
        <v>0</v>
      </c>
      <c r="AJ109" s="247">
        <f>AF109*2+AG109*2.5+AH109*2.5+AI109*2.5</f>
        <v>0</v>
      </c>
      <c r="AK109" s="161"/>
    </row>
    <row r="110" spans="1:37" ht="13.5" thickBot="1" x14ac:dyDescent="0.25">
      <c r="A110" s="366"/>
      <c r="B110" s="17"/>
      <c r="C110" s="9"/>
      <c r="D110" s="57"/>
      <c r="E110" s="58"/>
      <c r="F110" s="58"/>
      <c r="G110" s="59"/>
      <c r="H110" s="57"/>
      <c r="I110" s="58"/>
      <c r="J110" s="58"/>
      <c r="K110" s="59"/>
      <c r="L110" s="57"/>
      <c r="M110" s="58"/>
      <c r="N110" s="58"/>
      <c r="O110" s="59"/>
      <c r="P110" s="57"/>
      <c r="Q110" s="58"/>
      <c r="R110" s="58"/>
      <c r="S110" s="59"/>
      <c r="T110" s="57"/>
      <c r="U110" s="58"/>
      <c r="V110" s="58"/>
      <c r="W110" s="59"/>
      <c r="X110" s="57"/>
      <c r="Y110" s="58"/>
      <c r="Z110" s="58"/>
      <c r="AA110" s="59"/>
      <c r="AB110" s="57"/>
      <c r="AC110" s="58"/>
      <c r="AD110" s="58"/>
      <c r="AE110" s="239"/>
      <c r="AF110" s="242"/>
      <c r="AG110" s="235"/>
      <c r="AH110" s="235"/>
      <c r="AI110" s="236"/>
      <c r="AJ110" s="248"/>
      <c r="AK110" s="155"/>
    </row>
    <row r="111" spans="1:37" x14ac:dyDescent="0.2">
      <c r="A111" s="364" t="s">
        <v>25</v>
      </c>
      <c r="B111" s="5" t="s">
        <v>15</v>
      </c>
      <c r="C111" s="6"/>
      <c r="D111" s="97"/>
      <c r="E111" s="43"/>
      <c r="F111" s="43"/>
      <c r="G111" s="44"/>
      <c r="H111" s="97"/>
      <c r="I111" s="43"/>
      <c r="J111" s="43"/>
      <c r="K111" s="44"/>
      <c r="L111" s="97"/>
      <c r="M111" s="43"/>
      <c r="N111" s="43"/>
      <c r="O111" s="44"/>
      <c r="P111" s="97"/>
      <c r="Q111" s="43"/>
      <c r="R111" s="43"/>
      <c r="S111" s="44"/>
      <c r="T111" s="97"/>
      <c r="U111" s="43"/>
      <c r="V111" s="43"/>
      <c r="W111" s="44"/>
      <c r="X111" s="97"/>
      <c r="Y111" s="43"/>
      <c r="Z111" s="43"/>
      <c r="AA111" s="44"/>
      <c r="AB111" s="97"/>
      <c r="AC111" s="43"/>
      <c r="AD111" s="43"/>
      <c r="AE111" s="44"/>
      <c r="AF111" s="42">
        <f>H111+L111+P111+T111+X111</f>
        <v>0</v>
      </c>
      <c r="AG111" s="55">
        <f t="shared" ref="AG111:AI112" si="31">E111+I111+M111+Q111+U111+Y111+AC111</f>
        <v>0</v>
      </c>
      <c r="AH111" s="134">
        <f t="shared" si="31"/>
        <v>0</v>
      </c>
      <c r="AI111" s="135">
        <f t="shared" si="31"/>
        <v>0</v>
      </c>
      <c r="AJ111" s="45">
        <f>AF111*2+AG111*2.5+AH111*2.5+AI111*2.5</f>
        <v>0</v>
      </c>
      <c r="AK111" s="95"/>
    </row>
    <row r="112" spans="1:37" x14ac:dyDescent="0.2">
      <c r="A112" s="365"/>
      <c r="B112" s="9" t="s">
        <v>16</v>
      </c>
      <c r="C112" s="10"/>
      <c r="D112" s="42"/>
      <c r="E112" s="55"/>
      <c r="F112" s="55"/>
      <c r="G112" s="50"/>
      <c r="H112" s="42"/>
      <c r="I112" s="55"/>
      <c r="J112" s="55"/>
      <c r="K112" s="50"/>
      <c r="L112" s="42"/>
      <c r="M112" s="55"/>
      <c r="N112" s="55"/>
      <c r="O112" s="50"/>
      <c r="P112" s="42"/>
      <c r="Q112" s="55"/>
      <c r="R112" s="55"/>
      <c r="S112" s="50"/>
      <c r="T112" s="42"/>
      <c r="U112" s="55"/>
      <c r="V112" s="55"/>
      <c r="W112" s="50"/>
      <c r="X112" s="42"/>
      <c r="Y112" s="55"/>
      <c r="Z112" s="55"/>
      <c r="AA112" s="50"/>
      <c r="AB112" s="42"/>
      <c r="AC112" s="55"/>
      <c r="AD112" s="55"/>
      <c r="AE112" s="50"/>
      <c r="AF112" s="42">
        <f>H112+L112+P112+T112+X112</f>
        <v>0</v>
      </c>
      <c r="AG112" s="55">
        <f t="shared" si="31"/>
        <v>0</v>
      </c>
      <c r="AH112" s="55">
        <f t="shared" si="31"/>
        <v>0</v>
      </c>
      <c r="AI112" s="50">
        <f t="shared" si="31"/>
        <v>0</v>
      </c>
      <c r="AJ112" s="45">
        <f>AF112*2+AG112*2.5+AH112*2.5+AI112*2.5</f>
        <v>0</v>
      </c>
      <c r="AK112" s="60"/>
    </row>
    <row r="113" spans="1:37" ht="13.5" thickBot="1" x14ac:dyDescent="0.25">
      <c r="A113" s="366"/>
      <c r="B113" s="11"/>
      <c r="C113" s="11"/>
      <c r="D113" s="57"/>
      <c r="E113" s="58"/>
      <c r="F113" s="58"/>
      <c r="G113" s="59"/>
      <c r="H113" s="57"/>
      <c r="I113" s="58"/>
      <c r="J113" s="58"/>
      <c r="K113" s="59"/>
      <c r="L113" s="57"/>
      <c r="M113" s="58"/>
      <c r="N113" s="58"/>
      <c r="O113" s="59"/>
      <c r="P113" s="57"/>
      <c r="Q113" s="58"/>
      <c r="R113" s="58"/>
      <c r="S113" s="59"/>
      <c r="T113" s="57"/>
      <c r="U113" s="58"/>
      <c r="V113" s="58"/>
      <c r="W113" s="59"/>
      <c r="X113" s="57"/>
      <c r="Y113" s="58"/>
      <c r="Z113" s="58"/>
      <c r="AA113" s="59"/>
      <c r="AB113" s="57"/>
      <c r="AC113" s="58"/>
      <c r="AD113" s="58"/>
      <c r="AE113" s="59"/>
      <c r="AF113" s="131"/>
      <c r="AG113" s="132"/>
      <c r="AH113" s="132"/>
      <c r="AI113" s="133"/>
      <c r="AJ113" s="160"/>
      <c r="AK113" s="61"/>
    </row>
    <row r="114" spans="1:37" x14ac:dyDescent="0.2">
      <c r="A114" s="364" t="s">
        <v>26</v>
      </c>
      <c r="B114" s="5" t="s">
        <v>15</v>
      </c>
      <c r="C114" s="9"/>
      <c r="D114" s="97"/>
      <c r="E114" s="43"/>
      <c r="F114" s="43"/>
      <c r="G114" s="44"/>
      <c r="H114" s="97"/>
      <c r="I114" s="43"/>
      <c r="J114" s="43"/>
      <c r="K114" s="44"/>
      <c r="L114" s="97"/>
      <c r="M114" s="43"/>
      <c r="N114" s="43"/>
      <c r="O114" s="44"/>
      <c r="P114" s="97"/>
      <c r="Q114" s="43"/>
      <c r="R114" s="43"/>
      <c r="S114" s="44"/>
      <c r="T114" s="97"/>
      <c r="U114" s="43"/>
      <c r="V114" s="43"/>
      <c r="W114" s="44"/>
      <c r="X114" s="97"/>
      <c r="Y114" s="43"/>
      <c r="Z114" s="43"/>
      <c r="AA114" s="44"/>
      <c r="AB114" s="97"/>
      <c r="AC114" s="43"/>
      <c r="AD114" s="43"/>
      <c r="AE114" s="237"/>
      <c r="AF114" s="228">
        <v>0</v>
      </c>
      <c r="AG114" s="229">
        <f t="shared" ref="AG114:AI115" si="32">E114+I114+M114+Q114+U114+Y114+AC114</f>
        <v>0</v>
      </c>
      <c r="AH114" s="229">
        <f t="shared" si="32"/>
        <v>0</v>
      </c>
      <c r="AI114" s="230">
        <f t="shared" si="32"/>
        <v>0</v>
      </c>
      <c r="AJ114" s="240">
        <f>AF114*2+AG114*2.5+AH114*2.5+AI114*2.5</f>
        <v>0</v>
      </c>
      <c r="AK114" s="143"/>
    </row>
    <row r="115" spans="1:37" x14ac:dyDescent="0.2">
      <c r="A115" s="365"/>
      <c r="B115" s="9" t="s">
        <v>16</v>
      </c>
      <c r="C115" s="9"/>
      <c r="D115" s="42"/>
      <c r="E115" s="55"/>
      <c r="F115" s="55"/>
      <c r="G115" s="50"/>
      <c r="H115" s="42"/>
      <c r="I115" s="55"/>
      <c r="J115" s="55"/>
      <c r="K115" s="50"/>
      <c r="L115" s="42"/>
      <c r="M115" s="55"/>
      <c r="N115" s="55"/>
      <c r="O115" s="50"/>
      <c r="P115" s="42"/>
      <c r="Q115" s="55"/>
      <c r="R115" s="55"/>
      <c r="S115" s="50"/>
      <c r="T115" s="42"/>
      <c r="U115" s="55"/>
      <c r="V115" s="55"/>
      <c r="W115" s="50"/>
      <c r="X115" s="42"/>
      <c r="Y115" s="55"/>
      <c r="Z115" s="55"/>
      <c r="AA115" s="50"/>
      <c r="AB115" s="42"/>
      <c r="AC115" s="55"/>
      <c r="AD115" s="55"/>
      <c r="AE115" s="238"/>
      <c r="AF115" s="231">
        <v>0</v>
      </c>
      <c r="AG115" s="232">
        <f t="shared" si="32"/>
        <v>0</v>
      </c>
      <c r="AH115" s="232">
        <f t="shared" si="32"/>
        <v>0</v>
      </c>
      <c r="AI115" s="233">
        <f t="shared" si="32"/>
        <v>0</v>
      </c>
      <c r="AJ115" s="241">
        <f>AF115*2+AG115*2.5+AH115*2.5+AI115*2.5</f>
        <v>0</v>
      </c>
      <c r="AK115" s="161"/>
    </row>
    <row r="116" spans="1:37" ht="13.5" thickBot="1" x14ac:dyDescent="0.25">
      <c r="A116" s="366"/>
      <c r="B116" s="11"/>
      <c r="C116" s="11"/>
      <c r="D116" s="57"/>
      <c r="E116" s="58"/>
      <c r="F116" s="58"/>
      <c r="G116" s="59"/>
      <c r="H116" s="57"/>
      <c r="I116" s="58"/>
      <c r="J116" s="58"/>
      <c r="K116" s="59"/>
      <c r="L116" s="57"/>
      <c r="M116" s="58"/>
      <c r="N116" s="58"/>
      <c r="O116" s="59"/>
      <c r="P116" s="57"/>
      <c r="Q116" s="58"/>
      <c r="R116" s="58"/>
      <c r="S116" s="59"/>
      <c r="T116" s="57"/>
      <c r="U116" s="58"/>
      <c r="V116" s="58"/>
      <c r="W116" s="59"/>
      <c r="X116" s="57"/>
      <c r="Y116" s="58"/>
      <c r="Z116" s="58"/>
      <c r="AA116" s="59"/>
      <c r="AB116" s="57"/>
      <c r="AC116" s="58"/>
      <c r="AD116" s="58"/>
      <c r="AE116" s="239"/>
      <c r="AF116" s="242"/>
      <c r="AG116" s="235"/>
      <c r="AH116" s="235"/>
      <c r="AI116" s="236"/>
      <c r="AJ116" s="243"/>
      <c r="AK116" s="154"/>
    </row>
    <row r="117" spans="1:37" x14ac:dyDescent="0.2">
      <c r="A117" s="364" t="s">
        <v>52</v>
      </c>
      <c r="B117" s="5" t="s">
        <v>15</v>
      </c>
      <c r="C117" s="5"/>
      <c r="D117" s="97"/>
      <c r="E117" s="43"/>
      <c r="F117" s="43"/>
      <c r="G117" s="44"/>
      <c r="H117" s="97"/>
      <c r="I117" s="43"/>
      <c r="J117" s="43"/>
      <c r="K117" s="44"/>
      <c r="L117" s="97"/>
      <c r="M117" s="43"/>
      <c r="N117" s="43"/>
      <c r="O117" s="44"/>
      <c r="P117" s="97"/>
      <c r="Q117" s="43"/>
      <c r="R117" s="43"/>
      <c r="S117" s="44"/>
      <c r="T117" s="97"/>
      <c r="U117" s="43"/>
      <c r="V117" s="43"/>
      <c r="W117" s="44"/>
      <c r="X117" s="97"/>
      <c r="Y117" s="43"/>
      <c r="Z117" s="43"/>
      <c r="AA117" s="44"/>
      <c r="AB117" s="97"/>
      <c r="AC117" s="43"/>
      <c r="AD117" s="43"/>
      <c r="AE117" s="44"/>
      <c r="AF117" s="162">
        <f t="shared" ref="AF117:AI119" si="33">D117+H117+L117+P117+T117+X117+AB117</f>
        <v>0</v>
      </c>
      <c r="AG117" s="134">
        <f t="shared" si="33"/>
        <v>0</v>
      </c>
      <c r="AH117" s="134">
        <f t="shared" si="33"/>
        <v>0</v>
      </c>
      <c r="AI117" s="135">
        <f t="shared" si="33"/>
        <v>0</v>
      </c>
      <c r="AJ117" s="163">
        <f>AF117*2+AG117*2.5+AH117*2.5+AI117*2.5</f>
        <v>0</v>
      </c>
      <c r="AK117" s="15"/>
    </row>
    <row r="118" spans="1:37" x14ac:dyDescent="0.2">
      <c r="A118" s="365"/>
      <c r="B118" s="9" t="s">
        <v>16</v>
      </c>
      <c r="C118" s="9"/>
      <c r="D118" s="42"/>
      <c r="E118" s="55"/>
      <c r="F118" s="55"/>
      <c r="G118" s="50"/>
      <c r="H118" s="42"/>
      <c r="I118" s="55"/>
      <c r="J118" s="55"/>
      <c r="K118" s="50"/>
      <c r="L118" s="42"/>
      <c r="M118" s="55"/>
      <c r="N118" s="55"/>
      <c r="O118" s="50"/>
      <c r="P118" s="42"/>
      <c r="Q118" s="55"/>
      <c r="R118" s="55"/>
      <c r="S118" s="50"/>
      <c r="T118" s="42"/>
      <c r="U118" s="55"/>
      <c r="V118" s="55"/>
      <c r="W118" s="50"/>
      <c r="X118" s="42"/>
      <c r="Y118" s="55"/>
      <c r="Z118" s="55"/>
      <c r="AA118" s="50"/>
      <c r="AB118" s="42"/>
      <c r="AC118" s="55"/>
      <c r="AD118" s="55"/>
      <c r="AE118" s="50"/>
      <c r="AF118" s="42">
        <f t="shared" si="33"/>
        <v>0</v>
      </c>
      <c r="AG118" s="55">
        <f t="shared" si="33"/>
        <v>0</v>
      </c>
      <c r="AH118" s="55">
        <f t="shared" si="33"/>
        <v>0</v>
      </c>
      <c r="AI118" s="50">
        <f t="shared" si="33"/>
        <v>0</v>
      </c>
      <c r="AJ118" s="45">
        <f>AF118*2+AG118*2.5+AH118*2.5+AI118*2.5</f>
        <v>0</v>
      </c>
      <c r="AK118" s="63"/>
    </row>
    <row r="119" spans="1:37" x14ac:dyDescent="0.2">
      <c r="A119" s="365"/>
      <c r="B119" s="9" t="s">
        <v>16</v>
      </c>
      <c r="C119" s="9"/>
      <c r="D119" s="42"/>
      <c r="E119" s="55"/>
      <c r="F119" s="55"/>
      <c r="G119" s="50"/>
      <c r="H119" s="42"/>
      <c r="I119" s="55"/>
      <c r="J119" s="55"/>
      <c r="K119" s="50"/>
      <c r="L119" s="42"/>
      <c r="M119" s="55"/>
      <c r="N119" s="55"/>
      <c r="O119" s="50"/>
      <c r="P119" s="42"/>
      <c r="Q119" s="55"/>
      <c r="R119" s="55"/>
      <c r="S119" s="50"/>
      <c r="T119" s="42"/>
      <c r="U119" s="55"/>
      <c r="V119" s="55"/>
      <c r="W119" s="50"/>
      <c r="X119" s="42"/>
      <c r="Y119" s="55"/>
      <c r="Z119" s="55"/>
      <c r="AA119" s="50"/>
      <c r="AB119" s="42"/>
      <c r="AC119" s="55"/>
      <c r="AD119" s="55"/>
      <c r="AE119" s="50"/>
      <c r="AF119" s="42">
        <f t="shared" si="33"/>
        <v>0</v>
      </c>
      <c r="AG119" s="48">
        <f t="shared" si="33"/>
        <v>0</v>
      </c>
      <c r="AH119" s="48">
        <f t="shared" si="33"/>
        <v>0</v>
      </c>
      <c r="AI119" s="49">
        <f t="shared" si="33"/>
        <v>0</v>
      </c>
      <c r="AJ119" s="99">
        <f>AF119*2+AG119*2.5+AH119*2.5+AI119*2.5</f>
        <v>0</v>
      </c>
      <c r="AK119" s="108"/>
    </row>
    <row r="120" spans="1:37" ht="13.5" thickBot="1" x14ac:dyDescent="0.25">
      <c r="A120" s="366"/>
      <c r="B120" s="11"/>
      <c r="C120" s="193"/>
      <c r="D120" s="42"/>
      <c r="E120" s="55"/>
      <c r="F120" s="55"/>
      <c r="G120" s="50"/>
      <c r="H120" s="47"/>
      <c r="I120" s="48"/>
      <c r="J120" s="48"/>
      <c r="K120" s="49"/>
      <c r="L120" s="47"/>
      <c r="M120" s="48"/>
      <c r="N120" s="48"/>
      <c r="O120" s="49"/>
      <c r="P120" s="47"/>
      <c r="Q120" s="48"/>
      <c r="R120" s="48"/>
      <c r="S120" s="49"/>
      <c r="T120" s="47"/>
      <c r="U120" s="48"/>
      <c r="V120" s="48"/>
      <c r="W120" s="49"/>
      <c r="X120" s="47"/>
      <c r="Y120" s="48"/>
      <c r="Z120" s="48"/>
      <c r="AA120" s="49"/>
      <c r="AB120" s="47"/>
      <c r="AC120" s="48"/>
      <c r="AD120" s="48"/>
      <c r="AE120" s="49"/>
      <c r="AF120" s="199"/>
      <c r="AG120" s="200"/>
      <c r="AH120" s="200"/>
      <c r="AI120" s="201"/>
      <c r="AJ120" s="62"/>
      <c r="AK120" s="61"/>
    </row>
    <row r="121" spans="1:37" x14ac:dyDescent="0.2">
      <c r="A121" s="364" t="s">
        <v>53</v>
      </c>
      <c r="B121" s="5" t="s">
        <v>15</v>
      </c>
      <c r="C121" s="6"/>
      <c r="D121" s="97"/>
      <c r="E121" s="43"/>
      <c r="F121" s="43"/>
      <c r="G121" s="44"/>
      <c r="H121" s="97"/>
      <c r="I121" s="43"/>
      <c r="J121" s="43"/>
      <c r="K121" s="44"/>
      <c r="L121" s="97"/>
      <c r="M121" s="43"/>
      <c r="N121" s="43"/>
      <c r="O121" s="44"/>
      <c r="P121" s="97"/>
      <c r="Q121" s="43"/>
      <c r="R121" s="43"/>
      <c r="S121" s="44"/>
      <c r="T121" s="97"/>
      <c r="U121" s="43"/>
      <c r="V121" s="43"/>
      <c r="W121" s="44"/>
      <c r="X121" s="97"/>
      <c r="Y121" s="43"/>
      <c r="Z121" s="43"/>
      <c r="AA121" s="44"/>
      <c r="AB121" s="97"/>
      <c r="AC121" s="43"/>
      <c r="AD121" s="43"/>
      <c r="AE121" s="44"/>
      <c r="AF121" s="42">
        <f>H121+L121+P121+T121+X121</f>
        <v>0</v>
      </c>
      <c r="AG121" s="55">
        <f t="shared" ref="AG121:AG122" si="34">E121+I121+M121+Q121+U121+Y121+AC121</f>
        <v>0</v>
      </c>
      <c r="AH121" s="134">
        <f t="shared" ref="AH121:AH122" si="35">F121+J121+N121+R121+V121+Z121+AD121</f>
        <v>0</v>
      </c>
      <c r="AI121" s="135">
        <f t="shared" ref="AI121:AI122" si="36">G121+K121+O121+S121+W121+AA121+AE121</f>
        <v>0</v>
      </c>
      <c r="AJ121" s="45">
        <f>AF121*2+AG121*2.5+AH121*2.5+AI121*2.5</f>
        <v>0</v>
      </c>
      <c r="AK121" s="417"/>
    </row>
    <row r="122" spans="1:37" x14ac:dyDescent="0.2">
      <c r="A122" s="365"/>
      <c r="B122" s="9" t="s">
        <v>16</v>
      </c>
      <c r="C122" s="10"/>
      <c r="D122" s="42"/>
      <c r="E122" s="55"/>
      <c r="F122" s="55"/>
      <c r="G122" s="50"/>
      <c r="H122" s="42"/>
      <c r="I122" s="55"/>
      <c r="J122" s="55"/>
      <c r="K122" s="50"/>
      <c r="L122" s="42"/>
      <c r="M122" s="55"/>
      <c r="N122" s="55"/>
      <c r="O122" s="50"/>
      <c r="P122" s="42"/>
      <c r="Q122" s="55"/>
      <c r="R122" s="55"/>
      <c r="S122" s="50"/>
      <c r="T122" s="42"/>
      <c r="U122" s="55"/>
      <c r="V122" s="55"/>
      <c r="W122" s="50"/>
      <c r="X122" s="42"/>
      <c r="Y122" s="55"/>
      <c r="Z122" s="55"/>
      <c r="AA122" s="50"/>
      <c r="AB122" s="42"/>
      <c r="AC122" s="55"/>
      <c r="AD122" s="55"/>
      <c r="AE122" s="50"/>
      <c r="AF122" s="42">
        <f>H122+L122+P122+T122+X122</f>
        <v>0</v>
      </c>
      <c r="AG122" s="55">
        <f t="shared" si="34"/>
        <v>0</v>
      </c>
      <c r="AH122" s="55">
        <f t="shared" si="35"/>
        <v>0</v>
      </c>
      <c r="AI122" s="50">
        <f t="shared" si="36"/>
        <v>0</v>
      </c>
      <c r="AJ122" s="45">
        <f>AF122*2+AG122*2.5+AH122*2.5+AI122*2.5</f>
        <v>0</v>
      </c>
      <c r="AK122" s="417"/>
    </row>
    <row r="123" spans="1:37" ht="13.5" thickBot="1" x14ac:dyDescent="0.25">
      <c r="A123" s="366"/>
      <c r="B123" s="11"/>
      <c r="C123" s="11"/>
      <c r="D123" s="57"/>
      <c r="E123" s="58"/>
      <c r="F123" s="58"/>
      <c r="G123" s="59"/>
      <c r="H123" s="57"/>
      <c r="I123" s="58"/>
      <c r="J123" s="58"/>
      <c r="K123" s="59"/>
      <c r="L123" s="57"/>
      <c r="M123" s="58"/>
      <c r="N123" s="58"/>
      <c r="O123" s="59"/>
      <c r="P123" s="57"/>
      <c r="Q123" s="58"/>
      <c r="R123" s="58"/>
      <c r="S123" s="59"/>
      <c r="T123" s="57"/>
      <c r="U123" s="58"/>
      <c r="V123" s="58"/>
      <c r="W123" s="59"/>
      <c r="X123" s="57"/>
      <c r="Y123" s="58"/>
      <c r="Z123" s="58"/>
      <c r="AA123" s="59"/>
      <c r="AB123" s="57"/>
      <c r="AC123" s="58"/>
      <c r="AD123" s="58"/>
      <c r="AE123" s="59"/>
      <c r="AF123" s="131"/>
      <c r="AG123" s="132"/>
      <c r="AH123" s="132"/>
      <c r="AI123" s="133"/>
      <c r="AJ123" s="160"/>
      <c r="AK123" s="417"/>
    </row>
    <row r="124" spans="1:37" ht="13.5" customHeight="1" x14ac:dyDescent="0.2">
      <c r="A124" s="364" t="s">
        <v>65</v>
      </c>
      <c r="B124" s="5" t="s">
        <v>15</v>
      </c>
      <c r="C124" s="9"/>
      <c r="D124" s="97"/>
      <c r="E124" s="43"/>
      <c r="F124" s="43"/>
      <c r="G124" s="44"/>
      <c r="H124" s="97"/>
      <c r="I124" s="43"/>
      <c r="J124" s="43"/>
      <c r="K124" s="44"/>
      <c r="L124" s="97"/>
      <c r="M124" s="43"/>
      <c r="N124" s="43"/>
      <c r="O124" s="44"/>
      <c r="P124" s="97"/>
      <c r="Q124" s="43"/>
      <c r="R124" s="43"/>
      <c r="S124" s="44"/>
      <c r="T124" s="97"/>
      <c r="U124" s="43"/>
      <c r="V124" s="43"/>
      <c r="W124" s="44"/>
      <c r="X124" s="97"/>
      <c r="Y124" s="43"/>
      <c r="Z124" s="43"/>
      <c r="AA124" s="44"/>
      <c r="AB124" s="97"/>
      <c r="AC124" s="43"/>
      <c r="AD124" s="43"/>
      <c r="AE124" s="237"/>
      <c r="AF124" s="228">
        <v>0</v>
      </c>
      <c r="AG124" s="229">
        <f t="shared" ref="AG124:AG125" si="37">E124+I124+M124+Q124+U124+Y124+AC124</f>
        <v>0</v>
      </c>
      <c r="AH124" s="229">
        <f t="shared" ref="AH124:AH125" si="38">F124+J124+N124+R124+V124+Z124+AD124</f>
        <v>0</v>
      </c>
      <c r="AI124" s="230">
        <f t="shared" ref="AI124:AI125" si="39">G124+K124+O124+S124+W124+AA124+AE124</f>
        <v>0</v>
      </c>
      <c r="AJ124" s="240">
        <f>AF124*2+AG124*2.5+AH124*2.5+AI124*2.5</f>
        <v>0</v>
      </c>
      <c r="AK124" s="15"/>
    </row>
    <row r="125" spans="1:37" x14ac:dyDescent="0.2">
      <c r="A125" s="365"/>
      <c r="B125" s="9" t="s">
        <v>16</v>
      </c>
      <c r="C125" s="9"/>
      <c r="D125" s="42"/>
      <c r="E125" s="55"/>
      <c r="F125" s="55"/>
      <c r="G125" s="50"/>
      <c r="H125" s="42"/>
      <c r="I125" s="55"/>
      <c r="J125" s="55"/>
      <c r="K125" s="50"/>
      <c r="L125" s="42"/>
      <c r="M125" s="55"/>
      <c r="N125" s="55"/>
      <c r="O125" s="50"/>
      <c r="P125" s="42"/>
      <c r="Q125" s="55"/>
      <c r="R125" s="55"/>
      <c r="S125" s="50"/>
      <c r="T125" s="42"/>
      <c r="U125" s="55"/>
      <c r="V125" s="55"/>
      <c r="W125" s="50"/>
      <c r="X125" s="42"/>
      <c r="Y125" s="55"/>
      <c r="Z125" s="55"/>
      <c r="AA125" s="50"/>
      <c r="AB125" s="42"/>
      <c r="AC125" s="55"/>
      <c r="AD125" s="55"/>
      <c r="AE125" s="238"/>
      <c r="AF125" s="231">
        <v>0</v>
      </c>
      <c r="AG125" s="232">
        <f t="shared" si="37"/>
        <v>0</v>
      </c>
      <c r="AH125" s="232">
        <f t="shared" si="38"/>
        <v>0</v>
      </c>
      <c r="AI125" s="233">
        <f t="shared" si="39"/>
        <v>0</v>
      </c>
      <c r="AJ125" s="241">
        <f>AF125*2+AG125*2.5+AH125*2.5+AI125*2.5</f>
        <v>0</v>
      </c>
      <c r="AK125" s="63"/>
    </row>
    <row r="126" spans="1:37" ht="13.5" thickBot="1" x14ac:dyDescent="0.25">
      <c r="A126" s="366"/>
      <c r="B126" s="11"/>
      <c r="C126" s="11"/>
      <c r="D126" s="57"/>
      <c r="E126" s="58"/>
      <c r="F126" s="58"/>
      <c r="G126" s="59"/>
      <c r="H126" s="57"/>
      <c r="I126" s="58"/>
      <c r="J126" s="58"/>
      <c r="K126" s="59"/>
      <c r="L126" s="57"/>
      <c r="M126" s="58"/>
      <c r="N126" s="58"/>
      <c r="O126" s="59"/>
      <c r="P126" s="57"/>
      <c r="Q126" s="58"/>
      <c r="R126" s="58"/>
      <c r="S126" s="59"/>
      <c r="T126" s="57"/>
      <c r="U126" s="58"/>
      <c r="V126" s="58"/>
      <c r="W126" s="59"/>
      <c r="X126" s="57"/>
      <c r="Y126" s="58"/>
      <c r="Z126" s="58"/>
      <c r="AA126" s="59"/>
      <c r="AB126" s="57"/>
      <c r="AC126" s="58"/>
      <c r="AD126" s="58"/>
      <c r="AE126" s="239"/>
      <c r="AF126" s="242"/>
      <c r="AG126" s="235"/>
      <c r="AH126" s="235"/>
      <c r="AI126" s="236"/>
      <c r="AJ126" s="243"/>
      <c r="AK126" s="61"/>
    </row>
    <row r="127" spans="1:37" x14ac:dyDescent="0.2">
      <c r="A127" s="364" t="s">
        <v>54</v>
      </c>
      <c r="B127" s="9" t="s">
        <v>16</v>
      </c>
      <c r="C127" s="65"/>
      <c r="D127" s="97"/>
      <c r="E127" s="43"/>
      <c r="F127" s="43"/>
      <c r="G127" s="44"/>
      <c r="H127" s="97"/>
      <c r="I127" s="43"/>
      <c r="J127" s="43"/>
      <c r="K127" s="44"/>
      <c r="L127" s="97"/>
      <c r="M127" s="43"/>
      <c r="N127" s="43"/>
      <c r="O127" s="44"/>
      <c r="P127" s="97"/>
      <c r="Q127" s="43"/>
      <c r="R127" s="43"/>
      <c r="S127" s="44"/>
      <c r="T127" s="97"/>
      <c r="U127" s="43"/>
      <c r="V127" s="43"/>
      <c r="W127" s="44"/>
      <c r="X127" s="97"/>
      <c r="Y127" s="43"/>
      <c r="Z127" s="43"/>
      <c r="AA127" s="44"/>
      <c r="AB127" s="97"/>
      <c r="AC127" s="43"/>
      <c r="AD127" s="43"/>
      <c r="AE127" s="44"/>
      <c r="AF127" s="202">
        <f>D127+H127+L127+P127+T127+X127+AB127</f>
        <v>0</v>
      </c>
      <c r="AG127" s="203">
        <f>E127+I127+M127+Q127+U127+Y127+AC127</f>
        <v>0</v>
      </c>
      <c r="AH127" s="204">
        <f>F127+J127+N127+R127+V127+Z127+AD127</f>
        <v>0</v>
      </c>
      <c r="AI127" s="205">
        <f>G127+K127+O127+S127+W127+AA127+AE127</f>
        <v>0</v>
      </c>
      <c r="AJ127" s="98">
        <f>AF127*2+AG127*2.5+AH127*2.5+AI127*2.5</f>
        <v>0</v>
      </c>
      <c r="AK127" s="15"/>
    </row>
    <row r="128" spans="1:37" x14ac:dyDescent="0.2">
      <c r="A128" s="365"/>
      <c r="B128" s="9" t="s">
        <v>16</v>
      </c>
      <c r="C128" s="9"/>
      <c r="D128" s="42"/>
      <c r="E128" s="55"/>
      <c r="F128" s="55"/>
      <c r="G128" s="50"/>
      <c r="H128" s="42"/>
      <c r="I128" s="55"/>
      <c r="J128" s="55"/>
      <c r="K128" s="50"/>
      <c r="L128" s="42"/>
      <c r="M128" s="55"/>
      <c r="N128" s="55"/>
      <c r="O128" s="50"/>
      <c r="P128" s="42"/>
      <c r="Q128" s="55"/>
      <c r="R128" s="55"/>
      <c r="S128" s="50"/>
      <c r="T128" s="42"/>
      <c r="U128" s="55"/>
      <c r="V128" s="55"/>
      <c r="W128" s="50"/>
      <c r="X128" s="42"/>
      <c r="Y128" s="55"/>
      <c r="Z128" s="55"/>
      <c r="AA128" s="50"/>
      <c r="AB128" s="42"/>
      <c r="AC128" s="55"/>
      <c r="AD128" s="55"/>
      <c r="AE128" s="50"/>
      <c r="AF128" s="194">
        <f>D128+H128+L128+P128+T128</f>
        <v>0</v>
      </c>
      <c r="AG128" s="48">
        <f>E128+I128+M128+Q128+U128+Y128+AC128</f>
        <v>0</v>
      </c>
      <c r="AH128" s="48">
        <f>F128+J128+N128+R128+V128+Z128+AD128</f>
        <v>0</v>
      </c>
      <c r="AI128" s="49">
        <f>G128+K128+O128+S128+W128+AA128+AE128</f>
        <v>0</v>
      </c>
      <c r="AJ128" s="99">
        <f>AF128*2+AG128*2.5+AH128*2.5+AI128*2.5</f>
        <v>0</v>
      </c>
      <c r="AK128" s="63"/>
    </row>
    <row r="129" spans="1:37" ht="13.5" thickBot="1" x14ac:dyDescent="0.25">
      <c r="A129" s="366"/>
      <c r="B129" s="17"/>
      <c r="C129" s="17"/>
      <c r="D129" s="57"/>
      <c r="E129" s="58"/>
      <c r="F129" s="58"/>
      <c r="G129" s="59"/>
      <c r="H129" s="57"/>
      <c r="I129" s="58"/>
      <c r="J129" s="58"/>
      <c r="K129" s="59"/>
      <c r="L129" s="57"/>
      <c r="M129" s="58"/>
      <c r="N129" s="58"/>
      <c r="O129" s="59"/>
      <c r="P129" s="57"/>
      <c r="Q129" s="58"/>
      <c r="R129" s="58"/>
      <c r="S129" s="59"/>
      <c r="T129" s="57"/>
      <c r="U129" s="58"/>
      <c r="V129" s="58"/>
      <c r="W129" s="59"/>
      <c r="X129" s="57"/>
      <c r="Y129" s="58"/>
      <c r="Z129" s="58"/>
      <c r="AA129" s="59"/>
      <c r="AB129" s="57"/>
      <c r="AC129" s="58"/>
      <c r="AD129" s="58"/>
      <c r="AE129" s="59"/>
      <c r="AF129" s="57"/>
      <c r="AG129" s="58"/>
      <c r="AH129" s="58"/>
      <c r="AI129" s="59"/>
      <c r="AJ129" s="62"/>
      <c r="AK129" s="61"/>
    </row>
    <row r="130" spans="1:37" x14ac:dyDescent="0.2">
      <c r="A130" s="66"/>
      <c r="B130" s="67"/>
      <c r="C130" s="68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8"/>
    </row>
    <row r="131" spans="1:37" ht="20.25" x14ac:dyDescent="0.3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4"/>
      <c r="AK131" s="371"/>
    </row>
    <row r="132" spans="1:37" ht="20.25" x14ac:dyDescent="0.3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  <c r="AI132" s="114"/>
      <c r="AJ132" s="114"/>
      <c r="AK132" s="371"/>
    </row>
    <row r="133" spans="1:37" ht="20.25" x14ac:dyDescent="0.3">
      <c r="A133" s="114"/>
      <c r="B133" s="114"/>
      <c r="C133" s="70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14"/>
      <c r="AK133" s="371"/>
    </row>
    <row r="134" spans="1:37" x14ac:dyDescent="0.2">
      <c r="A134" s="71"/>
      <c r="B134" s="71"/>
      <c r="C134" s="67" t="s">
        <v>28</v>
      </c>
      <c r="D134" s="33"/>
      <c r="E134" s="33"/>
      <c r="F134" s="72"/>
      <c r="G134" s="69"/>
      <c r="H134" s="69"/>
      <c r="I134" s="69"/>
      <c r="J134" s="69"/>
      <c r="K134" s="69"/>
      <c r="L134" s="69"/>
      <c r="M134" s="69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72"/>
      <c r="Y134" s="372"/>
      <c r="Z134" s="372"/>
      <c r="AA134" s="372"/>
      <c r="AB134" s="372"/>
      <c r="AC134" s="372"/>
      <c r="AD134" s="372"/>
      <c r="AE134" s="372"/>
      <c r="AF134" s="372"/>
      <c r="AG134" s="372"/>
      <c r="AH134" s="372"/>
      <c r="AI134" s="372"/>
      <c r="AJ134" s="34"/>
      <c r="AK134" s="73"/>
    </row>
    <row r="135" spans="1:37" x14ac:dyDescent="0.2">
      <c r="A135" s="71"/>
      <c r="B135" s="71"/>
      <c r="C135" s="118" t="s">
        <v>29</v>
      </c>
      <c r="D135" s="68"/>
      <c r="E135" s="68"/>
      <c r="F135" s="74"/>
      <c r="G135" s="72"/>
      <c r="H135" s="72"/>
      <c r="I135" s="72"/>
      <c r="J135" s="69"/>
      <c r="K135" s="69"/>
      <c r="L135" s="69"/>
      <c r="M135" s="69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70"/>
      <c r="Y135" s="370"/>
      <c r="Z135" s="370"/>
      <c r="AA135" s="370"/>
      <c r="AB135" s="370"/>
      <c r="AC135" s="370"/>
      <c r="AD135" s="370"/>
      <c r="AE135" s="370"/>
      <c r="AF135" s="370"/>
      <c r="AG135" s="370"/>
      <c r="AH135" s="370"/>
      <c r="AI135" s="370"/>
      <c r="AJ135" s="34"/>
      <c r="AK135" s="68"/>
    </row>
    <row r="136" spans="1:37" ht="20.25" x14ac:dyDescent="0.3">
      <c r="A136" s="373" t="s">
        <v>0</v>
      </c>
      <c r="B136" s="373"/>
      <c r="C136" s="373"/>
      <c r="D136" s="373"/>
      <c r="E136" s="373"/>
      <c r="F136" s="373"/>
      <c r="G136" s="373"/>
      <c r="H136" s="373"/>
      <c r="I136" s="373"/>
      <c r="J136" s="373"/>
      <c r="K136" s="373"/>
      <c r="L136" s="373"/>
      <c r="M136" s="373"/>
      <c r="N136" s="373"/>
      <c r="O136" s="373"/>
      <c r="P136" s="373"/>
      <c r="Q136" s="373"/>
      <c r="R136" s="373"/>
      <c r="S136" s="373"/>
      <c r="T136" s="373"/>
      <c r="U136" s="373"/>
      <c r="V136" s="373"/>
      <c r="W136" s="373"/>
      <c r="X136" s="373"/>
      <c r="Y136" s="373"/>
      <c r="Z136" s="373"/>
      <c r="AA136" s="373"/>
      <c r="AB136" s="373"/>
      <c r="AC136" s="373"/>
      <c r="AD136" s="373"/>
      <c r="AE136" s="373"/>
      <c r="AF136" s="373"/>
      <c r="AG136" s="373"/>
      <c r="AH136" s="373"/>
      <c r="AI136" s="373"/>
      <c r="AJ136" s="373"/>
      <c r="AK136" s="373"/>
    </row>
    <row r="137" spans="1:37" ht="20.25" x14ac:dyDescent="0.3">
      <c r="A137" s="373" t="s">
        <v>30</v>
      </c>
      <c r="B137" s="373"/>
      <c r="C137" s="373"/>
      <c r="D137" s="373"/>
      <c r="E137" s="373"/>
      <c r="F137" s="373"/>
      <c r="G137" s="373"/>
      <c r="H137" s="373"/>
      <c r="I137" s="373"/>
      <c r="J137" s="373"/>
      <c r="K137" s="373"/>
      <c r="L137" s="373"/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373"/>
      <c r="Y137" s="373"/>
      <c r="Z137" s="373"/>
      <c r="AA137" s="373"/>
      <c r="AB137" s="373"/>
      <c r="AC137" s="373"/>
      <c r="AD137" s="373"/>
      <c r="AE137" s="373"/>
      <c r="AF137" s="373"/>
      <c r="AG137" s="373"/>
      <c r="AH137" s="373"/>
      <c r="AI137" s="373"/>
      <c r="AJ137" s="373"/>
      <c r="AK137" s="373"/>
    </row>
    <row r="138" spans="1:37" ht="20.25" x14ac:dyDescent="0.3">
      <c r="A138" s="373" t="s">
        <v>59</v>
      </c>
      <c r="B138" s="373"/>
      <c r="C138" s="373"/>
      <c r="D138" s="373"/>
      <c r="E138" s="373"/>
      <c r="F138" s="373"/>
      <c r="G138" s="373"/>
      <c r="H138" s="373"/>
      <c r="I138" s="373"/>
      <c r="J138" s="373"/>
      <c r="K138" s="373"/>
      <c r="L138" s="373"/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373"/>
      <c r="Y138" s="373"/>
      <c r="Z138" s="373"/>
      <c r="AA138" s="373"/>
      <c r="AB138" s="373"/>
      <c r="AC138" s="373"/>
      <c r="AD138" s="373"/>
      <c r="AE138" s="373"/>
      <c r="AF138" s="373"/>
      <c r="AG138" s="373"/>
      <c r="AH138" s="373"/>
      <c r="AI138" s="373"/>
      <c r="AJ138" s="373"/>
      <c r="AK138" s="373"/>
    </row>
    <row r="139" spans="1:37" ht="13.5" thickBot="1" x14ac:dyDescent="0.25">
      <c r="A139" s="33"/>
      <c r="B139" s="33"/>
      <c r="C139" s="33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</row>
    <row r="140" spans="1:37" x14ac:dyDescent="0.2">
      <c r="A140" s="374" t="s">
        <v>2</v>
      </c>
      <c r="B140" s="374" t="s">
        <v>3</v>
      </c>
      <c r="C140" s="374" t="s">
        <v>4</v>
      </c>
      <c r="D140" s="377" t="s">
        <v>5</v>
      </c>
      <c r="E140" s="378"/>
      <c r="F140" s="378"/>
      <c r="G140" s="379"/>
      <c r="H140" s="377" t="s">
        <v>31</v>
      </c>
      <c r="I140" s="378"/>
      <c r="J140" s="378"/>
      <c r="K140" s="379"/>
      <c r="L140" s="380" t="s">
        <v>32</v>
      </c>
      <c r="M140" s="381"/>
      <c r="N140" s="381"/>
      <c r="O140" s="382"/>
      <c r="P140" s="377" t="s">
        <v>33</v>
      </c>
      <c r="Q140" s="378"/>
      <c r="R140" s="378"/>
      <c r="S140" s="379"/>
      <c r="T140" s="377" t="s">
        <v>9</v>
      </c>
      <c r="U140" s="378"/>
      <c r="V140" s="378"/>
      <c r="W140" s="379"/>
      <c r="X140" s="377" t="s">
        <v>34</v>
      </c>
      <c r="Y140" s="378"/>
      <c r="Z140" s="378"/>
      <c r="AA140" s="383"/>
      <c r="AB140" s="384" t="s">
        <v>35</v>
      </c>
      <c r="AC140" s="385"/>
      <c r="AD140" s="385"/>
      <c r="AE140" s="386"/>
      <c r="AF140" s="387" t="s">
        <v>36</v>
      </c>
      <c r="AG140" s="385"/>
      <c r="AH140" s="385"/>
      <c r="AI140" s="386"/>
      <c r="AJ140" s="328" t="s">
        <v>36</v>
      </c>
      <c r="AK140" s="391" t="s">
        <v>37</v>
      </c>
    </row>
    <row r="141" spans="1:37" ht="13.5" thickBot="1" x14ac:dyDescent="0.25">
      <c r="A141" s="375"/>
      <c r="B141" s="375"/>
      <c r="C141" s="375"/>
      <c r="D141" s="394">
        <v>26</v>
      </c>
      <c r="E141" s="395"/>
      <c r="F141" s="395"/>
      <c r="G141" s="396"/>
      <c r="H141" s="397">
        <f>1+D141</f>
        <v>27</v>
      </c>
      <c r="I141" s="398"/>
      <c r="J141" s="398"/>
      <c r="K141" s="399"/>
      <c r="L141" s="396">
        <f>1+H141</f>
        <v>28</v>
      </c>
      <c r="M141" s="395"/>
      <c r="N141" s="395"/>
      <c r="O141" s="400"/>
      <c r="P141" s="394">
        <f>1+L141</f>
        <v>29</v>
      </c>
      <c r="Q141" s="395"/>
      <c r="R141" s="395"/>
      <c r="S141" s="400"/>
      <c r="T141" s="394">
        <f>1+P141</f>
        <v>30</v>
      </c>
      <c r="U141" s="395"/>
      <c r="V141" s="395"/>
      <c r="W141" s="400"/>
      <c r="X141" s="394">
        <v>1</v>
      </c>
      <c r="Y141" s="395"/>
      <c r="Z141" s="395"/>
      <c r="AA141" s="396"/>
      <c r="AB141" s="401">
        <f>1+X141</f>
        <v>2</v>
      </c>
      <c r="AC141" s="402"/>
      <c r="AD141" s="402"/>
      <c r="AE141" s="403"/>
      <c r="AF141" s="388"/>
      <c r="AG141" s="389"/>
      <c r="AH141" s="389"/>
      <c r="AI141" s="390"/>
      <c r="AJ141" s="329"/>
      <c r="AK141" s="392"/>
    </row>
    <row r="142" spans="1:37" ht="13.5" thickBot="1" x14ac:dyDescent="0.25">
      <c r="A142" s="376"/>
      <c r="B142" s="376"/>
      <c r="C142" s="376"/>
      <c r="D142" s="36" t="s">
        <v>38</v>
      </c>
      <c r="E142" s="36" t="s">
        <v>39</v>
      </c>
      <c r="F142" s="36" t="s">
        <v>40</v>
      </c>
      <c r="G142" s="36" t="s">
        <v>41</v>
      </c>
      <c r="H142" s="179" t="s">
        <v>38</v>
      </c>
      <c r="I142" s="38" t="s">
        <v>39</v>
      </c>
      <c r="J142" s="38" t="s">
        <v>40</v>
      </c>
      <c r="K142" s="38" t="s">
        <v>41</v>
      </c>
      <c r="L142" s="36" t="s">
        <v>38</v>
      </c>
      <c r="M142" s="35" t="s">
        <v>39</v>
      </c>
      <c r="N142" s="36" t="s">
        <v>40</v>
      </c>
      <c r="O142" s="36" t="s">
        <v>41</v>
      </c>
      <c r="P142" s="38" t="s">
        <v>38</v>
      </c>
      <c r="Q142" s="38" t="s">
        <v>39</v>
      </c>
      <c r="R142" s="38" t="s">
        <v>40</v>
      </c>
      <c r="S142" s="38" t="s">
        <v>41</v>
      </c>
      <c r="T142" s="38" t="s">
        <v>38</v>
      </c>
      <c r="U142" s="38" t="s">
        <v>39</v>
      </c>
      <c r="V142" s="38" t="s">
        <v>40</v>
      </c>
      <c r="W142" s="38" t="s">
        <v>41</v>
      </c>
      <c r="X142" s="38" t="s">
        <v>38</v>
      </c>
      <c r="Y142" s="38" t="s">
        <v>39</v>
      </c>
      <c r="Z142" s="38" t="s">
        <v>40</v>
      </c>
      <c r="AA142" s="136" t="s">
        <v>41</v>
      </c>
      <c r="AB142" s="293" t="s">
        <v>38</v>
      </c>
      <c r="AC142" s="293" t="s">
        <v>39</v>
      </c>
      <c r="AD142" s="293" t="s">
        <v>40</v>
      </c>
      <c r="AE142" s="294" t="s">
        <v>41</v>
      </c>
      <c r="AF142" s="298" t="s">
        <v>38</v>
      </c>
      <c r="AG142" s="299" t="s">
        <v>39</v>
      </c>
      <c r="AH142" s="299" t="s">
        <v>40</v>
      </c>
      <c r="AI142" s="327" t="s">
        <v>41</v>
      </c>
      <c r="AJ142" s="294" t="s">
        <v>42</v>
      </c>
      <c r="AK142" s="393"/>
    </row>
    <row r="143" spans="1:37" ht="13.5" customHeight="1" x14ac:dyDescent="0.2">
      <c r="A143" s="364" t="s">
        <v>14</v>
      </c>
      <c r="B143" s="5" t="s">
        <v>15</v>
      </c>
      <c r="C143" s="5"/>
      <c r="D143" s="39"/>
      <c r="E143" s="40"/>
      <c r="F143" s="40"/>
      <c r="G143" s="41"/>
      <c r="H143" s="39"/>
      <c r="I143" s="40"/>
      <c r="J143" s="40"/>
      <c r="K143" s="41"/>
      <c r="L143" s="39"/>
      <c r="M143" s="40"/>
      <c r="N143" s="40"/>
      <c r="O143" s="41"/>
      <c r="P143" s="39"/>
      <c r="Q143" s="40"/>
      <c r="R143" s="40"/>
      <c r="S143" s="41"/>
      <c r="T143" s="39"/>
      <c r="U143" s="40"/>
      <c r="V143" s="40"/>
      <c r="W143" s="41"/>
      <c r="X143" s="39"/>
      <c r="Y143" s="40"/>
      <c r="Z143" s="40"/>
      <c r="AA143" s="41"/>
      <c r="AB143" s="290"/>
      <c r="AC143" s="291"/>
      <c r="AD143" s="291"/>
      <c r="AE143" s="292"/>
      <c r="AF143" s="42">
        <v>0</v>
      </c>
      <c r="AG143" s="134">
        <f t="shared" ref="AG143:AG144" si="40">E143+I143+M143+Q143+U143+Y143+AC143</f>
        <v>0</v>
      </c>
      <c r="AH143" s="134">
        <f t="shared" ref="AH143:AH144" si="41">F143+J143+N143+R143+V143+Z143+AD143</f>
        <v>0</v>
      </c>
      <c r="AI143" s="138">
        <f t="shared" ref="AI143:AI144" si="42">G143+K143+O143+S143+W143+AA143+AE143</f>
        <v>0</v>
      </c>
      <c r="AJ143" s="240">
        <f>AF143*2+AG143*2.5+AH143*2.5+AI143*2.5</f>
        <v>0</v>
      </c>
      <c r="AK143" s="140"/>
    </row>
    <row r="144" spans="1:37" x14ac:dyDescent="0.2">
      <c r="A144" s="365"/>
      <c r="B144" s="9" t="s">
        <v>16</v>
      </c>
      <c r="C144" s="101"/>
      <c r="D144" s="47"/>
      <c r="E144" s="48"/>
      <c r="F144" s="48"/>
      <c r="G144" s="49"/>
      <c r="H144" s="47"/>
      <c r="I144" s="48"/>
      <c r="J144" s="48"/>
      <c r="K144" s="49"/>
      <c r="L144" s="47"/>
      <c r="M144" s="48"/>
      <c r="N144" s="48"/>
      <c r="O144" s="49"/>
      <c r="P144" s="47"/>
      <c r="Q144" s="48"/>
      <c r="R144" s="48"/>
      <c r="S144" s="49"/>
      <c r="T144" s="47"/>
      <c r="U144" s="48"/>
      <c r="V144" s="48"/>
      <c r="W144" s="49"/>
      <c r="X144" s="47"/>
      <c r="Y144" s="48"/>
      <c r="Z144" s="48"/>
      <c r="AA144" s="49"/>
      <c r="AB144" s="47"/>
      <c r="AC144" s="48"/>
      <c r="AD144" s="48"/>
      <c r="AE144" s="49"/>
      <c r="AF144" s="42">
        <v>0</v>
      </c>
      <c r="AG144" s="55">
        <f t="shared" si="40"/>
        <v>0</v>
      </c>
      <c r="AH144" s="55">
        <f t="shared" si="41"/>
        <v>0</v>
      </c>
      <c r="AI144" s="138">
        <f t="shared" si="42"/>
        <v>0</v>
      </c>
      <c r="AJ144" s="241">
        <f>AF144*2+AG144*2.5+AH144*2.5+AI144*2.5</f>
        <v>0</v>
      </c>
      <c r="AK144" s="141"/>
    </row>
    <row r="145" spans="1:37" ht="13.5" thickBot="1" x14ac:dyDescent="0.25">
      <c r="A145" s="366"/>
      <c r="B145" s="11"/>
      <c r="C145" s="12"/>
      <c r="D145" s="52"/>
      <c r="E145" s="53"/>
      <c r="F145" s="53"/>
      <c r="G145" s="54"/>
      <c r="H145" s="52"/>
      <c r="I145" s="53"/>
      <c r="J145" s="53"/>
      <c r="K145" s="54"/>
      <c r="L145" s="52"/>
      <c r="M145" s="53"/>
      <c r="N145" s="53"/>
      <c r="O145" s="54"/>
      <c r="P145" s="52"/>
      <c r="Q145" s="53"/>
      <c r="R145" s="53"/>
      <c r="S145" s="54"/>
      <c r="T145" s="52"/>
      <c r="U145" s="53"/>
      <c r="V145" s="53"/>
      <c r="W145" s="54"/>
      <c r="X145" s="52"/>
      <c r="Y145" s="53"/>
      <c r="Z145" s="53"/>
      <c r="AA145" s="54"/>
      <c r="AB145" s="52"/>
      <c r="AC145" s="53"/>
      <c r="AD145" s="53"/>
      <c r="AE145" s="54"/>
      <c r="AF145" s="150"/>
      <c r="AG145" s="151"/>
      <c r="AH145" s="151"/>
      <c r="AI145" s="152"/>
      <c r="AJ145" s="309"/>
      <c r="AK145" s="142"/>
    </row>
    <row r="146" spans="1:37" x14ac:dyDescent="0.2">
      <c r="A146" s="364" t="s">
        <v>67</v>
      </c>
      <c r="B146" s="5" t="s">
        <v>15</v>
      </c>
      <c r="C146" s="207"/>
      <c r="D146" s="39"/>
      <c r="E146" s="40"/>
      <c r="F146" s="40"/>
      <c r="G146" s="41"/>
      <c r="H146" s="39"/>
      <c r="I146" s="40"/>
      <c r="J146" s="40"/>
      <c r="K146" s="41"/>
      <c r="L146" s="39"/>
      <c r="M146" s="40"/>
      <c r="N146" s="40"/>
      <c r="O146" s="41"/>
      <c r="P146" s="39"/>
      <c r="Q146" s="40"/>
      <c r="R146" s="40"/>
      <c r="S146" s="41"/>
      <c r="T146" s="39"/>
      <c r="U146" s="40"/>
      <c r="V146" s="40"/>
      <c r="W146" s="41"/>
      <c r="X146" s="39"/>
      <c r="Y146" s="40"/>
      <c r="Z146" s="40"/>
      <c r="AA146" s="41"/>
      <c r="AB146" s="39"/>
      <c r="AC146" s="40"/>
      <c r="AD146" s="40"/>
      <c r="AE146" s="273"/>
      <c r="AF146" s="228">
        <f>H146+L146+D146+T146+X146</f>
        <v>0</v>
      </c>
      <c r="AG146" s="229">
        <f t="shared" ref="AG146:AG147" si="43">E146+I146+M146+Q146+U146+Y146+AC146</f>
        <v>0</v>
      </c>
      <c r="AH146" s="229">
        <f t="shared" ref="AH146:AH147" si="44">F146+J146+N146+R146+V146+Z146+AD146</f>
        <v>0</v>
      </c>
      <c r="AI146" s="230">
        <f t="shared" ref="AI146:AI147" si="45">G146+K146+O146+S146+W146+AA146+AE146</f>
        <v>0</v>
      </c>
      <c r="AJ146" s="129">
        <f>AF146*2+AG146*2.5+AH146*2.5+AI146*2.5</f>
        <v>0</v>
      </c>
      <c r="AK146" s="416"/>
    </row>
    <row r="147" spans="1:37" x14ac:dyDescent="0.2">
      <c r="A147" s="365"/>
      <c r="B147" s="9" t="s">
        <v>16</v>
      </c>
      <c r="C147" s="9"/>
      <c r="D147" s="47"/>
      <c r="E147" s="48"/>
      <c r="F147" s="48"/>
      <c r="G147" s="49"/>
      <c r="H147" s="47"/>
      <c r="I147" s="48"/>
      <c r="J147" s="48"/>
      <c r="K147" s="49"/>
      <c r="L147" s="47"/>
      <c r="M147" s="48"/>
      <c r="N147" s="48"/>
      <c r="O147" s="49"/>
      <c r="P147" s="47"/>
      <c r="Q147" s="48"/>
      <c r="R147" s="48"/>
      <c r="S147" s="49"/>
      <c r="T147" s="47"/>
      <c r="U147" s="48"/>
      <c r="V147" s="48"/>
      <c r="W147" s="49"/>
      <c r="X147" s="47"/>
      <c r="Y147" s="48"/>
      <c r="Z147" s="48"/>
      <c r="AA147" s="49"/>
      <c r="AB147" s="47"/>
      <c r="AC147" s="48"/>
      <c r="AD147" s="48"/>
      <c r="AE147" s="244"/>
      <c r="AF147" s="231">
        <f>H147+L147+D147+T147+X147</f>
        <v>0</v>
      </c>
      <c r="AG147" s="232">
        <f t="shared" si="43"/>
        <v>0</v>
      </c>
      <c r="AH147" s="232">
        <f t="shared" si="44"/>
        <v>0</v>
      </c>
      <c r="AI147" s="233">
        <f t="shared" si="45"/>
        <v>0</v>
      </c>
      <c r="AJ147" s="129">
        <f>AF147*2+AG147*2.5+AH147*2.5+AI147*2.5</f>
        <v>0</v>
      </c>
      <c r="AK147" s="416"/>
    </row>
    <row r="148" spans="1:37" ht="13.5" thickBot="1" x14ac:dyDescent="0.25">
      <c r="A148" s="366"/>
      <c r="B148" s="17"/>
      <c r="C148" s="208"/>
      <c r="D148" s="52"/>
      <c r="E148" s="53"/>
      <c r="F148" s="53"/>
      <c r="G148" s="54"/>
      <c r="H148" s="52"/>
      <c r="I148" s="53"/>
      <c r="J148" s="53"/>
      <c r="K148" s="54"/>
      <c r="L148" s="52"/>
      <c r="M148" s="53"/>
      <c r="N148" s="53"/>
      <c r="O148" s="54"/>
      <c r="P148" s="52"/>
      <c r="Q148" s="53"/>
      <c r="R148" s="53"/>
      <c r="S148" s="54"/>
      <c r="T148" s="52"/>
      <c r="U148" s="53"/>
      <c r="V148" s="53"/>
      <c r="W148" s="54"/>
      <c r="X148" s="52"/>
      <c r="Y148" s="53"/>
      <c r="Z148" s="53"/>
      <c r="AA148" s="54"/>
      <c r="AB148" s="52"/>
      <c r="AC148" s="53"/>
      <c r="AD148" s="53"/>
      <c r="AE148" s="274"/>
      <c r="AF148" s="258"/>
      <c r="AG148" s="259"/>
      <c r="AH148" s="259"/>
      <c r="AI148" s="260"/>
      <c r="AJ148" s="149"/>
      <c r="AK148" s="416"/>
    </row>
    <row r="149" spans="1:37" ht="13.5" customHeight="1" x14ac:dyDescent="0.2">
      <c r="A149" s="364" t="s">
        <v>43</v>
      </c>
      <c r="B149" s="5" t="s">
        <v>15</v>
      </c>
      <c r="C149" s="207"/>
      <c r="D149" s="39"/>
      <c r="E149" s="40"/>
      <c r="F149" s="40"/>
      <c r="G149" s="41"/>
      <c r="H149" s="39"/>
      <c r="I149" s="40"/>
      <c r="J149" s="40"/>
      <c r="K149" s="41"/>
      <c r="L149" s="39"/>
      <c r="M149" s="40"/>
      <c r="N149" s="40"/>
      <c r="O149" s="41"/>
      <c r="P149" s="39"/>
      <c r="Q149" s="40"/>
      <c r="R149" s="40"/>
      <c r="S149" s="41"/>
      <c r="T149" s="39"/>
      <c r="U149" s="40"/>
      <c r="V149" s="40"/>
      <c r="W149" s="41"/>
      <c r="X149" s="39"/>
      <c r="Y149" s="40"/>
      <c r="Z149" s="40"/>
      <c r="AA149" s="41"/>
      <c r="AB149" s="39"/>
      <c r="AC149" s="40"/>
      <c r="AD149" s="40"/>
      <c r="AE149" s="273"/>
      <c r="AF149" s="228">
        <f>H149+L149+D149+T149+X149</f>
        <v>0</v>
      </c>
      <c r="AG149" s="229">
        <f t="shared" ref="AG149:AG150" si="46">E149+I149+M149+Q149+U149+Y149+AC149</f>
        <v>0</v>
      </c>
      <c r="AH149" s="229">
        <f t="shared" ref="AH149:AH150" si="47">F149+J149+N149+R149+V149+Z149+AD149</f>
        <v>0</v>
      </c>
      <c r="AI149" s="230">
        <f t="shared" ref="AI149:AI150" si="48">G149+K149+O149+S149+W149+AA149+AE149</f>
        <v>0</v>
      </c>
      <c r="AJ149" s="129">
        <f>AF149*2+AG149*2.5+AH149*2.5+AI149*2.5</f>
        <v>0</v>
      </c>
      <c r="AK149" s="46"/>
    </row>
    <row r="150" spans="1:37" x14ac:dyDescent="0.2">
      <c r="A150" s="365"/>
      <c r="B150" s="9" t="s">
        <v>16</v>
      </c>
      <c r="C150" s="9"/>
      <c r="D150" s="47"/>
      <c r="E150" s="48"/>
      <c r="F150" s="48"/>
      <c r="G150" s="49"/>
      <c r="H150" s="47"/>
      <c r="I150" s="48"/>
      <c r="J150" s="48"/>
      <c r="K150" s="49"/>
      <c r="L150" s="47"/>
      <c r="M150" s="48"/>
      <c r="N150" s="48"/>
      <c r="O150" s="49"/>
      <c r="P150" s="47"/>
      <c r="Q150" s="48"/>
      <c r="R150" s="48"/>
      <c r="S150" s="49"/>
      <c r="T150" s="47"/>
      <c r="U150" s="48"/>
      <c r="V150" s="48"/>
      <c r="W150" s="49"/>
      <c r="X150" s="47"/>
      <c r="Y150" s="48"/>
      <c r="Z150" s="48"/>
      <c r="AA150" s="49"/>
      <c r="AB150" s="47"/>
      <c r="AC150" s="48"/>
      <c r="AD150" s="48"/>
      <c r="AE150" s="244"/>
      <c r="AF150" s="231">
        <f>H150+L150+D150+T150+X150</f>
        <v>0</v>
      </c>
      <c r="AG150" s="232">
        <f t="shared" si="46"/>
        <v>0</v>
      </c>
      <c r="AH150" s="232">
        <f t="shared" si="47"/>
        <v>0</v>
      </c>
      <c r="AI150" s="233">
        <f t="shared" si="48"/>
        <v>0</v>
      </c>
      <c r="AJ150" s="129">
        <f>AF150*2+AG150*2.5+AH150*2.5+AI150*2.5</f>
        <v>0</v>
      </c>
      <c r="AK150" s="137"/>
    </row>
    <row r="151" spans="1:37" ht="13.5" thickBot="1" x14ac:dyDescent="0.25">
      <c r="A151" s="366"/>
      <c r="B151" s="17"/>
      <c r="C151" s="208"/>
      <c r="D151" s="52"/>
      <c r="E151" s="53"/>
      <c r="F151" s="53"/>
      <c r="G151" s="54"/>
      <c r="H151" s="52"/>
      <c r="I151" s="53"/>
      <c r="J151" s="53"/>
      <c r="K151" s="54"/>
      <c r="L151" s="52"/>
      <c r="M151" s="53"/>
      <c r="N151" s="53"/>
      <c r="O151" s="54"/>
      <c r="P151" s="52"/>
      <c r="Q151" s="53"/>
      <c r="R151" s="53"/>
      <c r="S151" s="54"/>
      <c r="T151" s="52"/>
      <c r="U151" s="53"/>
      <c r="V151" s="53"/>
      <c r="W151" s="54"/>
      <c r="X151" s="52"/>
      <c r="Y151" s="53"/>
      <c r="Z151" s="53"/>
      <c r="AA151" s="54"/>
      <c r="AB151" s="52"/>
      <c r="AC151" s="53"/>
      <c r="AD151" s="53"/>
      <c r="AE151" s="274"/>
      <c r="AF151" s="258"/>
      <c r="AG151" s="259"/>
      <c r="AH151" s="259"/>
      <c r="AI151" s="260"/>
      <c r="AJ151" s="149"/>
      <c r="AK151" s="56"/>
    </row>
    <row r="152" spans="1:37" ht="13.5" customHeight="1" x14ac:dyDescent="0.2">
      <c r="A152" s="364" t="s">
        <v>17</v>
      </c>
      <c r="B152" s="5" t="s">
        <v>15</v>
      </c>
      <c r="C152" s="5"/>
      <c r="D152" s="97"/>
      <c r="E152" s="43"/>
      <c r="F152" s="43"/>
      <c r="G152" s="44"/>
      <c r="H152" s="97"/>
      <c r="I152" s="43"/>
      <c r="J152" s="43"/>
      <c r="K152" s="44"/>
      <c r="L152" s="97"/>
      <c r="M152" s="43"/>
      <c r="N152" s="43"/>
      <c r="O152" s="44"/>
      <c r="P152" s="97"/>
      <c r="Q152" s="43"/>
      <c r="R152" s="43"/>
      <c r="S152" s="44"/>
      <c r="T152" s="97"/>
      <c r="U152" s="43"/>
      <c r="V152" s="43"/>
      <c r="W152" s="44"/>
      <c r="X152" s="97"/>
      <c r="Y152" s="43"/>
      <c r="Z152" s="43"/>
      <c r="AA152" s="44"/>
      <c r="AB152" s="97"/>
      <c r="AC152" s="43"/>
      <c r="AD152" s="43"/>
      <c r="AE152" s="237"/>
      <c r="AF152" s="228">
        <f>H152+L152+P152+D152+T152+X152</f>
        <v>0</v>
      </c>
      <c r="AG152" s="255">
        <f t="shared" ref="AG152:AG154" si="49">E152+I152+M152+Q152+U152+Y152+AC152</f>
        <v>0</v>
      </c>
      <c r="AH152" s="255">
        <f t="shared" ref="AH152:AH154" si="50">F152+J152+N152+R152+V152+Z152+AD152</f>
        <v>0</v>
      </c>
      <c r="AI152" s="256">
        <f t="shared" ref="AI152:AI154" si="51">G152+K152+O152+S152+W152+AA152+AE152</f>
        <v>0</v>
      </c>
      <c r="AJ152" s="315">
        <f>AF152*2+AG152*2.5+AH152*2.5+AI152*2.5</f>
        <v>0</v>
      </c>
      <c r="AK152" s="143"/>
    </row>
    <row r="153" spans="1:37" x14ac:dyDescent="0.2">
      <c r="A153" s="365"/>
      <c r="B153" s="9" t="s">
        <v>16</v>
      </c>
      <c r="C153" s="21"/>
      <c r="D153" s="42"/>
      <c r="E153" s="55"/>
      <c r="F153" s="55"/>
      <c r="G153" s="50"/>
      <c r="H153" s="42"/>
      <c r="I153" s="55"/>
      <c r="J153" s="55"/>
      <c r="K153" s="50"/>
      <c r="L153" s="42"/>
      <c r="M153" s="55"/>
      <c r="N153" s="55"/>
      <c r="O153" s="50"/>
      <c r="P153" s="42"/>
      <c r="Q153" s="55"/>
      <c r="R153" s="55"/>
      <c r="S153" s="50"/>
      <c r="T153" s="42"/>
      <c r="U153" s="55"/>
      <c r="V153" s="55"/>
      <c r="W153" s="50"/>
      <c r="X153" s="42"/>
      <c r="Y153" s="55"/>
      <c r="Z153" s="55"/>
      <c r="AA153" s="50"/>
      <c r="AB153" s="42"/>
      <c r="AC153" s="55"/>
      <c r="AD153" s="55"/>
      <c r="AE153" s="238"/>
      <c r="AF153" s="231">
        <f>H153+L153+P153+D153+T153+X153</f>
        <v>0</v>
      </c>
      <c r="AG153" s="232">
        <f t="shared" si="49"/>
        <v>0</v>
      </c>
      <c r="AH153" s="232">
        <f t="shared" si="50"/>
        <v>0</v>
      </c>
      <c r="AI153" s="263">
        <f t="shared" si="51"/>
        <v>0</v>
      </c>
      <c r="AJ153" s="330">
        <f>AF153*2+AG153*2.5+AH153*2.5+AI153*2.5</f>
        <v>0</v>
      </c>
      <c r="AK153" s="140"/>
    </row>
    <row r="154" spans="1:37" x14ac:dyDescent="0.2">
      <c r="A154" s="365"/>
      <c r="B154" s="23" t="s">
        <v>16</v>
      </c>
      <c r="C154" s="9"/>
      <c r="D154" s="42"/>
      <c r="E154" s="55"/>
      <c r="F154" s="55"/>
      <c r="G154" s="50"/>
      <c r="H154" s="42"/>
      <c r="I154" s="55"/>
      <c r="J154" s="55"/>
      <c r="K154" s="50"/>
      <c r="L154" s="42"/>
      <c r="M154" s="55"/>
      <c r="N154" s="55"/>
      <c r="O154" s="50"/>
      <c r="P154" s="42"/>
      <c r="Q154" s="55"/>
      <c r="R154" s="55"/>
      <c r="S154" s="50"/>
      <c r="T154" s="42"/>
      <c r="U154" s="55"/>
      <c r="V154" s="55"/>
      <c r="W154" s="50"/>
      <c r="X154" s="42"/>
      <c r="Y154" s="55"/>
      <c r="Z154" s="55"/>
      <c r="AA154" s="50"/>
      <c r="AB154" s="42"/>
      <c r="AC154" s="55"/>
      <c r="AD154" s="55"/>
      <c r="AE154" s="238"/>
      <c r="AF154" s="231">
        <f>H154+L154+P154+D154+T154+X154</f>
        <v>0</v>
      </c>
      <c r="AG154" s="232">
        <f t="shared" si="49"/>
        <v>0</v>
      </c>
      <c r="AH154" s="232">
        <f t="shared" si="50"/>
        <v>0</v>
      </c>
      <c r="AI154" s="263">
        <f t="shared" si="51"/>
        <v>0</v>
      </c>
      <c r="AJ154" s="330">
        <f>AF154*2+AG154*2.5+AH154*2.5+AI154*2.5</f>
        <v>0</v>
      </c>
      <c r="AK154" s="140"/>
    </row>
    <row r="155" spans="1:37" ht="13.5" thickBot="1" x14ac:dyDescent="0.25">
      <c r="A155" s="366"/>
      <c r="B155" s="17"/>
      <c r="C155" s="214"/>
      <c r="D155" s="52"/>
      <c r="E155" s="53"/>
      <c r="F155" s="53"/>
      <c r="G155" s="54"/>
      <c r="H155" s="57"/>
      <c r="I155" s="58"/>
      <c r="J155" s="58"/>
      <c r="K155" s="59"/>
      <c r="L155" s="57"/>
      <c r="M155" s="58"/>
      <c r="N155" s="58"/>
      <c r="O155" s="59"/>
      <c r="P155" s="57"/>
      <c r="Q155" s="58"/>
      <c r="R155" s="58"/>
      <c r="S155" s="59"/>
      <c r="T155" s="52"/>
      <c r="U155" s="53"/>
      <c r="V155" s="53"/>
      <c r="W155" s="54"/>
      <c r="X155" s="52"/>
      <c r="Y155" s="53"/>
      <c r="Z155" s="53"/>
      <c r="AA155" s="54"/>
      <c r="AB155" s="52"/>
      <c r="AC155" s="53"/>
      <c r="AD155" s="53"/>
      <c r="AE155" s="274"/>
      <c r="AF155" s="280"/>
      <c r="AG155" s="281"/>
      <c r="AH155" s="281"/>
      <c r="AI155" s="260"/>
      <c r="AJ155" s="331"/>
      <c r="AK155" s="144"/>
    </row>
    <row r="156" spans="1:37" ht="12.75" customHeight="1" x14ac:dyDescent="0.2">
      <c r="A156" s="364" t="s">
        <v>18</v>
      </c>
      <c r="B156" s="187" t="s">
        <v>15</v>
      </c>
      <c r="C156" s="5"/>
      <c r="D156" s="190"/>
      <c r="E156" s="43"/>
      <c r="F156" s="43"/>
      <c r="G156" s="44"/>
      <c r="H156" s="97"/>
      <c r="I156" s="43"/>
      <c r="J156" s="43"/>
      <c r="K156" s="44"/>
      <c r="L156" s="97"/>
      <c r="M156" s="43"/>
      <c r="N156" s="43"/>
      <c r="O156" s="44"/>
      <c r="P156" s="97"/>
      <c r="Q156" s="43"/>
      <c r="R156" s="43"/>
      <c r="S156" s="44"/>
      <c r="T156" s="97"/>
      <c r="U156" s="43"/>
      <c r="V156" s="43"/>
      <c r="W156" s="44"/>
      <c r="X156" s="97"/>
      <c r="Y156" s="43"/>
      <c r="Z156" s="43"/>
      <c r="AA156" s="44"/>
      <c r="AB156" s="97"/>
      <c r="AC156" s="43"/>
      <c r="AD156" s="43"/>
      <c r="AE156" s="44"/>
      <c r="AF156" s="42">
        <v>0</v>
      </c>
      <c r="AG156" s="134">
        <f t="shared" ref="AG156:AG157" si="52">E156+I156+M156+Q156+U156+Y156+AC156</f>
        <v>0</v>
      </c>
      <c r="AH156" s="134">
        <f t="shared" ref="AH156:AH157" si="53">F156+J156+N156+R156+V156+Z156+AD156</f>
        <v>0</v>
      </c>
      <c r="AI156" s="135">
        <f t="shared" ref="AI156:AI157" si="54">G156+K156+O156+S156+W156+AA156+AE156</f>
        <v>0</v>
      </c>
      <c r="AJ156" s="45">
        <f>AF156*2+AG156*2.5+AH156*2.5+AI156*2.5</f>
        <v>0</v>
      </c>
      <c r="AK156" s="60"/>
    </row>
    <row r="157" spans="1:37" x14ac:dyDescent="0.2">
      <c r="A157" s="365"/>
      <c r="B157" s="9" t="s">
        <v>16</v>
      </c>
      <c r="C157" s="208"/>
      <c r="D157" s="42"/>
      <c r="E157" s="55"/>
      <c r="F157" s="55"/>
      <c r="G157" s="50"/>
      <c r="H157" s="42"/>
      <c r="I157" s="55"/>
      <c r="J157" s="55"/>
      <c r="K157" s="50"/>
      <c r="L157" s="42"/>
      <c r="M157" s="55"/>
      <c r="N157" s="55"/>
      <c r="O157" s="50"/>
      <c r="P157" s="42"/>
      <c r="Q157" s="55"/>
      <c r="R157" s="55"/>
      <c r="S157" s="50"/>
      <c r="T157" s="42"/>
      <c r="U157" s="55"/>
      <c r="V157" s="55"/>
      <c r="W157" s="50"/>
      <c r="X157" s="42"/>
      <c r="Y157" s="55"/>
      <c r="Z157" s="55"/>
      <c r="AA157" s="50"/>
      <c r="AB157" s="42"/>
      <c r="AC157" s="55"/>
      <c r="AD157" s="55"/>
      <c r="AE157" s="50"/>
      <c r="AF157" s="42">
        <v>0</v>
      </c>
      <c r="AG157" s="48">
        <f t="shared" si="52"/>
        <v>0</v>
      </c>
      <c r="AH157" s="48">
        <f t="shared" si="53"/>
        <v>0</v>
      </c>
      <c r="AI157" s="50">
        <f t="shared" si="54"/>
        <v>0</v>
      </c>
      <c r="AJ157" s="45">
        <f>AF157*2+AG157*2.5+AH157*2.5+AI157*2.5</f>
        <v>0</v>
      </c>
      <c r="AK157" s="51"/>
    </row>
    <row r="158" spans="1:37" ht="13.5" thickBot="1" x14ac:dyDescent="0.25">
      <c r="A158" s="366"/>
      <c r="B158" s="17"/>
      <c r="C158" s="17"/>
      <c r="D158" s="52"/>
      <c r="E158" s="53"/>
      <c r="F158" s="53"/>
      <c r="G158" s="54"/>
      <c r="H158" s="52"/>
      <c r="I158" s="53"/>
      <c r="J158" s="53"/>
      <c r="K158" s="54"/>
      <c r="L158" s="52"/>
      <c r="M158" s="53"/>
      <c r="N158" s="53"/>
      <c r="O158" s="54"/>
      <c r="P158" s="52"/>
      <c r="Q158" s="53"/>
      <c r="R158" s="53"/>
      <c r="S158" s="54"/>
      <c r="T158" s="52"/>
      <c r="U158" s="53"/>
      <c r="V158" s="53"/>
      <c r="W158" s="54"/>
      <c r="X158" s="52"/>
      <c r="Y158" s="53"/>
      <c r="Z158" s="53"/>
      <c r="AA158" s="54"/>
      <c r="AB158" s="52"/>
      <c r="AC158" s="53"/>
      <c r="AD158" s="53"/>
      <c r="AE158" s="54"/>
      <c r="AF158" s="150"/>
      <c r="AG158" s="151"/>
      <c r="AH158" s="151"/>
      <c r="AI158" s="156"/>
      <c r="AJ158" s="145"/>
      <c r="AK158" s="61"/>
    </row>
    <row r="159" spans="1:37" ht="13.5" customHeight="1" x14ac:dyDescent="0.2">
      <c r="A159" s="364" t="s">
        <v>19</v>
      </c>
      <c r="B159" s="5" t="s">
        <v>15</v>
      </c>
      <c r="C159" s="15"/>
      <c r="D159" s="97"/>
      <c r="E159" s="43"/>
      <c r="F159" s="43"/>
      <c r="G159" s="44"/>
      <c r="H159" s="97"/>
      <c r="I159" s="43"/>
      <c r="J159" s="43"/>
      <c r="K159" s="44"/>
      <c r="L159" s="97"/>
      <c r="M159" s="43"/>
      <c r="N159" s="43"/>
      <c r="O159" s="44"/>
      <c r="P159" s="97"/>
      <c r="Q159" s="43"/>
      <c r="R159" s="43"/>
      <c r="S159" s="44"/>
      <c r="T159" s="97"/>
      <c r="U159" s="43"/>
      <c r="V159" s="43"/>
      <c r="W159" s="44"/>
      <c r="X159" s="97"/>
      <c r="Y159" s="43"/>
      <c r="Z159" s="43"/>
      <c r="AA159" s="44"/>
      <c r="AB159" s="97"/>
      <c r="AC159" s="43"/>
      <c r="AD159" s="43"/>
      <c r="AE159" s="237"/>
      <c r="AF159" s="228">
        <f>P159+D159+H159+L159+T159+X159+AB159</f>
        <v>0</v>
      </c>
      <c r="AG159" s="229">
        <f t="shared" ref="AG159:AG160" si="55">E159+I159+M159+Q159+U159+Y159+AC159</f>
        <v>0</v>
      </c>
      <c r="AH159" s="229">
        <f t="shared" ref="AH159:AH160" si="56">F159+J159+N159+R159+V159+Z159+AD159</f>
        <v>0</v>
      </c>
      <c r="AI159" s="230">
        <f t="shared" ref="AI159:AI160" si="57">G159+K159+O159+S159+W159+AA159+AE159</f>
        <v>0</v>
      </c>
      <c r="AJ159" s="240">
        <f>AF159*2+AG159*2.5+AH159*2.5+AI159*2.5</f>
        <v>0</v>
      </c>
      <c r="AK159" s="154"/>
    </row>
    <row r="160" spans="1:37" x14ac:dyDescent="0.2">
      <c r="A160" s="365"/>
      <c r="B160" s="9" t="s">
        <v>16</v>
      </c>
      <c r="C160" s="32"/>
      <c r="D160" s="42"/>
      <c r="E160" s="55"/>
      <c r="F160" s="55"/>
      <c r="G160" s="50"/>
      <c r="H160" s="42"/>
      <c r="I160" s="55"/>
      <c r="J160" s="55"/>
      <c r="K160" s="50"/>
      <c r="L160" s="42"/>
      <c r="M160" s="55"/>
      <c r="N160" s="55"/>
      <c r="O160" s="50"/>
      <c r="P160" s="42"/>
      <c r="Q160" s="55"/>
      <c r="R160" s="55"/>
      <c r="S160" s="50"/>
      <c r="T160" s="42"/>
      <c r="U160" s="55"/>
      <c r="V160" s="55"/>
      <c r="W160" s="50"/>
      <c r="X160" s="42"/>
      <c r="Y160" s="55"/>
      <c r="Z160" s="55"/>
      <c r="AA160" s="50"/>
      <c r="AB160" s="42"/>
      <c r="AC160" s="55"/>
      <c r="AD160" s="55"/>
      <c r="AE160" s="238"/>
      <c r="AF160" s="231">
        <f>P160+D160+H160+L160+T160+X160+AB160</f>
        <v>0</v>
      </c>
      <c r="AG160" s="147">
        <f t="shared" si="55"/>
        <v>0</v>
      </c>
      <c r="AH160" s="147">
        <f t="shared" si="56"/>
        <v>0</v>
      </c>
      <c r="AI160" s="233">
        <f t="shared" si="57"/>
        <v>0</v>
      </c>
      <c r="AJ160" s="241">
        <f>AF160*2+AG160*2.5+AH160*2.5+AI160*2.5</f>
        <v>0</v>
      </c>
      <c r="AK160" s="154"/>
    </row>
    <row r="161" spans="1:37" ht="13.5" thickBot="1" x14ac:dyDescent="0.25">
      <c r="A161" s="365"/>
      <c r="B161" s="23"/>
      <c r="C161" s="12"/>
      <c r="D161" s="52"/>
      <c r="E161" s="53"/>
      <c r="F161" s="53"/>
      <c r="G161" s="54"/>
      <c r="H161" s="52"/>
      <c r="I161" s="53"/>
      <c r="J161" s="53"/>
      <c r="K161" s="54"/>
      <c r="L161" s="52"/>
      <c r="M161" s="53"/>
      <c r="N161" s="53"/>
      <c r="O161" s="54"/>
      <c r="P161" s="52"/>
      <c r="Q161" s="53"/>
      <c r="R161" s="53"/>
      <c r="S161" s="54"/>
      <c r="T161" s="52"/>
      <c r="U161" s="53"/>
      <c r="V161" s="53"/>
      <c r="W161" s="54"/>
      <c r="X161" s="52"/>
      <c r="Y161" s="53"/>
      <c r="Z161" s="53"/>
      <c r="AA161" s="54"/>
      <c r="AB161" s="52"/>
      <c r="AC161" s="53"/>
      <c r="AD161" s="53"/>
      <c r="AE161" s="274"/>
      <c r="AF161" s="258"/>
      <c r="AG161" s="259"/>
      <c r="AH161" s="259"/>
      <c r="AI161" s="260"/>
      <c r="AJ161" s="266"/>
      <c r="AK161" s="181"/>
    </row>
    <row r="162" spans="1:37" ht="13.5" customHeight="1" x14ac:dyDescent="0.2">
      <c r="A162" s="364" t="s">
        <v>20</v>
      </c>
      <c r="B162" s="5" t="s">
        <v>15</v>
      </c>
      <c r="C162" s="15"/>
      <c r="D162" s="97"/>
      <c r="E162" s="43"/>
      <c r="F162" s="43"/>
      <c r="G162" s="44"/>
      <c r="H162" s="97"/>
      <c r="I162" s="43"/>
      <c r="J162" s="43"/>
      <c r="K162" s="44"/>
      <c r="L162" s="97"/>
      <c r="M162" s="43"/>
      <c r="N162" s="43"/>
      <c r="O162" s="44"/>
      <c r="P162" s="97"/>
      <c r="Q162" s="43"/>
      <c r="R162" s="43"/>
      <c r="S162" s="44"/>
      <c r="T162" s="97"/>
      <c r="U162" s="43"/>
      <c r="V162" s="43"/>
      <c r="W162" s="44"/>
      <c r="X162" s="97"/>
      <c r="Y162" s="43"/>
      <c r="Z162" s="43"/>
      <c r="AA162" s="44"/>
      <c r="AB162" s="97"/>
      <c r="AC162" s="43"/>
      <c r="AD162" s="43"/>
      <c r="AE162" s="237"/>
      <c r="AF162" s="228">
        <f>H162+L162+P162+T162+X162+AB162</f>
        <v>0</v>
      </c>
      <c r="AG162" s="229">
        <f t="shared" ref="AG162:AG163" si="58">E162+I162+M162+Q162+U162+Y162+AC162</f>
        <v>0</v>
      </c>
      <c r="AH162" s="229">
        <f t="shared" ref="AH162:AH163" si="59">F162+J162+N162+R162+V162+Z162+AD162</f>
        <v>0</v>
      </c>
      <c r="AI162" s="230">
        <f t="shared" ref="AI162:AI163" si="60">G162+K162+O162+S162+W162+AA162+AE162</f>
        <v>0</v>
      </c>
      <c r="AJ162" s="332">
        <f>AF162*2+AG162*2.5+AH162*2.5+AI162*2.5</f>
        <v>0</v>
      </c>
      <c r="AK162" s="316"/>
    </row>
    <row r="163" spans="1:37" x14ac:dyDescent="0.2">
      <c r="A163" s="365"/>
      <c r="B163" s="9" t="s">
        <v>16</v>
      </c>
      <c r="C163" s="25"/>
      <c r="D163" s="42"/>
      <c r="E163" s="55"/>
      <c r="F163" s="55"/>
      <c r="G163" s="50"/>
      <c r="H163" s="42"/>
      <c r="I163" s="55"/>
      <c r="J163" s="55"/>
      <c r="K163" s="50"/>
      <c r="L163" s="42"/>
      <c r="M163" s="55"/>
      <c r="N163" s="55"/>
      <c r="O163" s="50"/>
      <c r="P163" s="42"/>
      <c r="Q163" s="55"/>
      <c r="R163" s="55"/>
      <c r="S163" s="50"/>
      <c r="T163" s="42"/>
      <c r="U163" s="55"/>
      <c r="V163" s="55"/>
      <c r="W163" s="50"/>
      <c r="X163" s="42"/>
      <c r="Y163" s="55"/>
      <c r="Z163" s="55"/>
      <c r="AA163" s="50"/>
      <c r="AB163" s="42"/>
      <c r="AC163" s="55"/>
      <c r="AD163" s="55"/>
      <c r="AE163" s="238"/>
      <c r="AF163" s="231">
        <f>H163+L163+P163+T163+X163+AB163</f>
        <v>0</v>
      </c>
      <c r="AG163" s="147">
        <f t="shared" si="58"/>
        <v>0</v>
      </c>
      <c r="AH163" s="147">
        <f t="shared" si="59"/>
        <v>0</v>
      </c>
      <c r="AI163" s="146">
        <f t="shared" si="60"/>
        <v>0</v>
      </c>
      <c r="AJ163" s="180">
        <f>AF163*2+AG163*2.5+AH163*2.5+AI163*2.5</f>
        <v>0</v>
      </c>
      <c r="AK163" s="317"/>
    </row>
    <row r="164" spans="1:37" ht="13.5" thickBot="1" x14ac:dyDescent="0.25">
      <c r="A164" s="365"/>
      <c r="B164" s="23"/>
      <c r="C164" s="23"/>
      <c r="D164" s="57"/>
      <c r="E164" s="58"/>
      <c r="F164" s="58"/>
      <c r="G164" s="59"/>
      <c r="H164" s="57"/>
      <c r="I164" s="58"/>
      <c r="J164" s="58"/>
      <c r="K164" s="59"/>
      <c r="L164" s="57"/>
      <c r="M164" s="58"/>
      <c r="N164" s="58"/>
      <c r="O164" s="59"/>
      <c r="P164" s="57"/>
      <c r="Q164" s="58"/>
      <c r="R164" s="58"/>
      <c r="S164" s="59"/>
      <c r="T164" s="57"/>
      <c r="U164" s="58"/>
      <c r="V164" s="58"/>
      <c r="W164" s="59"/>
      <c r="X164" s="57"/>
      <c r="Y164" s="58"/>
      <c r="Z164" s="58"/>
      <c r="AA164" s="59"/>
      <c r="AB164" s="57"/>
      <c r="AC164" s="58"/>
      <c r="AD164" s="58"/>
      <c r="AE164" s="253"/>
      <c r="AF164" s="234"/>
      <c r="AG164" s="264"/>
      <c r="AH164" s="264"/>
      <c r="AI164" s="265"/>
      <c r="AJ164" s="333"/>
      <c r="AK164" s="318"/>
    </row>
    <row r="165" spans="1:37" ht="13.5" customHeight="1" x14ac:dyDescent="0.2">
      <c r="A165" s="364" t="s">
        <v>21</v>
      </c>
      <c r="B165" s="5" t="s">
        <v>15</v>
      </c>
      <c r="C165" s="5"/>
      <c r="D165" s="97"/>
      <c r="E165" s="43"/>
      <c r="F165" s="43"/>
      <c r="G165" s="44"/>
      <c r="H165" s="97"/>
      <c r="I165" s="43"/>
      <c r="J165" s="43"/>
      <c r="K165" s="44"/>
      <c r="L165" s="97"/>
      <c r="M165" s="43"/>
      <c r="N165" s="43"/>
      <c r="O165" s="44"/>
      <c r="P165" s="97"/>
      <c r="Q165" s="43"/>
      <c r="R165" s="43"/>
      <c r="S165" s="44"/>
      <c r="T165" s="97"/>
      <c r="U165" s="43"/>
      <c r="V165" s="43"/>
      <c r="W165" s="44"/>
      <c r="X165" s="97"/>
      <c r="Y165" s="43"/>
      <c r="Z165" s="43"/>
      <c r="AA165" s="44"/>
      <c r="AB165" s="97"/>
      <c r="AC165" s="43"/>
      <c r="AD165" s="43"/>
      <c r="AE165" s="237"/>
      <c r="AF165" s="228">
        <f>D165</f>
        <v>0</v>
      </c>
      <c r="AG165" s="254">
        <f t="shared" ref="AG165:AG166" si="61">E165+I165+M165+Q165+U165+Y165+AC165</f>
        <v>0</v>
      </c>
      <c r="AH165" s="255">
        <f t="shared" ref="AH165:AH166" si="62">F165+J165+N165+R165+V165+Z165+AD165</f>
        <v>0</v>
      </c>
      <c r="AI165" s="256">
        <f t="shared" ref="AI165:AI166" si="63">G165+K165+O165+S165+W165+AA165+AE165</f>
        <v>0</v>
      </c>
      <c r="AJ165" s="334">
        <f>AF165*2+AG165*2.5+AH165*2.5+AI165*2.5</f>
        <v>0</v>
      </c>
      <c r="AK165" s="182"/>
    </row>
    <row r="166" spans="1:37" x14ac:dyDescent="0.2">
      <c r="A166" s="365"/>
      <c r="B166" s="23" t="s">
        <v>16</v>
      </c>
      <c r="C166" s="109"/>
      <c r="D166" s="42"/>
      <c r="E166" s="55"/>
      <c r="F166" s="55"/>
      <c r="G166" s="50"/>
      <c r="H166" s="42"/>
      <c r="I166" s="55"/>
      <c r="J166" s="55"/>
      <c r="K166" s="50"/>
      <c r="L166" s="42"/>
      <c r="M166" s="55"/>
      <c r="N166" s="55"/>
      <c r="O166" s="50"/>
      <c r="P166" s="42"/>
      <c r="Q166" s="55"/>
      <c r="R166" s="55"/>
      <c r="S166" s="50"/>
      <c r="T166" s="42"/>
      <c r="U166" s="55"/>
      <c r="V166" s="55"/>
      <c r="W166" s="50"/>
      <c r="X166" s="42"/>
      <c r="Y166" s="55"/>
      <c r="Z166" s="55"/>
      <c r="AA166" s="50"/>
      <c r="AB166" s="42"/>
      <c r="AC166" s="55"/>
      <c r="AD166" s="55"/>
      <c r="AE166" s="238"/>
      <c r="AF166" s="257">
        <f>D166</f>
        <v>0</v>
      </c>
      <c r="AG166" s="147">
        <f t="shared" si="61"/>
        <v>0</v>
      </c>
      <c r="AH166" s="147">
        <f t="shared" si="62"/>
        <v>0</v>
      </c>
      <c r="AI166" s="146">
        <f t="shared" si="63"/>
        <v>0</v>
      </c>
      <c r="AJ166" s="335">
        <f>AF166*2+AG166*2.5+AH166*2.5+AI166*2.5</f>
        <v>0</v>
      </c>
      <c r="AK166" s="25"/>
    </row>
    <row r="167" spans="1:37" ht="13.5" thickBot="1" x14ac:dyDescent="0.25">
      <c r="A167" s="366"/>
      <c r="B167" s="17"/>
      <c r="C167" s="17"/>
      <c r="D167" s="57"/>
      <c r="E167" s="58"/>
      <c r="F167" s="58"/>
      <c r="G167" s="59"/>
      <c r="H167" s="57"/>
      <c r="I167" s="58"/>
      <c r="J167" s="58"/>
      <c r="K167" s="59"/>
      <c r="L167" s="57"/>
      <c r="M167" s="58"/>
      <c r="N167" s="58"/>
      <c r="O167" s="59"/>
      <c r="P167" s="57"/>
      <c r="Q167" s="58"/>
      <c r="R167" s="58"/>
      <c r="S167" s="59"/>
      <c r="T167" s="57"/>
      <c r="U167" s="58"/>
      <c r="V167" s="58"/>
      <c r="W167" s="59"/>
      <c r="X167" s="57"/>
      <c r="Y167" s="58"/>
      <c r="Z167" s="58"/>
      <c r="AA167" s="59"/>
      <c r="AB167" s="57"/>
      <c r="AC167" s="58"/>
      <c r="AD167" s="58"/>
      <c r="AE167" s="253"/>
      <c r="AF167" s="258"/>
      <c r="AG167" s="259"/>
      <c r="AH167" s="259"/>
      <c r="AI167" s="260"/>
      <c r="AJ167" s="336"/>
      <c r="AK167" s="61"/>
    </row>
    <row r="168" spans="1:37" ht="13.5" customHeight="1" x14ac:dyDescent="0.2">
      <c r="A168" s="364" t="s">
        <v>44</v>
      </c>
      <c r="B168" s="5" t="s">
        <v>15</v>
      </c>
      <c r="C168" s="5"/>
      <c r="D168" s="97"/>
      <c r="E168" s="43"/>
      <c r="F168" s="43"/>
      <c r="G168" s="44"/>
      <c r="H168" s="97"/>
      <c r="I168" s="43"/>
      <c r="J168" s="43"/>
      <c r="K168" s="44"/>
      <c r="L168" s="97"/>
      <c r="M168" s="43"/>
      <c r="N168" s="43"/>
      <c r="O168" s="44"/>
      <c r="P168" s="97"/>
      <c r="Q168" s="43"/>
      <c r="R168" s="43"/>
      <c r="S168" s="44"/>
      <c r="T168" s="97"/>
      <c r="U168" s="43"/>
      <c r="V168" s="43"/>
      <c r="W168" s="44"/>
      <c r="X168" s="97"/>
      <c r="Y168" s="43"/>
      <c r="Z168" s="43"/>
      <c r="AA168" s="44"/>
      <c r="AB168" s="97"/>
      <c r="AC168" s="43"/>
      <c r="AD168" s="43"/>
      <c r="AE168" s="237"/>
      <c r="AF168" s="250">
        <f>P168+D168+H168+L168+T168+X168+AB168</f>
        <v>0</v>
      </c>
      <c r="AG168" s="251">
        <f t="shared" ref="AG168:AG169" si="64">E168+I168+M168+Q168+U168+Y168+AC168</f>
        <v>0</v>
      </c>
      <c r="AH168" s="251">
        <f t="shared" ref="AH168:AH169" si="65">F168+J168+N168+R168+V168+Z168+AD168</f>
        <v>0</v>
      </c>
      <c r="AI168" s="252">
        <f t="shared" ref="AI168:AI169" si="66">G168+K168+O168+S168+W168+AA168+AE168</f>
        <v>0</v>
      </c>
      <c r="AJ168" s="240">
        <f>AF168*2+AG168*2.5+AH168*2.5+AI168*2.5</f>
        <v>0</v>
      </c>
      <c r="AK168" s="143"/>
    </row>
    <row r="169" spans="1:37" x14ac:dyDescent="0.2">
      <c r="A169" s="365"/>
      <c r="B169" s="23" t="s">
        <v>16</v>
      </c>
      <c r="C169" s="23"/>
      <c r="D169" s="42"/>
      <c r="E169" s="55"/>
      <c r="F169" s="55"/>
      <c r="G169" s="50"/>
      <c r="H169" s="42"/>
      <c r="I169" s="55"/>
      <c r="J169" s="55"/>
      <c r="K169" s="50"/>
      <c r="L169" s="42"/>
      <c r="M169" s="55"/>
      <c r="N169" s="55"/>
      <c r="O169" s="50"/>
      <c r="P169" s="42"/>
      <c r="Q169" s="55"/>
      <c r="R169" s="55"/>
      <c r="S169" s="50"/>
      <c r="T169" s="42"/>
      <c r="U169" s="55"/>
      <c r="V169" s="55"/>
      <c r="W169" s="50"/>
      <c r="X169" s="42"/>
      <c r="Y169" s="55"/>
      <c r="Z169" s="55"/>
      <c r="AA169" s="50"/>
      <c r="AB169" s="42"/>
      <c r="AC169" s="55"/>
      <c r="AD169" s="55"/>
      <c r="AE169" s="238"/>
      <c r="AF169" s="231">
        <f>P169+D169+H169+L169+T169+X169+AB169</f>
        <v>0</v>
      </c>
      <c r="AG169" s="232">
        <f t="shared" si="64"/>
        <v>0</v>
      </c>
      <c r="AH169" s="232">
        <f t="shared" si="65"/>
        <v>0</v>
      </c>
      <c r="AI169" s="233">
        <f t="shared" si="66"/>
        <v>0</v>
      </c>
      <c r="AJ169" s="241">
        <f>AF169*2+AG169*2.5+AH169*2.5+AI169*2.5</f>
        <v>0</v>
      </c>
      <c r="AK169" s="159"/>
    </row>
    <row r="170" spans="1:37" ht="13.5" thickBot="1" x14ac:dyDescent="0.25">
      <c r="A170" s="366"/>
      <c r="B170" s="17"/>
      <c r="C170" s="26"/>
      <c r="D170" s="57"/>
      <c r="E170" s="58"/>
      <c r="F170" s="58"/>
      <c r="G170" s="59"/>
      <c r="H170" s="57"/>
      <c r="I170" s="58"/>
      <c r="J170" s="58"/>
      <c r="K170" s="59"/>
      <c r="L170" s="57"/>
      <c r="M170" s="58"/>
      <c r="N170" s="58"/>
      <c r="O170" s="59"/>
      <c r="P170" s="57"/>
      <c r="Q170" s="58"/>
      <c r="R170" s="58"/>
      <c r="S170" s="59"/>
      <c r="T170" s="57"/>
      <c r="U170" s="58"/>
      <c r="V170" s="58"/>
      <c r="W170" s="59"/>
      <c r="X170" s="57"/>
      <c r="Y170" s="58"/>
      <c r="Z170" s="58"/>
      <c r="AA170" s="59"/>
      <c r="AB170" s="57"/>
      <c r="AC170" s="58"/>
      <c r="AD170" s="58"/>
      <c r="AE170" s="239"/>
      <c r="AF170" s="242"/>
      <c r="AG170" s="235"/>
      <c r="AH170" s="235"/>
      <c r="AI170" s="236"/>
      <c r="AJ170" s="243"/>
      <c r="AK170" s="157"/>
    </row>
    <row r="171" spans="1:37" ht="12.75" customHeight="1" x14ac:dyDescent="0.2">
      <c r="A171" s="364" t="s">
        <v>23</v>
      </c>
      <c r="B171" s="5" t="s">
        <v>15</v>
      </c>
      <c r="C171" s="5"/>
      <c r="D171" s="97"/>
      <c r="E171" s="43"/>
      <c r="F171" s="43"/>
      <c r="G171" s="44"/>
      <c r="H171" s="97"/>
      <c r="I171" s="43"/>
      <c r="J171" s="43"/>
      <c r="K171" s="44"/>
      <c r="L171" s="97"/>
      <c r="M171" s="43"/>
      <c r="N171" s="43"/>
      <c r="O171" s="44"/>
      <c r="P171" s="97"/>
      <c r="Q171" s="43"/>
      <c r="R171" s="43"/>
      <c r="S171" s="44"/>
      <c r="T171" s="97"/>
      <c r="U171" s="43"/>
      <c r="V171" s="43"/>
      <c r="W171" s="44"/>
      <c r="X171" s="97"/>
      <c r="Y171" s="43"/>
      <c r="Z171" s="43"/>
      <c r="AA171" s="44"/>
      <c r="AB171" s="97"/>
      <c r="AC171" s="43"/>
      <c r="AD171" s="43"/>
      <c r="AE171" s="44"/>
      <c r="AF171" s="97">
        <f>P171+D171+H171+L171+T171+X171+AB171</f>
        <v>0</v>
      </c>
      <c r="AG171" s="285">
        <f t="shared" ref="AG171:AG172" si="67">E171+I171+M171+Q171+U171+Y171+AC171</f>
        <v>0</v>
      </c>
      <c r="AH171" s="285">
        <f t="shared" ref="AH171:AH172" si="68">F171+J171+N171+R171+V171+Z171+AD171</f>
        <v>0</v>
      </c>
      <c r="AI171" s="286">
        <f t="shared" ref="AI171:AI172" si="69">G171+K171+O171+S171+W171+AA171+AE171</f>
        <v>0</v>
      </c>
      <c r="AJ171" s="337">
        <f>AF171*2+AG171*2.5+AH171*2.5+AI171*2.5</f>
        <v>0</v>
      </c>
      <c r="AK171" s="15"/>
    </row>
    <row r="172" spans="1:37" x14ac:dyDescent="0.2">
      <c r="A172" s="365"/>
      <c r="B172" s="9" t="s">
        <v>16</v>
      </c>
      <c r="C172" s="9"/>
      <c r="D172" s="42"/>
      <c r="E172" s="55"/>
      <c r="F172" s="55"/>
      <c r="G172" s="50"/>
      <c r="H172" s="42"/>
      <c r="I172" s="55"/>
      <c r="J172" s="55"/>
      <c r="K172" s="50"/>
      <c r="L172" s="42"/>
      <c r="M172" s="55"/>
      <c r="N172" s="55"/>
      <c r="O172" s="50"/>
      <c r="P172" s="42"/>
      <c r="Q172" s="55"/>
      <c r="R172" s="55"/>
      <c r="S172" s="50"/>
      <c r="T172" s="42"/>
      <c r="U172" s="55"/>
      <c r="V172" s="55"/>
      <c r="W172" s="50"/>
      <c r="X172" s="42"/>
      <c r="Y172" s="55"/>
      <c r="Z172" s="55"/>
      <c r="AA172" s="50"/>
      <c r="AB172" s="42"/>
      <c r="AC172" s="55"/>
      <c r="AD172" s="55"/>
      <c r="AE172" s="50"/>
      <c r="AF172" s="287">
        <f>P172+D172+H172+L172+T172+X172+AB172</f>
        <v>0</v>
      </c>
      <c r="AG172" s="288">
        <f t="shared" si="67"/>
        <v>0</v>
      </c>
      <c r="AH172" s="288">
        <f t="shared" si="68"/>
        <v>0</v>
      </c>
      <c r="AI172" s="338">
        <f t="shared" si="69"/>
        <v>0</v>
      </c>
      <c r="AJ172" s="339">
        <f>AF172*2+AG172*2.5+AH172*2.5+AI172*2.5</f>
        <v>0</v>
      </c>
      <c r="AK172" s="63"/>
    </row>
    <row r="173" spans="1:37" ht="13.5" thickBot="1" x14ac:dyDescent="0.25">
      <c r="A173" s="366"/>
      <c r="B173" s="17"/>
      <c r="C173" s="26"/>
      <c r="D173" s="57"/>
      <c r="E173" s="58"/>
      <c r="F173" s="58"/>
      <c r="G173" s="59"/>
      <c r="H173" s="57"/>
      <c r="I173" s="58"/>
      <c r="J173" s="58"/>
      <c r="K173" s="59"/>
      <c r="L173" s="57"/>
      <c r="M173" s="58"/>
      <c r="N173" s="58"/>
      <c r="O173" s="59"/>
      <c r="P173" s="57"/>
      <c r="Q173" s="58"/>
      <c r="R173" s="58"/>
      <c r="S173" s="59"/>
      <c r="T173" s="57"/>
      <c r="U173" s="58"/>
      <c r="V173" s="58"/>
      <c r="W173" s="59"/>
      <c r="X173" s="57"/>
      <c r="Y173" s="58"/>
      <c r="Z173" s="58"/>
      <c r="AA173" s="59"/>
      <c r="AB173" s="57"/>
      <c r="AC173" s="58"/>
      <c r="AD173" s="58"/>
      <c r="AE173" s="59"/>
      <c r="AF173" s="340"/>
      <c r="AG173" s="341"/>
      <c r="AH173" s="341"/>
      <c r="AI173" s="342"/>
      <c r="AJ173" s="343"/>
      <c r="AK173" s="64"/>
    </row>
    <row r="174" spans="1:37" ht="13.5" customHeight="1" x14ac:dyDescent="0.2">
      <c r="A174" s="364" t="s">
        <v>24</v>
      </c>
      <c r="B174" s="5" t="s">
        <v>15</v>
      </c>
      <c r="C174" s="5"/>
      <c r="D174" s="97"/>
      <c r="E174" s="43"/>
      <c r="F174" s="43"/>
      <c r="G174" s="44"/>
      <c r="H174" s="97"/>
      <c r="I174" s="43"/>
      <c r="J174" s="43"/>
      <c r="K174" s="44"/>
      <c r="L174" s="97"/>
      <c r="M174" s="43"/>
      <c r="N174" s="43"/>
      <c r="O174" s="44"/>
      <c r="P174" s="97"/>
      <c r="Q174" s="43"/>
      <c r="R174" s="43"/>
      <c r="S174" s="44"/>
      <c r="T174" s="97"/>
      <c r="U174" s="43"/>
      <c r="V174" s="43"/>
      <c r="W174" s="44"/>
      <c r="X174" s="97"/>
      <c r="Y174" s="43"/>
      <c r="Z174" s="43"/>
      <c r="AA174" s="44"/>
      <c r="AB174" s="97"/>
      <c r="AC174" s="43"/>
      <c r="AD174" s="43"/>
      <c r="AE174" s="237"/>
      <c r="AF174" s="228">
        <f>P174+L174+T174+X174+AB174+H174+D174</f>
        <v>0</v>
      </c>
      <c r="AG174" s="229">
        <f t="shared" ref="AG174:AG175" si="70">E174+I174+M174+Q174+U174+Y174+AC174</f>
        <v>0</v>
      </c>
      <c r="AH174" s="229">
        <f t="shared" ref="AH174:AH175" si="71">F174+J174+N174+R174+V174+Z174+AD174</f>
        <v>0</v>
      </c>
      <c r="AI174" s="230">
        <f t="shared" ref="AI174:AI175" si="72">G174+K174+O174+S174+W174+AA174+AE174</f>
        <v>0</v>
      </c>
      <c r="AJ174" s="315">
        <f>AF174*2+AG174*2.5+AH174*2.5+AI174*2.5</f>
        <v>0</v>
      </c>
      <c r="AK174" s="143"/>
    </row>
    <row r="175" spans="1:37" x14ac:dyDescent="0.2">
      <c r="A175" s="365"/>
      <c r="B175" s="9" t="s">
        <v>16</v>
      </c>
      <c r="C175" s="9"/>
      <c r="D175" s="42"/>
      <c r="E175" s="55"/>
      <c r="F175" s="55"/>
      <c r="G175" s="50"/>
      <c r="H175" s="42"/>
      <c r="I175" s="55"/>
      <c r="J175" s="55"/>
      <c r="K175" s="50"/>
      <c r="L175" s="42"/>
      <c r="M175" s="55"/>
      <c r="N175" s="55"/>
      <c r="O175" s="50"/>
      <c r="P175" s="47"/>
      <c r="Q175" s="48"/>
      <c r="R175" s="48"/>
      <c r="S175" s="49"/>
      <c r="T175" s="47"/>
      <c r="U175" s="48"/>
      <c r="V175" s="48"/>
      <c r="W175" s="49"/>
      <c r="X175" s="47"/>
      <c r="Y175" s="48"/>
      <c r="Z175" s="48"/>
      <c r="AA175" s="49"/>
      <c r="AB175" s="47"/>
      <c r="AC175" s="48"/>
      <c r="AD175" s="48"/>
      <c r="AE175" s="244"/>
      <c r="AF175" s="231">
        <f>P175+L175+T175+X175+AB175+H175+D175</f>
        <v>0</v>
      </c>
      <c r="AG175" s="232">
        <f t="shared" si="70"/>
        <v>0</v>
      </c>
      <c r="AH175" s="232">
        <f t="shared" si="71"/>
        <v>0</v>
      </c>
      <c r="AI175" s="233">
        <f t="shared" si="72"/>
        <v>0</v>
      </c>
      <c r="AJ175" s="330">
        <f>AF175*2+AG175*2.5+AH175*2.5+AI175*2.5</f>
        <v>0</v>
      </c>
      <c r="AK175" s="161"/>
    </row>
    <row r="176" spans="1:37" ht="13.5" thickBot="1" x14ac:dyDescent="0.25">
      <c r="A176" s="366"/>
      <c r="B176" s="17"/>
      <c r="C176" s="9"/>
      <c r="D176" s="57"/>
      <c r="E176" s="58"/>
      <c r="F176" s="58"/>
      <c r="G176" s="59"/>
      <c r="H176" s="57"/>
      <c r="I176" s="58"/>
      <c r="J176" s="58"/>
      <c r="K176" s="59"/>
      <c r="L176" s="57"/>
      <c r="M176" s="58"/>
      <c r="N176" s="58"/>
      <c r="O176" s="59"/>
      <c r="P176" s="57"/>
      <c r="Q176" s="58"/>
      <c r="R176" s="58"/>
      <c r="S176" s="59"/>
      <c r="T176" s="57"/>
      <c r="U176" s="58"/>
      <c r="V176" s="58"/>
      <c r="W176" s="59"/>
      <c r="X176" s="57"/>
      <c r="Y176" s="58"/>
      <c r="Z176" s="58"/>
      <c r="AA176" s="59"/>
      <c r="AB176" s="57"/>
      <c r="AC176" s="58"/>
      <c r="AD176" s="58"/>
      <c r="AE176" s="239"/>
      <c r="AF176" s="242"/>
      <c r="AG176" s="235"/>
      <c r="AH176" s="235"/>
      <c r="AI176" s="236"/>
      <c r="AJ176" s="344"/>
      <c r="AK176" s="155"/>
    </row>
    <row r="177" spans="1:37" ht="12.75" customHeight="1" x14ac:dyDescent="0.2">
      <c r="A177" s="364" t="s">
        <v>25</v>
      </c>
      <c r="B177" s="5" t="s">
        <v>15</v>
      </c>
      <c r="C177" s="6"/>
      <c r="D177" s="97"/>
      <c r="E177" s="43"/>
      <c r="F177" s="43"/>
      <c r="G177" s="44"/>
      <c r="H177" s="97"/>
      <c r="I177" s="43"/>
      <c r="J177" s="43"/>
      <c r="K177" s="44"/>
      <c r="L177" s="97"/>
      <c r="M177" s="43"/>
      <c r="N177" s="43"/>
      <c r="O177" s="44"/>
      <c r="P177" s="97"/>
      <c r="Q177" s="43"/>
      <c r="R177" s="43"/>
      <c r="S177" s="44"/>
      <c r="T177" s="97"/>
      <c r="U177" s="43"/>
      <c r="V177" s="43"/>
      <c r="W177" s="44"/>
      <c r="X177" s="97"/>
      <c r="Y177" s="43"/>
      <c r="Z177" s="43"/>
      <c r="AA177" s="44"/>
      <c r="AB177" s="97"/>
      <c r="AC177" s="43"/>
      <c r="AD177" s="43"/>
      <c r="AE177" s="44"/>
      <c r="AF177" s="42">
        <f>H177+L177+P177+T177+X177</f>
        <v>0</v>
      </c>
      <c r="AG177" s="55">
        <f t="shared" ref="AG177:AG178" si="73">E177+I177+M177+Q177+U177+Y177+AC177</f>
        <v>0</v>
      </c>
      <c r="AH177" s="134">
        <f t="shared" ref="AH177:AH178" si="74">F177+J177+N177+R177+V177+Z177+AD177</f>
        <v>0</v>
      </c>
      <c r="AI177" s="135">
        <f t="shared" ref="AI177:AI178" si="75">G177+K177+O177+S177+W177+AA177+AE177</f>
        <v>0</v>
      </c>
      <c r="AJ177" s="45">
        <f>AF177*2+AG177*2.5+AH177*2.5+AI177*2.5</f>
        <v>0</v>
      </c>
      <c r="AK177" s="95"/>
    </row>
    <row r="178" spans="1:37" x14ac:dyDescent="0.2">
      <c r="A178" s="365"/>
      <c r="B178" s="9" t="s">
        <v>16</v>
      </c>
      <c r="C178" s="10"/>
      <c r="D178" s="42"/>
      <c r="E178" s="55"/>
      <c r="F178" s="55"/>
      <c r="G178" s="50"/>
      <c r="H178" s="42"/>
      <c r="I178" s="55"/>
      <c r="J178" s="55"/>
      <c r="K178" s="50"/>
      <c r="L178" s="42"/>
      <c r="M178" s="55"/>
      <c r="N178" s="55"/>
      <c r="O178" s="50"/>
      <c r="P178" s="42"/>
      <c r="Q178" s="55"/>
      <c r="R178" s="55"/>
      <c r="S178" s="50"/>
      <c r="T178" s="42"/>
      <c r="U178" s="55"/>
      <c r="V178" s="55"/>
      <c r="W178" s="50"/>
      <c r="X178" s="42"/>
      <c r="Y178" s="55"/>
      <c r="Z178" s="55"/>
      <c r="AA178" s="50"/>
      <c r="AB178" s="42"/>
      <c r="AC178" s="55"/>
      <c r="AD178" s="55"/>
      <c r="AE178" s="50"/>
      <c r="AF178" s="42">
        <f>H178+L178+P178+T178+X178</f>
        <v>0</v>
      </c>
      <c r="AG178" s="55">
        <f t="shared" si="73"/>
        <v>0</v>
      </c>
      <c r="AH178" s="55">
        <f t="shared" si="74"/>
        <v>0</v>
      </c>
      <c r="AI178" s="50">
        <f t="shared" si="75"/>
        <v>0</v>
      </c>
      <c r="AJ178" s="45">
        <f>AF178*2+AG178*2.5+AH178*2.5+AI178*2.5</f>
        <v>0</v>
      </c>
      <c r="AK178" s="60"/>
    </row>
    <row r="179" spans="1:37" ht="13.5" thickBot="1" x14ac:dyDescent="0.25">
      <c r="A179" s="366"/>
      <c r="B179" s="11"/>
      <c r="C179" s="11"/>
      <c r="D179" s="57"/>
      <c r="E179" s="58"/>
      <c r="F179" s="58"/>
      <c r="G179" s="59"/>
      <c r="H179" s="57"/>
      <c r="I179" s="58"/>
      <c r="J179" s="58"/>
      <c r="K179" s="59"/>
      <c r="L179" s="57"/>
      <c r="M179" s="58"/>
      <c r="N179" s="58"/>
      <c r="O179" s="59"/>
      <c r="P179" s="57"/>
      <c r="Q179" s="58"/>
      <c r="R179" s="58"/>
      <c r="S179" s="59"/>
      <c r="T179" s="57"/>
      <c r="U179" s="58"/>
      <c r="V179" s="58"/>
      <c r="W179" s="59"/>
      <c r="X179" s="57"/>
      <c r="Y179" s="58"/>
      <c r="Z179" s="58"/>
      <c r="AA179" s="59"/>
      <c r="AB179" s="57"/>
      <c r="AC179" s="58"/>
      <c r="AD179" s="58"/>
      <c r="AE179" s="59"/>
      <c r="AF179" s="131"/>
      <c r="AG179" s="132"/>
      <c r="AH179" s="132"/>
      <c r="AI179" s="133"/>
      <c r="AJ179" s="160"/>
      <c r="AK179" s="61"/>
    </row>
    <row r="180" spans="1:37" ht="13.5" customHeight="1" x14ac:dyDescent="0.2">
      <c r="A180" s="364" t="s">
        <v>26</v>
      </c>
      <c r="B180" s="5" t="s">
        <v>15</v>
      </c>
      <c r="C180" s="9"/>
      <c r="D180" s="97"/>
      <c r="E180" s="43"/>
      <c r="F180" s="43"/>
      <c r="G180" s="44"/>
      <c r="H180" s="97"/>
      <c r="I180" s="43"/>
      <c r="J180" s="43"/>
      <c r="K180" s="44"/>
      <c r="L180" s="97"/>
      <c r="M180" s="43"/>
      <c r="N180" s="43"/>
      <c r="O180" s="44"/>
      <c r="P180" s="97"/>
      <c r="Q180" s="43"/>
      <c r="R180" s="43"/>
      <c r="S180" s="44"/>
      <c r="T180" s="97"/>
      <c r="U180" s="43"/>
      <c r="V180" s="43"/>
      <c r="W180" s="44"/>
      <c r="X180" s="97"/>
      <c r="Y180" s="43"/>
      <c r="Z180" s="43"/>
      <c r="AA180" s="44"/>
      <c r="AB180" s="97"/>
      <c r="AC180" s="43"/>
      <c r="AD180" s="43"/>
      <c r="AE180" s="237"/>
      <c r="AF180" s="228">
        <v>0</v>
      </c>
      <c r="AG180" s="229">
        <f t="shared" ref="AG180:AG181" si="76">E180+I180+M180+Q180+U180+Y180+AC180</f>
        <v>0</v>
      </c>
      <c r="AH180" s="229">
        <f t="shared" ref="AH180:AH181" si="77">F180+J180+N180+R180+V180+Z180+AD180</f>
        <v>0</v>
      </c>
      <c r="AI180" s="230">
        <f t="shared" ref="AI180:AI181" si="78">G180+K180+O180+S180+W180+AA180+AE180</f>
        <v>0</v>
      </c>
      <c r="AJ180" s="240">
        <f>AF180*2+AG180*2.5+AH180*2.5+AI180*2.5</f>
        <v>0</v>
      </c>
      <c r="AK180" s="143"/>
    </row>
    <row r="181" spans="1:37" x14ac:dyDescent="0.2">
      <c r="A181" s="365"/>
      <c r="B181" s="9" t="s">
        <v>16</v>
      </c>
      <c r="C181" s="9"/>
      <c r="D181" s="42"/>
      <c r="E181" s="55"/>
      <c r="F181" s="55"/>
      <c r="G181" s="50"/>
      <c r="H181" s="42"/>
      <c r="I181" s="55"/>
      <c r="J181" s="55"/>
      <c r="K181" s="50"/>
      <c r="L181" s="42"/>
      <c r="M181" s="55"/>
      <c r="N181" s="55"/>
      <c r="O181" s="50"/>
      <c r="P181" s="42"/>
      <c r="Q181" s="55"/>
      <c r="R181" s="55"/>
      <c r="S181" s="50"/>
      <c r="T181" s="42"/>
      <c r="U181" s="55"/>
      <c r="V181" s="55"/>
      <c r="W181" s="50"/>
      <c r="X181" s="42"/>
      <c r="Y181" s="55"/>
      <c r="Z181" s="55"/>
      <c r="AA181" s="50"/>
      <c r="AB181" s="42"/>
      <c r="AC181" s="55"/>
      <c r="AD181" s="55"/>
      <c r="AE181" s="238"/>
      <c r="AF181" s="231">
        <v>0</v>
      </c>
      <c r="AG181" s="232">
        <f t="shared" si="76"/>
        <v>0</v>
      </c>
      <c r="AH181" s="232">
        <f t="shared" si="77"/>
        <v>0</v>
      </c>
      <c r="AI181" s="233">
        <f t="shared" si="78"/>
        <v>0</v>
      </c>
      <c r="AJ181" s="241">
        <f>AF181*2+AG181*2.5+AH181*2.5+AI181*2.5</f>
        <v>0</v>
      </c>
      <c r="AK181" s="161"/>
    </row>
    <row r="182" spans="1:37" ht="13.5" thickBot="1" x14ac:dyDescent="0.25">
      <c r="A182" s="366"/>
      <c r="B182" s="11"/>
      <c r="C182" s="11"/>
      <c r="D182" s="57"/>
      <c r="E182" s="58"/>
      <c r="F182" s="58"/>
      <c r="G182" s="59"/>
      <c r="H182" s="57"/>
      <c r="I182" s="58"/>
      <c r="J182" s="58"/>
      <c r="K182" s="59"/>
      <c r="L182" s="57"/>
      <c r="M182" s="58"/>
      <c r="N182" s="58"/>
      <c r="O182" s="59"/>
      <c r="P182" s="57"/>
      <c r="Q182" s="58"/>
      <c r="R182" s="58"/>
      <c r="S182" s="59"/>
      <c r="T182" s="57"/>
      <c r="U182" s="58"/>
      <c r="V182" s="58"/>
      <c r="W182" s="59"/>
      <c r="X182" s="57"/>
      <c r="Y182" s="58"/>
      <c r="Z182" s="58"/>
      <c r="AA182" s="59"/>
      <c r="AB182" s="57"/>
      <c r="AC182" s="58"/>
      <c r="AD182" s="58"/>
      <c r="AE182" s="239"/>
      <c r="AF182" s="242"/>
      <c r="AG182" s="235"/>
      <c r="AH182" s="235"/>
      <c r="AI182" s="236"/>
      <c r="AJ182" s="243"/>
      <c r="AK182" s="154"/>
    </row>
    <row r="183" spans="1:37" ht="12.75" customHeight="1" x14ac:dyDescent="0.2">
      <c r="A183" s="364" t="s">
        <v>52</v>
      </c>
      <c r="B183" s="5" t="s">
        <v>15</v>
      </c>
      <c r="C183" s="5"/>
      <c r="D183" s="97"/>
      <c r="E183" s="43"/>
      <c r="F183" s="43"/>
      <c r="G183" s="44"/>
      <c r="H183" s="97"/>
      <c r="I183" s="43"/>
      <c r="J183" s="43"/>
      <c r="K183" s="44"/>
      <c r="L183" s="97"/>
      <c r="M183" s="43"/>
      <c r="N183" s="43"/>
      <c r="O183" s="44"/>
      <c r="P183" s="97"/>
      <c r="Q183" s="43"/>
      <c r="R183" s="43"/>
      <c r="S183" s="44"/>
      <c r="T183" s="97"/>
      <c r="U183" s="43"/>
      <c r="V183" s="43"/>
      <c r="W183" s="44"/>
      <c r="X183" s="97"/>
      <c r="Y183" s="43"/>
      <c r="Z183" s="43"/>
      <c r="AA183" s="44"/>
      <c r="AB183" s="97"/>
      <c r="AC183" s="43"/>
      <c r="AD183" s="43"/>
      <c r="AE183" s="44"/>
      <c r="AF183" s="162">
        <f t="shared" ref="AF183:AF185" si="79">D183+H183+L183+P183+T183+X183+AB183</f>
        <v>0</v>
      </c>
      <c r="AG183" s="134">
        <f t="shared" ref="AG183:AG185" si="80">E183+I183+M183+Q183+U183+Y183+AC183</f>
        <v>0</v>
      </c>
      <c r="AH183" s="134">
        <f t="shared" ref="AH183:AH185" si="81">F183+J183+N183+R183+V183+Z183+AD183</f>
        <v>0</v>
      </c>
      <c r="AI183" s="135">
        <f t="shared" ref="AI183:AI185" si="82">G183+K183+O183+S183+W183+AA183+AE183</f>
        <v>0</v>
      </c>
      <c r="AJ183" s="163">
        <f>AF183*2+AG183*2.5+AH183*2.5+AI183*2.5</f>
        <v>0</v>
      </c>
      <c r="AK183" s="15"/>
    </row>
    <row r="184" spans="1:37" x14ac:dyDescent="0.2">
      <c r="A184" s="365"/>
      <c r="B184" s="9" t="s">
        <v>16</v>
      </c>
      <c r="C184" s="9"/>
      <c r="D184" s="42"/>
      <c r="E184" s="55"/>
      <c r="F184" s="55"/>
      <c r="G184" s="50"/>
      <c r="H184" s="42"/>
      <c r="I184" s="55"/>
      <c r="J184" s="55"/>
      <c r="K184" s="50"/>
      <c r="L184" s="42"/>
      <c r="M184" s="55"/>
      <c r="N184" s="55"/>
      <c r="O184" s="50"/>
      <c r="P184" s="42"/>
      <c r="Q184" s="55"/>
      <c r="R184" s="55"/>
      <c r="S184" s="50"/>
      <c r="T184" s="42"/>
      <c r="U184" s="55"/>
      <c r="V184" s="55"/>
      <c r="W184" s="50"/>
      <c r="X184" s="42"/>
      <c r="Y184" s="55"/>
      <c r="Z184" s="55"/>
      <c r="AA184" s="50"/>
      <c r="AB184" s="42"/>
      <c r="AC184" s="55"/>
      <c r="AD184" s="55"/>
      <c r="AE184" s="50"/>
      <c r="AF184" s="42">
        <f t="shared" si="79"/>
        <v>0</v>
      </c>
      <c r="AG184" s="55">
        <f t="shared" si="80"/>
        <v>0</v>
      </c>
      <c r="AH184" s="55">
        <f t="shared" si="81"/>
        <v>0</v>
      </c>
      <c r="AI184" s="50">
        <f t="shared" si="82"/>
        <v>0</v>
      </c>
      <c r="AJ184" s="45">
        <f>AF184*2+AG184*2.5+AH184*2.5+AI184*2.5</f>
        <v>0</v>
      </c>
      <c r="AK184" s="63"/>
    </row>
    <row r="185" spans="1:37" x14ac:dyDescent="0.2">
      <c r="A185" s="365"/>
      <c r="B185" s="9" t="s">
        <v>16</v>
      </c>
      <c r="C185" s="9"/>
      <c r="D185" s="42"/>
      <c r="E185" s="55"/>
      <c r="F185" s="55"/>
      <c r="G185" s="50"/>
      <c r="H185" s="42"/>
      <c r="I185" s="55"/>
      <c r="J185" s="55"/>
      <c r="K185" s="50"/>
      <c r="L185" s="42"/>
      <c r="M185" s="55"/>
      <c r="N185" s="55"/>
      <c r="O185" s="50"/>
      <c r="P185" s="42"/>
      <c r="Q185" s="55"/>
      <c r="R185" s="55"/>
      <c r="S185" s="50"/>
      <c r="T185" s="42"/>
      <c r="U185" s="55"/>
      <c r="V185" s="55"/>
      <c r="W185" s="50"/>
      <c r="X185" s="42"/>
      <c r="Y185" s="55"/>
      <c r="Z185" s="55"/>
      <c r="AA185" s="50"/>
      <c r="AB185" s="42"/>
      <c r="AC185" s="55"/>
      <c r="AD185" s="55"/>
      <c r="AE185" s="50"/>
      <c r="AF185" s="42">
        <f t="shared" si="79"/>
        <v>0</v>
      </c>
      <c r="AG185" s="48">
        <f t="shared" si="80"/>
        <v>0</v>
      </c>
      <c r="AH185" s="48">
        <f t="shared" si="81"/>
        <v>0</v>
      </c>
      <c r="AI185" s="49">
        <f t="shared" si="82"/>
        <v>0</v>
      </c>
      <c r="AJ185" s="99">
        <f>AF185*2+AG185*2.5+AH185*2.5+AI185*2.5</f>
        <v>0</v>
      </c>
      <c r="AK185" s="108"/>
    </row>
    <row r="186" spans="1:37" ht="13.5" thickBot="1" x14ac:dyDescent="0.25">
      <c r="A186" s="366"/>
      <c r="B186" s="11"/>
      <c r="C186" s="193"/>
      <c r="D186" s="42"/>
      <c r="E186" s="55"/>
      <c r="F186" s="55"/>
      <c r="G186" s="50"/>
      <c r="H186" s="47"/>
      <c r="I186" s="48"/>
      <c r="J186" s="48"/>
      <c r="K186" s="49"/>
      <c r="L186" s="47"/>
      <c r="M186" s="48"/>
      <c r="N186" s="48"/>
      <c r="O186" s="49"/>
      <c r="P186" s="47"/>
      <c r="Q186" s="48"/>
      <c r="R186" s="48"/>
      <c r="S186" s="49"/>
      <c r="T186" s="47"/>
      <c r="U186" s="48"/>
      <c r="V186" s="48"/>
      <c r="W186" s="49"/>
      <c r="X186" s="47"/>
      <c r="Y186" s="48"/>
      <c r="Z186" s="48"/>
      <c r="AA186" s="49"/>
      <c r="AB186" s="47"/>
      <c r="AC186" s="48"/>
      <c r="AD186" s="48"/>
      <c r="AE186" s="49"/>
      <c r="AF186" s="199"/>
      <c r="AG186" s="200"/>
      <c r="AH186" s="200"/>
      <c r="AI186" s="201"/>
      <c r="AJ186" s="62"/>
      <c r="AK186" s="61"/>
    </row>
    <row r="187" spans="1:37" x14ac:dyDescent="0.2">
      <c r="A187" s="364" t="s">
        <v>53</v>
      </c>
      <c r="B187" s="187" t="s">
        <v>15</v>
      </c>
      <c r="C187" s="324"/>
      <c r="D187" s="190"/>
      <c r="E187" s="43"/>
      <c r="F187" s="43"/>
      <c r="G187" s="44"/>
      <c r="H187" s="97"/>
      <c r="I187" s="43"/>
      <c r="J187" s="43"/>
      <c r="K187" s="44"/>
      <c r="L187" s="97"/>
      <c r="M187" s="43"/>
      <c r="N187" s="43"/>
      <c r="O187" s="44"/>
      <c r="P187" s="97"/>
      <c r="Q187" s="43"/>
      <c r="R187" s="43"/>
      <c r="S187" s="44"/>
      <c r="T187" s="97"/>
      <c r="U187" s="43"/>
      <c r="V187" s="43"/>
      <c r="W187" s="44"/>
      <c r="X187" s="97"/>
      <c r="Y187" s="43"/>
      <c r="Z187" s="43"/>
      <c r="AA187" s="44"/>
      <c r="AB187" s="97"/>
      <c r="AC187" s="43"/>
      <c r="AD187" s="43"/>
      <c r="AE187" s="183"/>
      <c r="AF187" s="228">
        <f>L187+H187+P187+T187+X187+D187</f>
        <v>0</v>
      </c>
      <c r="AG187" s="229">
        <f t="shared" ref="AG187:AG188" si="83">E187+I187+M187+Q187+U187+Y187+AC187</f>
        <v>0</v>
      </c>
      <c r="AH187" s="229">
        <f t="shared" ref="AH187:AH188" si="84">F187+J187+N187+R187+V187+Z187+AD187</f>
        <v>0</v>
      </c>
      <c r="AI187" s="230">
        <f t="shared" ref="AI187:AI188" si="85">G187+K187+O187+S187+W187+AA187+AE187</f>
        <v>0</v>
      </c>
      <c r="AJ187" s="196">
        <f>AF187*2+AG187*2.5+AH187*2.5+AI187*2.5</f>
        <v>0</v>
      </c>
      <c r="AK187" s="417"/>
    </row>
    <row r="188" spans="1:37" x14ac:dyDescent="0.2">
      <c r="A188" s="365"/>
      <c r="B188" s="188" t="s">
        <v>16</v>
      </c>
      <c r="C188" s="325"/>
      <c r="D188" s="191"/>
      <c r="E188" s="55"/>
      <c r="F188" s="55"/>
      <c r="G188" s="50"/>
      <c r="H188" s="42"/>
      <c r="I188" s="55"/>
      <c r="J188" s="55"/>
      <c r="K188" s="50"/>
      <c r="L188" s="42"/>
      <c r="M188" s="55"/>
      <c r="N188" s="55"/>
      <c r="O188" s="50"/>
      <c r="P188" s="42"/>
      <c r="Q188" s="55"/>
      <c r="R188" s="55"/>
      <c r="S188" s="50"/>
      <c r="T188" s="42"/>
      <c r="U188" s="55"/>
      <c r="V188" s="55"/>
      <c r="W188" s="50"/>
      <c r="X188" s="42"/>
      <c r="Y188" s="55"/>
      <c r="Z188" s="55"/>
      <c r="AA188" s="50"/>
      <c r="AB188" s="42"/>
      <c r="AC188" s="55"/>
      <c r="AD188" s="55"/>
      <c r="AE188" s="184"/>
      <c r="AF188" s="231">
        <f>L188+H188+P188+T188+X188+D188</f>
        <v>0</v>
      </c>
      <c r="AG188" s="232">
        <f t="shared" si="83"/>
        <v>0</v>
      </c>
      <c r="AH188" s="232">
        <f t="shared" si="84"/>
        <v>0</v>
      </c>
      <c r="AI188" s="233">
        <f t="shared" si="85"/>
        <v>0</v>
      </c>
      <c r="AJ188" s="197">
        <f>AF188*2+AG188*2.5+AH188*2.5+AI188*2.5</f>
        <v>0</v>
      </c>
      <c r="AK188" s="417"/>
    </row>
    <row r="189" spans="1:37" ht="13.5" thickBot="1" x14ac:dyDescent="0.25">
      <c r="A189" s="366"/>
      <c r="B189" s="189"/>
      <c r="C189" s="326"/>
      <c r="D189" s="192"/>
      <c r="E189" s="58"/>
      <c r="F189" s="58"/>
      <c r="G189" s="59"/>
      <c r="H189" s="57"/>
      <c r="I189" s="58"/>
      <c r="J189" s="58"/>
      <c r="K189" s="59"/>
      <c r="L189" s="57"/>
      <c r="M189" s="58"/>
      <c r="N189" s="58"/>
      <c r="O189" s="59"/>
      <c r="P189" s="57"/>
      <c r="Q189" s="58"/>
      <c r="R189" s="58"/>
      <c r="S189" s="59"/>
      <c r="T189" s="57"/>
      <c r="U189" s="58"/>
      <c r="V189" s="58"/>
      <c r="W189" s="59"/>
      <c r="X189" s="57"/>
      <c r="Y189" s="58"/>
      <c r="Z189" s="58"/>
      <c r="AA189" s="59"/>
      <c r="AB189" s="57"/>
      <c r="AC189" s="58"/>
      <c r="AD189" s="58"/>
      <c r="AE189" s="195"/>
      <c r="AF189" s="234"/>
      <c r="AG189" s="235"/>
      <c r="AH189" s="235"/>
      <c r="AI189" s="236"/>
      <c r="AJ189" s="198"/>
      <c r="AK189" s="417"/>
    </row>
    <row r="190" spans="1:37" ht="13.5" customHeight="1" x14ac:dyDescent="0.2">
      <c r="A190" s="364" t="s">
        <v>65</v>
      </c>
      <c r="B190" s="187" t="s">
        <v>15</v>
      </c>
      <c r="C190" s="324"/>
      <c r="D190" s="190"/>
      <c r="E190" s="43"/>
      <c r="F190" s="43"/>
      <c r="G190" s="44"/>
      <c r="H190" s="97"/>
      <c r="I190" s="43"/>
      <c r="J190" s="43"/>
      <c r="K190" s="44"/>
      <c r="L190" s="97"/>
      <c r="M190" s="43"/>
      <c r="N190" s="43"/>
      <c r="O190" s="44"/>
      <c r="P190" s="97"/>
      <c r="Q190" s="43"/>
      <c r="R190" s="43"/>
      <c r="S190" s="44"/>
      <c r="T190" s="97"/>
      <c r="U190" s="43"/>
      <c r="V190" s="43"/>
      <c r="W190" s="44"/>
      <c r="X190" s="97"/>
      <c r="Y190" s="43"/>
      <c r="Z190" s="43"/>
      <c r="AA190" s="44"/>
      <c r="AB190" s="97"/>
      <c r="AC190" s="43"/>
      <c r="AD190" s="43"/>
      <c r="AE190" s="183"/>
      <c r="AF190" s="228">
        <f>L190+H190+P190+T190+X190+D190</f>
        <v>0</v>
      </c>
      <c r="AG190" s="229">
        <f t="shared" ref="AG190:AG191" si="86">E190+I190+M190+Q190+U190+Y190+AC190</f>
        <v>0</v>
      </c>
      <c r="AH190" s="229">
        <f t="shared" ref="AH190:AH191" si="87">F190+J190+N190+R190+V190+Z190+AD190</f>
        <v>0</v>
      </c>
      <c r="AI190" s="230">
        <f t="shared" ref="AI190:AI191" si="88">G190+K190+O190+S190+W190+AA190+AE190</f>
        <v>0</v>
      </c>
      <c r="AJ190" s="196">
        <f>AF190*2+AG190*2.5+AH190*2.5+AI190*2.5</f>
        <v>0</v>
      </c>
      <c r="AK190" s="15"/>
    </row>
    <row r="191" spans="1:37" x14ac:dyDescent="0.2">
      <c r="A191" s="365"/>
      <c r="B191" s="188" t="s">
        <v>16</v>
      </c>
      <c r="C191" s="325"/>
      <c r="D191" s="191"/>
      <c r="E191" s="55"/>
      <c r="F191" s="55"/>
      <c r="G191" s="50"/>
      <c r="H191" s="42"/>
      <c r="I191" s="55"/>
      <c r="J191" s="55"/>
      <c r="K191" s="50"/>
      <c r="L191" s="42"/>
      <c r="M191" s="55"/>
      <c r="N191" s="55"/>
      <c r="O191" s="50"/>
      <c r="P191" s="42"/>
      <c r="Q191" s="55"/>
      <c r="R191" s="55"/>
      <c r="S191" s="50"/>
      <c r="T191" s="42"/>
      <c r="U191" s="55"/>
      <c r="V191" s="55"/>
      <c r="W191" s="50"/>
      <c r="X191" s="42"/>
      <c r="Y191" s="55"/>
      <c r="Z191" s="55"/>
      <c r="AA191" s="50"/>
      <c r="AB191" s="42"/>
      <c r="AC191" s="55"/>
      <c r="AD191" s="55"/>
      <c r="AE191" s="184"/>
      <c r="AF191" s="231">
        <f>L191+H191+P191+T191+X191+D191</f>
        <v>0</v>
      </c>
      <c r="AG191" s="232">
        <f t="shared" si="86"/>
        <v>0</v>
      </c>
      <c r="AH191" s="232">
        <f t="shared" si="87"/>
        <v>0</v>
      </c>
      <c r="AI191" s="233">
        <f t="shared" si="88"/>
        <v>0</v>
      </c>
      <c r="AJ191" s="197">
        <f>AF191*2+AG191*2.5+AH191*2.5+AI191*2.5</f>
        <v>0</v>
      </c>
      <c r="AK191" s="63"/>
    </row>
    <row r="192" spans="1:37" ht="13.5" thickBot="1" x14ac:dyDescent="0.25">
      <c r="A192" s="366"/>
      <c r="B192" s="189"/>
      <c r="C192" s="326"/>
      <c r="D192" s="192"/>
      <c r="E192" s="58"/>
      <c r="F192" s="58"/>
      <c r="G192" s="59"/>
      <c r="H192" s="57"/>
      <c r="I192" s="58"/>
      <c r="J192" s="58"/>
      <c r="K192" s="59"/>
      <c r="L192" s="57"/>
      <c r="M192" s="58"/>
      <c r="N192" s="58"/>
      <c r="O192" s="59"/>
      <c r="P192" s="57"/>
      <c r="Q192" s="58"/>
      <c r="R192" s="58"/>
      <c r="S192" s="59"/>
      <c r="T192" s="57"/>
      <c r="U192" s="58"/>
      <c r="V192" s="58"/>
      <c r="W192" s="59"/>
      <c r="X192" s="57"/>
      <c r="Y192" s="58"/>
      <c r="Z192" s="58"/>
      <c r="AA192" s="59"/>
      <c r="AB192" s="57"/>
      <c r="AC192" s="58"/>
      <c r="AD192" s="58"/>
      <c r="AE192" s="195"/>
      <c r="AF192" s="234"/>
      <c r="AG192" s="235"/>
      <c r="AH192" s="235"/>
      <c r="AI192" s="236"/>
      <c r="AJ192" s="198"/>
      <c r="AK192" s="61"/>
    </row>
    <row r="193" spans="1:37" x14ac:dyDescent="0.2">
      <c r="A193" s="364" t="s">
        <v>54</v>
      </c>
      <c r="B193" s="9" t="s">
        <v>16</v>
      </c>
      <c r="C193" s="65"/>
      <c r="D193" s="97"/>
      <c r="E193" s="43"/>
      <c r="F193" s="43"/>
      <c r="G193" s="44"/>
      <c r="H193" s="97"/>
      <c r="I193" s="43"/>
      <c r="J193" s="43"/>
      <c r="K193" s="44"/>
      <c r="L193" s="97"/>
      <c r="M193" s="43"/>
      <c r="N193" s="43"/>
      <c r="O193" s="44"/>
      <c r="P193" s="97"/>
      <c r="Q193" s="43"/>
      <c r="R193" s="43"/>
      <c r="S193" s="44"/>
      <c r="T193" s="97"/>
      <c r="U193" s="43"/>
      <c r="V193" s="43"/>
      <c r="W193" s="44"/>
      <c r="X193" s="97"/>
      <c r="Y193" s="43"/>
      <c r="Z193" s="43"/>
      <c r="AA193" s="44"/>
      <c r="AB193" s="97"/>
      <c r="AC193" s="43"/>
      <c r="AD193" s="43"/>
      <c r="AE193" s="183"/>
      <c r="AF193" s="202">
        <f>D193+H193+L193+P193+T193+X193+AB193</f>
        <v>0</v>
      </c>
      <c r="AG193" s="203">
        <f>E193+I193+M193+Q193+U193+Y193+AC193</f>
        <v>0</v>
      </c>
      <c r="AH193" s="204">
        <f>F193+J193+N193+R193+V193+Z193+AD193</f>
        <v>0</v>
      </c>
      <c r="AI193" s="205">
        <f>G193+K193+O193+S193+W193+AA193+AE193</f>
        <v>0</v>
      </c>
      <c r="AJ193" s="98">
        <f>AF193*2+AG193*2.5+AH193*2.5+AI193*2.5</f>
        <v>0</v>
      </c>
      <c r="AK193" s="15"/>
    </row>
    <row r="194" spans="1:37" x14ac:dyDescent="0.2">
      <c r="A194" s="365"/>
      <c r="B194" s="9" t="s">
        <v>16</v>
      </c>
      <c r="C194" s="9"/>
      <c r="D194" s="42"/>
      <c r="E194" s="55"/>
      <c r="F194" s="55"/>
      <c r="G194" s="50"/>
      <c r="H194" s="42"/>
      <c r="I194" s="55"/>
      <c r="J194" s="55"/>
      <c r="K194" s="50"/>
      <c r="L194" s="42"/>
      <c r="M194" s="55"/>
      <c r="N194" s="55"/>
      <c r="O194" s="50"/>
      <c r="P194" s="42"/>
      <c r="Q194" s="55"/>
      <c r="R194" s="55"/>
      <c r="S194" s="50"/>
      <c r="T194" s="42"/>
      <c r="U194" s="55"/>
      <c r="V194" s="55"/>
      <c r="W194" s="50"/>
      <c r="X194" s="42"/>
      <c r="Y194" s="55"/>
      <c r="Z194" s="55"/>
      <c r="AA194" s="50"/>
      <c r="AB194" s="42"/>
      <c r="AC194" s="55"/>
      <c r="AD194" s="55"/>
      <c r="AE194" s="50"/>
      <c r="AF194" s="202">
        <f>D194+H194+L194+P194+T194</f>
        <v>0</v>
      </c>
      <c r="AG194" s="48">
        <f>E194+I194+M194+Q194+U194+Y194+AC194</f>
        <v>0</v>
      </c>
      <c r="AH194" s="48">
        <f>F194+J194+N194+R194+V194+Z194+AD194</f>
        <v>0</v>
      </c>
      <c r="AI194" s="49">
        <f>G194+K194+O194+S194+W194+AA194+AE194</f>
        <v>0</v>
      </c>
      <c r="AJ194" s="99">
        <f>AF194*2+AG194*2.5+AH194*2.5+AI194*2.5</f>
        <v>0</v>
      </c>
      <c r="AK194" s="63"/>
    </row>
    <row r="195" spans="1:37" ht="13.5" thickBot="1" x14ac:dyDescent="0.25">
      <c r="A195" s="366"/>
      <c r="B195" s="17"/>
      <c r="C195" s="17"/>
      <c r="D195" s="57"/>
      <c r="E195" s="58"/>
      <c r="F195" s="58"/>
      <c r="G195" s="59"/>
      <c r="H195" s="57"/>
      <c r="I195" s="58"/>
      <c r="J195" s="58"/>
      <c r="K195" s="59"/>
      <c r="L195" s="57"/>
      <c r="M195" s="58"/>
      <c r="N195" s="58"/>
      <c r="O195" s="59"/>
      <c r="P195" s="57"/>
      <c r="Q195" s="58"/>
      <c r="R195" s="58"/>
      <c r="S195" s="59"/>
      <c r="T195" s="57"/>
      <c r="U195" s="58"/>
      <c r="V195" s="58"/>
      <c r="W195" s="59"/>
      <c r="X195" s="57"/>
      <c r="Y195" s="58"/>
      <c r="Z195" s="58"/>
      <c r="AA195" s="59"/>
      <c r="AB195" s="57"/>
      <c r="AC195" s="58"/>
      <c r="AD195" s="58"/>
      <c r="AE195" s="59"/>
      <c r="AF195" s="57"/>
      <c r="AG195" s="58"/>
      <c r="AH195" s="58"/>
      <c r="AI195" s="59"/>
      <c r="AJ195" s="62"/>
      <c r="AK195" s="61"/>
    </row>
    <row r="196" spans="1:37" x14ac:dyDescent="0.2">
      <c r="A196" s="66"/>
      <c r="B196" s="67"/>
      <c r="C196" s="68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8"/>
    </row>
    <row r="197" spans="1:37" ht="20.25" x14ac:dyDescent="0.3">
      <c r="A197" s="215"/>
      <c r="B197" s="215"/>
      <c r="C197" s="215"/>
      <c r="D197" s="215"/>
      <c r="E197" s="215"/>
      <c r="F197" s="215"/>
      <c r="G197" s="215"/>
      <c r="H197" s="215"/>
      <c r="I197" s="215"/>
      <c r="J197" s="215"/>
      <c r="K197" s="215"/>
      <c r="L197" s="215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215"/>
      <c r="AC197" s="215"/>
      <c r="AD197" s="215"/>
      <c r="AE197" s="215"/>
      <c r="AF197" s="215"/>
      <c r="AG197" s="215"/>
      <c r="AH197" s="215"/>
      <c r="AI197" s="215"/>
      <c r="AJ197" s="215"/>
      <c r="AK197" s="371"/>
    </row>
    <row r="198" spans="1:37" ht="20.25" x14ac:dyDescent="0.3">
      <c r="A198" s="215"/>
      <c r="B198" s="215"/>
      <c r="C198" s="215"/>
      <c r="D198" s="215"/>
      <c r="E198" s="215"/>
      <c r="F198" s="215"/>
      <c r="G198" s="215"/>
      <c r="H198" s="215"/>
      <c r="I198" s="215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  <c r="AB198" s="215"/>
      <c r="AC198" s="215"/>
      <c r="AD198" s="215"/>
      <c r="AE198" s="215"/>
      <c r="AF198" s="215"/>
      <c r="AG198" s="215"/>
      <c r="AH198" s="215"/>
      <c r="AI198" s="215"/>
      <c r="AJ198" s="215"/>
      <c r="AK198" s="371"/>
    </row>
    <row r="199" spans="1:37" ht="20.25" x14ac:dyDescent="0.3">
      <c r="A199" s="215"/>
      <c r="B199" s="215"/>
      <c r="C199" s="70"/>
      <c r="D199" s="215"/>
      <c r="E199" s="215"/>
      <c r="F199" s="215"/>
      <c r="G199" s="215"/>
      <c r="H199" s="215"/>
      <c r="I199" s="215"/>
      <c r="J199" s="215"/>
      <c r="K199" s="215"/>
      <c r="L199" s="215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215"/>
      <c r="AK199" s="371"/>
    </row>
    <row r="200" spans="1:37" x14ac:dyDescent="0.2">
      <c r="A200" s="71"/>
      <c r="B200" s="71"/>
      <c r="C200" s="67" t="s">
        <v>28</v>
      </c>
      <c r="D200" s="33"/>
      <c r="E200" s="33"/>
      <c r="F200" s="72"/>
      <c r="G200" s="69"/>
      <c r="H200" s="69"/>
      <c r="I200" s="69"/>
      <c r="J200" s="69"/>
      <c r="K200" s="69"/>
      <c r="L200" s="69"/>
      <c r="M200" s="69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72"/>
      <c r="Y200" s="372"/>
      <c r="Z200" s="372"/>
      <c r="AA200" s="372"/>
      <c r="AB200" s="372"/>
      <c r="AC200" s="372"/>
      <c r="AD200" s="372"/>
      <c r="AE200" s="372"/>
      <c r="AF200" s="372"/>
      <c r="AG200" s="372"/>
      <c r="AH200" s="372"/>
      <c r="AI200" s="372"/>
      <c r="AJ200" s="34"/>
      <c r="AK200" s="73"/>
    </row>
    <row r="201" spans="1:37" x14ac:dyDescent="0.2">
      <c r="A201" s="71"/>
      <c r="B201" s="71"/>
      <c r="C201" s="216" t="s">
        <v>29</v>
      </c>
      <c r="D201" s="68"/>
      <c r="E201" s="68"/>
      <c r="F201" s="74"/>
      <c r="G201" s="72"/>
      <c r="H201" s="72"/>
      <c r="I201" s="72"/>
      <c r="J201" s="69"/>
      <c r="K201" s="69"/>
      <c r="L201" s="69"/>
      <c r="M201" s="69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70"/>
      <c r="Y201" s="370"/>
      <c r="Z201" s="370"/>
      <c r="AA201" s="370"/>
      <c r="AB201" s="370"/>
      <c r="AC201" s="370"/>
      <c r="AD201" s="370"/>
      <c r="AE201" s="370"/>
      <c r="AF201" s="370"/>
      <c r="AG201" s="370"/>
      <c r="AH201" s="370"/>
      <c r="AI201" s="370"/>
      <c r="AJ201" s="34"/>
      <c r="AK201" s="68"/>
    </row>
  </sheetData>
  <mergeCells count="126">
    <mergeCell ref="A80:A82"/>
    <mergeCell ref="A121:A123"/>
    <mergeCell ref="A146:A148"/>
    <mergeCell ref="A187:A189"/>
    <mergeCell ref="AK131:AK133"/>
    <mergeCell ref="X134:AI134"/>
    <mergeCell ref="X135:AI135"/>
    <mergeCell ref="A102:A104"/>
    <mergeCell ref="A105:A107"/>
    <mergeCell ref="A108:A110"/>
    <mergeCell ref="A111:A113"/>
    <mergeCell ref="A114:A116"/>
    <mergeCell ref="A117:A120"/>
    <mergeCell ref="A124:A126"/>
    <mergeCell ref="A127:A129"/>
    <mergeCell ref="A93:A95"/>
    <mergeCell ref="A96:A98"/>
    <mergeCell ref="A99:A101"/>
    <mergeCell ref="A83:A85"/>
    <mergeCell ref="A86:A89"/>
    <mergeCell ref="A90:A92"/>
    <mergeCell ref="A77:A79"/>
    <mergeCell ref="A70:AK70"/>
    <mergeCell ref="A71:AK71"/>
    <mergeCell ref="A72:AK72"/>
    <mergeCell ref="A74:A76"/>
    <mergeCell ref="B74:B76"/>
    <mergeCell ref="C74:C76"/>
    <mergeCell ref="D74:G74"/>
    <mergeCell ref="H74:K74"/>
    <mergeCell ref="L74:O74"/>
    <mergeCell ref="P74:S74"/>
    <mergeCell ref="T74:W74"/>
    <mergeCell ref="X74:AA74"/>
    <mergeCell ref="AB74:AE74"/>
    <mergeCell ref="AF74:AI75"/>
    <mergeCell ref="AK74:AK76"/>
    <mergeCell ref="D75:G75"/>
    <mergeCell ref="H75:K75"/>
    <mergeCell ref="L75:O75"/>
    <mergeCell ref="P75:S75"/>
    <mergeCell ref="T75:W75"/>
    <mergeCell ref="X75:AA75"/>
    <mergeCell ref="AB75:AE75"/>
    <mergeCell ref="A40:A42"/>
    <mergeCell ref="A43:A45"/>
    <mergeCell ref="A46:A48"/>
    <mergeCell ref="A49:A52"/>
    <mergeCell ref="A56:A58"/>
    <mergeCell ref="A59:A61"/>
    <mergeCell ref="A53:A55"/>
    <mergeCell ref="AK63:AK65"/>
    <mergeCell ref="X66:AI66"/>
    <mergeCell ref="X67:AI67"/>
    <mergeCell ref="A9:A11"/>
    <mergeCell ref="A15:A17"/>
    <mergeCell ref="A18:A21"/>
    <mergeCell ref="A22:A24"/>
    <mergeCell ref="A25:A27"/>
    <mergeCell ref="A28:A30"/>
    <mergeCell ref="A31:A33"/>
    <mergeCell ref="A34:A36"/>
    <mergeCell ref="A37:A39"/>
    <mergeCell ref="A12:A14"/>
    <mergeCell ref="A2:AK2"/>
    <mergeCell ref="A3:AK3"/>
    <mergeCell ref="A4:AK4"/>
    <mergeCell ref="A6:A8"/>
    <mergeCell ref="B6:B8"/>
    <mergeCell ref="C6:C8"/>
    <mergeCell ref="D6:G6"/>
    <mergeCell ref="H6:K6"/>
    <mergeCell ref="L6:O6"/>
    <mergeCell ref="P6:S6"/>
    <mergeCell ref="T6:W6"/>
    <mergeCell ref="X6:AA6"/>
    <mergeCell ref="AB6:AE6"/>
    <mergeCell ref="AF6:AI7"/>
    <mergeCell ref="AK6:AK8"/>
    <mergeCell ref="D7:G7"/>
    <mergeCell ref="H7:K7"/>
    <mergeCell ref="L7:O7"/>
    <mergeCell ref="P7:S7"/>
    <mergeCell ref="T7:W7"/>
    <mergeCell ref="X7:AA7"/>
    <mergeCell ref="AB7:AE7"/>
    <mergeCell ref="A136:AK136"/>
    <mergeCell ref="A137:AK137"/>
    <mergeCell ref="A138:AK138"/>
    <mergeCell ref="A140:A142"/>
    <mergeCell ref="B140:B142"/>
    <mergeCell ref="C140:C142"/>
    <mergeCell ref="D140:G140"/>
    <mergeCell ref="H140:K140"/>
    <mergeCell ref="L140:O140"/>
    <mergeCell ref="P140:S140"/>
    <mergeCell ref="T140:W140"/>
    <mergeCell ref="X140:AA140"/>
    <mergeCell ref="AB140:AE140"/>
    <mergeCell ref="AF140:AI141"/>
    <mergeCell ref="AK140:AK142"/>
    <mergeCell ref="D141:G141"/>
    <mergeCell ref="H141:K141"/>
    <mergeCell ref="L141:O141"/>
    <mergeCell ref="P141:S141"/>
    <mergeCell ref="T141:W141"/>
    <mergeCell ref="X141:AA141"/>
    <mergeCell ref="AB141:AE141"/>
    <mergeCell ref="A143:A145"/>
    <mergeCell ref="A149:A151"/>
    <mergeCell ref="A152:A155"/>
    <mergeCell ref="A156:A158"/>
    <mergeCell ref="A159:A161"/>
    <mergeCell ref="A162:A164"/>
    <mergeCell ref="A165:A167"/>
    <mergeCell ref="AK197:AK199"/>
    <mergeCell ref="X200:AI200"/>
    <mergeCell ref="X201:AI201"/>
    <mergeCell ref="A168:A170"/>
    <mergeCell ref="A171:A173"/>
    <mergeCell ref="A174:A176"/>
    <mergeCell ref="A177:A179"/>
    <mergeCell ref="A180:A182"/>
    <mergeCell ref="A183:A186"/>
    <mergeCell ref="A190:A192"/>
    <mergeCell ref="A193:A195"/>
  </mergeCells>
  <printOptions verticalCentered="1"/>
  <pageMargins left="0.37" right="7.874015748031496E-2" top="0.13" bottom="0.55000000000000004" header="0.11811023622047245" footer="0"/>
  <pageSetup paperSize="9" scale="65" orientation="landscape" horizontalDpi="120" verticalDpi="7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48"/>
  <sheetViews>
    <sheetView tabSelected="1" workbookViewId="0">
      <selection activeCell="D1" sqref="D1"/>
    </sheetView>
  </sheetViews>
  <sheetFormatPr baseColWidth="10" defaultRowHeight="12.75" x14ac:dyDescent="0.2"/>
  <cols>
    <col min="1" max="1" width="6.5703125" customWidth="1"/>
    <col min="2" max="2" width="45.140625" customWidth="1"/>
    <col min="3" max="3" width="13.42578125" customWidth="1"/>
    <col min="4" max="4" width="14.28515625" customWidth="1"/>
    <col min="5" max="5" width="32" customWidth="1"/>
    <col min="6" max="6" width="6.140625" customWidth="1"/>
    <col min="7" max="7" width="17.140625" customWidth="1"/>
    <col min="255" max="255" width="6.5703125" customWidth="1"/>
    <col min="256" max="256" width="45.140625" customWidth="1"/>
    <col min="257" max="257" width="13.42578125" customWidth="1"/>
    <col min="258" max="260" width="14.28515625" customWidth="1"/>
    <col min="261" max="261" width="32" customWidth="1"/>
    <col min="262" max="262" width="6.140625" customWidth="1"/>
    <col min="263" max="263" width="17.140625" customWidth="1"/>
    <col min="511" max="511" width="6.5703125" customWidth="1"/>
    <col min="512" max="512" width="45.140625" customWidth="1"/>
    <col min="513" max="513" width="13.42578125" customWidth="1"/>
    <col min="514" max="516" width="14.28515625" customWidth="1"/>
    <col min="517" max="517" width="32" customWidth="1"/>
    <col min="518" max="518" width="6.140625" customWidth="1"/>
    <col min="519" max="519" width="17.140625" customWidth="1"/>
    <col min="767" max="767" width="6.5703125" customWidth="1"/>
    <col min="768" max="768" width="45.140625" customWidth="1"/>
    <col min="769" max="769" width="13.42578125" customWidth="1"/>
    <col min="770" max="772" width="14.28515625" customWidth="1"/>
    <col min="773" max="773" width="32" customWidth="1"/>
    <col min="774" max="774" width="6.140625" customWidth="1"/>
    <col min="775" max="775" width="17.140625" customWidth="1"/>
    <col min="1023" max="1023" width="6.5703125" customWidth="1"/>
    <col min="1024" max="1024" width="45.140625" customWidth="1"/>
    <col min="1025" max="1025" width="13.42578125" customWidth="1"/>
    <col min="1026" max="1028" width="14.28515625" customWidth="1"/>
    <col min="1029" max="1029" width="32" customWidth="1"/>
    <col min="1030" max="1030" width="6.140625" customWidth="1"/>
    <col min="1031" max="1031" width="17.140625" customWidth="1"/>
    <col min="1279" max="1279" width="6.5703125" customWidth="1"/>
    <col min="1280" max="1280" width="45.140625" customWidth="1"/>
    <col min="1281" max="1281" width="13.42578125" customWidth="1"/>
    <col min="1282" max="1284" width="14.28515625" customWidth="1"/>
    <col min="1285" max="1285" width="32" customWidth="1"/>
    <col min="1286" max="1286" width="6.140625" customWidth="1"/>
    <col min="1287" max="1287" width="17.140625" customWidth="1"/>
    <col min="1535" max="1535" width="6.5703125" customWidth="1"/>
    <col min="1536" max="1536" width="45.140625" customWidth="1"/>
    <col min="1537" max="1537" width="13.42578125" customWidth="1"/>
    <col min="1538" max="1540" width="14.28515625" customWidth="1"/>
    <col min="1541" max="1541" width="32" customWidth="1"/>
    <col min="1542" max="1542" width="6.140625" customWidth="1"/>
    <col min="1543" max="1543" width="17.140625" customWidth="1"/>
    <col min="1791" max="1791" width="6.5703125" customWidth="1"/>
    <col min="1792" max="1792" width="45.140625" customWidth="1"/>
    <col min="1793" max="1793" width="13.42578125" customWidth="1"/>
    <col min="1794" max="1796" width="14.28515625" customWidth="1"/>
    <col min="1797" max="1797" width="32" customWidth="1"/>
    <col min="1798" max="1798" width="6.140625" customWidth="1"/>
    <col min="1799" max="1799" width="17.140625" customWidth="1"/>
    <col min="2047" max="2047" width="6.5703125" customWidth="1"/>
    <col min="2048" max="2048" width="45.140625" customWidth="1"/>
    <col min="2049" max="2049" width="13.42578125" customWidth="1"/>
    <col min="2050" max="2052" width="14.28515625" customWidth="1"/>
    <col min="2053" max="2053" width="32" customWidth="1"/>
    <col min="2054" max="2054" width="6.140625" customWidth="1"/>
    <col min="2055" max="2055" width="17.140625" customWidth="1"/>
    <col min="2303" max="2303" width="6.5703125" customWidth="1"/>
    <col min="2304" max="2304" width="45.140625" customWidth="1"/>
    <col min="2305" max="2305" width="13.42578125" customWidth="1"/>
    <col min="2306" max="2308" width="14.28515625" customWidth="1"/>
    <col min="2309" max="2309" width="32" customWidth="1"/>
    <col min="2310" max="2310" width="6.140625" customWidth="1"/>
    <col min="2311" max="2311" width="17.140625" customWidth="1"/>
    <col min="2559" max="2559" width="6.5703125" customWidth="1"/>
    <col min="2560" max="2560" width="45.140625" customWidth="1"/>
    <col min="2561" max="2561" width="13.42578125" customWidth="1"/>
    <col min="2562" max="2564" width="14.28515625" customWidth="1"/>
    <col min="2565" max="2565" width="32" customWidth="1"/>
    <col min="2566" max="2566" width="6.140625" customWidth="1"/>
    <col min="2567" max="2567" width="17.140625" customWidth="1"/>
    <col min="2815" max="2815" width="6.5703125" customWidth="1"/>
    <col min="2816" max="2816" width="45.140625" customWidth="1"/>
    <col min="2817" max="2817" width="13.42578125" customWidth="1"/>
    <col min="2818" max="2820" width="14.28515625" customWidth="1"/>
    <col min="2821" max="2821" width="32" customWidth="1"/>
    <col min="2822" max="2822" width="6.140625" customWidth="1"/>
    <col min="2823" max="2823" width="17.140625" customWidth="1"/>
    <col min="3071" max="3071" width="6.5703125" customWidth="1"/>
    <col min="3072" max="3072" width="45.140625" customWidth="1"/>
    <col min="3073" max="3073" width="13.42578125" customWidth="1"/>
    <col min="3074" max="3076" width="14.28515625" customWidth="1"/>
    <col min="3077" max="3077" width="32" customWidth="1"/>
    <col min="3078" max="3078" width="6.140625" customWidth="1"/>
    <col min="3079" max="3079" width="17.140625" customWidth="1"/>
    <col min="3327" max="3327" width="6.5703125" customWidth="1"/>
    <col min="3328" max="3328" width="45.140625" customWidth="1"/>
    <col min="3329" max="3329" width="13.42578125" customWidth="1"/>
    <col min="3330" max="3332" width="14.28515625" customWidth="1"/>
    <col min="3333" max="3333" width="32" customWidth="1"/>
    <col min="3334" max="3334" width="6.140625" customWidth="1"/>
    <col min="3335" max="3335" width="17.140625" customWidth="1"/>
    <col min="3583" max="3583" width="6.5703125" customWidth="1"/>
    <col min="3584" max="3584" width="45.140625" customWidth="1"/>
    <col min="3585" max="3585" width="13.42578125" customWidth="1"/>
    <col min="3586" max="3588" width="14.28515625" customWidth="1"/>
    <col min="3589" max="3589" width="32" customWidth="1"/>
    <col min="3590" max="3590" width="6.140625" customWidth="1"/>
    <col min="3591" max="3591" width="17.140625" customWidth="1"/>
    <col min="3839" max="3839" width="6.5703125" customWidth="1"/>
    <col min="3840" max="3840" width="45.140625" customWidth="1"/>
    <col min="3841" max="3841" width="13.42578125" customWidth="1"/>
    <col min="3842" max="3844" width="14.28515625" customWidth="1"/>
    <col min="3845" max="3845" width="32" customWidth="1"/>
    <col min="3846" max="3846" width="6.140625" customWidth="1"/>
    <col min="3847" max="3847" width="17.140625" customWidth="1"/>
    <col min="4095" max="4095" width="6.5703125" customWidth="1"/>
    <col min="4096" max="4096" width="45.140625" customWidth="1"/>
    <col min="4097" max="4097" width="13.42578125" customWidth="1"/>
    <col min="4098" max="4100" width="14.28515625" customWidth="1"/>
    <col min="4101" max="4101" width="32" customWidth="1"/>
    <col min="4102" max="4102" width="6.140625" customWidth="1"/>
    <col min="4103" max="4103" width="17.140625" customWidth="1"/>
    <col min="4351" max="4351" width="6.5703125" customWidth="1"/>
    <col min="4352" max="4352" width="45.140625" customWidth="1"/>
    <col min="4353" max="4353" width="13.42578125" customWidth="1"/>
    <col min="4354" max="4356" width="14.28515625" customWidth="1"/>
    <col min="4357" max="4357" width="32" customWidth="1"/>
    <col min="4358" max="4358" width="6.140625" customWidth="1"/>
    <col min="4359" max="4359" width="17.140625" customWidth="1"/>
    <col min="4607" max="4607" width="6.5703125" customWidth="1"/>
    <col min="4608" max="4608" width="45.140625" customWidth="1"/>
    <col min="4609" max="4609" width="13.42578125" customWidth="1"/>
    <col min="4610" max="4612" width="14.28515625" customWidth="1"/>
    <col min="4613" max="4613" width="32" customWidth="1"/>
    <col min="4614" max="4614" width="6.140625" customWidth="1"/>
    <col min="4615" max="4615" width="17.140625" customWidth="1"/>
    <col min="4863" max="4863" width="6.5703125" customWidth="1"/>
    <col min="4864" max="4864" width="45.140625" customWidth="1"/>
    <col min="4865" max="4865" width="13.42578125" customWidth="1"/>
    <col min="4866" max="4868" width="14.28515625" customWidth="1"/>
    <col min="4869" max="4869" width="32" customWidth="1"/>
    <col min="4870" max="4870" width="6.140625" customWidth="1"/>
    <col min="4871" max="4871" width="17.140625" customWidth="1"/>
    <col min="5119" max="5119" width="6.5703125" customWidth="1"/>
    <col min="5120" max="5120" width="45.140625" customWidth="1"/>
    <col min="5121" max="5121" width="13.42578125" customWidth="1"/>
    <col min="5122" max="5124" width="14.28515625" customWidth="1"/>
    <col min="5125" max="5125" width="32" customWidth="1"/>
    <col min="5126" max="5126" width="6.140625" customWidth="1"/>
    <col min="5127" max="5127" width="17.140625" customWidth="1"/>
    <col min="5375" max="5375" width="6.5703125" customWidth="1"/>
    <col min="5376" max="5376" width="45.140625" customWidth="1"/>
    <col min="5377" max="5377" width="13.42578125" customWidth="1"/>
    <col min="5378" max="5380" width="14.28515625" customWidth="1"/>
    <col min="5381" max="5381" width="32" customWidth="1"/>
    <col min="5382" max="5382" width="6.140625" customWidth="1"/>
    <col min="5383" max="5383" width="17.140625" customWidth="1"/>
    <col min="5631" max="5631" width="6.5703125" customWidth="1"/>
    <col min="5632" max="5632" width="45.140625" customWidth="1"/>
    <col min="5633" max="5633" width="13.42578125" customWidth="1"/>
    <col min="5634" max="5636" width="14.28515625" customWidth="1"/>
    <col min="5637" max="5637" width="32" customWidth="1"/>
    <col min="5638" max="5638" width="6.140625" customWidth="1"/>
    <col min="5639" max="5639" width="17.140625" customWidth="1"/>
    <col min="5887" max="5887" width="6.5703125" customWidth="1"/>
    <col min="5888" max="5888" width="45.140625" customWidth="1"/>
    <col min="5889" max="5889" width="13.42578125" customWidth="1"/>
    <col min="5890" max="5892" width="14.28515625" customWidth="1"/>
    <col min="5893" max="5893" width="32" customWidth="1"/>
    <col min="5894" max="5894" width="6.140625" customWidth="1"/>
    <col min="5895" max="5895" width="17.140625" customWidth="1"/>
    <col min="6143" max="6143" width="6.5703125" customWidth="1"/>
    <col min="6144" max="6144" width="45.140625" customWidth="1"/>
    <col min="6145" max="6145" width="13.42578125" customWidth="1"/>
    <col min="6146" max="6148" width="14.28515625" customWidth="1"/>
    <col min="6149" max="6149" width="32" customWidth="1"/>
    <col min="6150" max="6150" width="6.140625" customWidth="1"/>
    <col min="6151" max="6151" width="17.140625" customWidth="1"/>
    <col min="6399" max="6399" width="6.5703125" customWidth="1"/>
    <col min="6400" max="6400" width="45.140625" customWidth="1"/>
    <col min="6401" max="6401" width="13.42578125" customWidth="1"/>
    <col min="6402" max="6404" width="14.28515625" customWidth="1"/>
    <col min="6405" max="6405" width="32" customWidth="1"/>
    <col min="6406" max="6406" width="6.140625" customWidth="1"/>
    <col min="6407" max="6407" width="17.140625" customWidth="1"/>
    <col min="6655" max="6655" width="6.5703125" customWidth="1"/>
    <col min="6656" max="6656" width="45.140625" customWidth="1"/>
    <col min="6657" max="6657" width="13.42578125" customWidth="1"/>
    <col min="6658" max="6660" width="14.28515625" customWidth="1"/>
    <col min="6661" max="6661" width="32" customWidth="1"/>
    <col min="6662" max="6662" width="6.140625" customWidth="1"/>
    <col min="6663" max="6663" width="17.140625" customWidth="1"/>
    <col min="6911" max="6911" width="6.5703125" customWidth="1"/>
    <col min="6912" max="6912" width="45.140625" customWidth="1"/>
    <col min="6913" max="6913" width="13.42578125" customWidth="1"/>
    <col min="6914" max="6916" width="14.28515625" customWidth="1"/>
    <col min="6917" max="6917" width="32" customWidth="1"/>
    <col min="6918" max="6918" width="6.140625" customWidth="1"/>
    <col min="6919" max="6919" width="17.140625" customWidth="1"/>
    <col min="7167" max="7167" width="6.5703125" customWidth="1"/>
    <col min="7168" max="7168" width="45.140625" customWidth="1"/>
    <col min="7169" max="7169" width="13.42578125" customWidth="1"/>
    <col min="7170" max="7172" width="14.28515625" customWidth="1"/>
    <col min="7173" max="7173" width="32" customWidth="1"/>
    <col min="7174" max="7174" width="6.140625" customWidth="1"/>
    <col min="7175" max="7175" width="17.140625" customWidth="1"/>
    <col min="7423" max="7423" width="6.5703125" customWidth="1"/>
    <col min="7424" max="7424" width="45.140625" customWidth="1"/>
    <col min="7425" max="7425" width="13.42578125" customWidth="1"/>
    <col min="7426" max="7428" width="14.28515625" customWidth="1"/>
    <col min="7429" max="7429" width="32" customWidth="1"/>
    <col min="7430" max="7430" width="6.140625" customWidth="1"/>
    <col min="7431" max="7431" width="17.140625" customWidth="1"/>
    <col min="7679" max="7679" width="6.5703125" customWidth="1"/>
    <col min="7680" max="7680" width="45.140625" customWidth="1"/>
    <col min="7681" max="7681" width="13.42578125" customWidth="1"/>
    <col min="7682" max="7684" width="14.28515625" customWidth="1"/>
    <col min="7685" max="7685" width="32" customWidth="1"/>
    <col min="7686" max="7686" width="6.140625" customWidth="1"/>
    <col min="7687" max="7687" width="17.140625" customWidth="1"/>
    <col min="7935" max="7935" width="6.5703125" customWidth="1"/>
    <col min="7936" max="7936" width="45.140625" customWidth="1"/>
    <col min="7937" max="7937" width="13.42578125" customWidth="1"/>
    <col min="7938" max="7940" width="14.28515625" customWidth="1"/>
    <col min="7941" max="7941" width="32" customWidth="1"/>
    <col min="7942" max="7942" width="6.140625" customWidth="1"/>
    <col min="7943" max="7943" width="17.140625" customWidth="1"/>
    <col min="8191" max="8191" width="6.5703125" customWidth="1"/>
    <col min="8192" max="8192" width="45.140625" customWidth="1"/>
    <col min="8193" max="8193" width="13.42578125" customWidth="1"/>
    <col min="8194" max="8196" width="14.28515625" customWidth="1"/>
    <col min="8197" max="8197" width="32" customWidth="1"/>
    <col min="8198" max="8198" width="6.140625" customWidth="1"/>
    <col min="8199" max="8199" width="17.140625" customWidth="1"/>
    <col min="8447" max="8447" width="6.5703125" customWidth="1"/>
    <col min="8448" max="8448" width="45.140625" customWidth="1"/>
    <col min="8449" max="8449" width="13.42578125" customWidth="1"/>
    <col min="8450" max="8452" width="14.28515625" customWidth="1"/>
    <col min="8453" max="8453" width="32" customWidth="1"/>
    <col min="8454" max="8454" width="6.140625" customWidth="1"/>
    <col min="8455" max="8455" width="17.140625" customWidth="1"/>
    <col min="8703" max="8703" width="6.5703125" customWidth="1"/>
    <col min="8704" max="8704" width="45.140625" customWidth="1"/>
    <col min="8705" max="8705" width="13.42578125" customWidth="1"/>
    <col min="8706" max="8708" width="14.28515625" customWidth="1"/>
    <col min="8709" max="8709" width="32" customWidth="1"/>
    <col min="8710" max="8710" width="6.140625" customWidth="1"/>
    <col min="8711" max="8711" width="17.140625" customWidth="1"/>
    <col min="8959" max="8959" width="6.5703125" customWidth="1"/>
    <col min="8960" max="8960" width="45.140625" customWidth="1"/>
    <col min="8961" max="8961" width="13.42578125" customWidth="1"/>
    <col min="8962" max="8964" width="14.28515625" customWidth="1"/>
    <col min="8965" max="8965" width="32" customWidth="1"/>
    <col min="8966" max="8966" width="6.140625" customWidth="1"/>
    <col min="8967" max="8967" width="17.140625" customWidth="1"/>
    <col min="9215" max="9215" width="6.5703125" customWidth="1"/>
    <col min="9216" max="9216" width="45.140625" customWidth="1"/>
    <col min="9217" max="9217" width="13.42578125" customWidth="1"/>
    <col min="9218" max="9220" width="14.28515625" customWidth="1"/>
    <col min="9221" max="9221" width="32" customWidth="1"/>
    <col min="9222" max="9222" width="6.140625" customWidth="1"/>
    <col min="9223" max="9223" width="17.140625" customWidth="1"/>
    <col min="9471" max="9471" width="6.5703125" customWidth="1"/>
    <col min="9472" max="9472" width="45.140625" customWidth="1"/>
    <col min="9473" max="9473" width="13.42578125" customWidth="1"/>
    <col min="9474" max="9476" width="14.28515625" customWidth="1"/>
    <col min="9477" max="9477" width="32" customWidth="1"/>
    <col min="9478" max="9478" width="6.140625" customWidth="1"/>
    <col min="9479" max="9479" width="17.140625" customWidth="1"/>
    <col min="9727" max="9727" width="6.5703125" customWidth="1"/>
    <col min="9728" max="9728" width="45.140625" customWidth="1"/>
    <col min="9729" max="9729" width="13.42578125" customWidth="1"/>
    <col min="9730" max="9732" width="14.28515625" customWidth="1"/>
    <col min="9733" max="9733" width="32" customWidth="1"/>
    <col min="9734" max="9734" width="6.140625" customWidth="1"/>
    <col min="9735" max="9735" width="17.140625" customWidth="1"/>
    <col min="9983" max="9983" width="6.5703125" customWidth="1"/>
    <col min="9984" max="9984" width="45.140625" customWidth="1"/>
    <col min="9985" max="9985" width="13.42578125" customWidth="1"/>
    <col min="9986" max="9988" width="14.28515625" customWidth="1"/>
    <col min="9989" max="9989" width="32" customWidth="1"/>
    <col min="9990" max="9990" width="6.140625" customWidth="1"/>
    <col min="9991" max="9991" width="17.140625" customWidth="1"/>
    <col min="10239" max="10239" width="6.5703125" customWidth="1"/>
    <col min="10240" max="10240" width="45.140625" customWidth="1"/>
    <col min="10241" max="10241" width="13.42578125" customWidth="1"/>
    <col min="10242" max="10244" width="14.28515625" customWidth="1"/>
    <col min="10245" max="10245" width="32" customWidth="1"/>
    <col min="10246" max="10246" width="6.140625" customWidth="1"/>
    <col min="10247" max="10247" width="17.140625" customWidth="1"/>
    <col min="10495" max="10495" width="6.5703125" customWidth="1"/>
    <col min="10496" max="10496" width="45.140625" customWidth="1"/>
    <col min="10497" max="10497" width="13.42578125" customWidth="1"/>
    <col min="10498" max="10500" width="14.28515625" customWidth="1"/>
    <col min="10501" max="10501" width="32" customWidth="1"/>
    <col min="10502" max="10502" width="6.140625" customWidth="1"/>
    <col min="10503" max="10503" width="17.140625" customWidth="1"/>
    <col min="10751" max="10751" width="6.5703125" customWidth="1"/>
    <col min="10752" max="10752" width="45.140625" customWidth="1"/>
    <col min="10753" max="10753" width="13.42578125" customWidth="1"/>
    <col min="10754" max="10756" width="14.28515625" customWidth="1"/>
    <col min="10757" max="10757" width="32" customWidth="1"/>
    <col min="10758" max="10758" width="6.140625" customWidth="1"/>
    <col min="10759" max="10759" width="17.140625" customWidth="1"/>
    <col min="11007" max="11007" width="6.5703125" customWidth="1"/>
    <col min="11008" max="11008" width="45.140625" customWidth="1"/>
    <col min="11009" max="11009" width="13.42578125" customWidth="1"/>
    <col min="11010" max="11012" width="14.28515625" customWidth="1"/>
    <col min="11013" max="11013" width="32" customWidth="1"/>
    <col min="11014" max="11014" width="6.140625" customWidth="1"/>
    <col min="11015" max="11015" width="17.140625" customWidth="1"/>
    <col min="11263" max="11263" width="6.5703125" customWidth="1"/>
    <col min="11264" max="11264" width="45.140625" customWidth="1"/>
    <col min="11265" max="11265" width="13.42578125" customWidth="1"/>
    <col min="11266" max="11268" width="14.28515625" customWidth="1"/>
    <col min="11269" max="11269" width="32" customWidth="1"/>
    <col min="11270" max="11270" width="6.140625" customWidth="1"/>
    <col min="11271" max="11271" width="17.140625" customWidth="1"/>
    <col min="11519" max="11519" width="6.5703125" customWidth="1"/>
    <col min="11520" max="11520" width="45.140625" customWidth="1"/>
    <col min="11521" max="11521" width="13.42578125" customWidth="1"/>
    <col min="11522" max="11524" width="14.28515625" customWidth="1"/>
    <col min="11525" max="11525" width="32" customWidth="1"/>
    <col min="11526" max="11526" width="6.140625" customWidth="1"/>
    <col min="11527" max="11527" width="17.140625" customWidth="1"/>
    <col min="11775" max="11775" width="6.5703125" customWidth="1"/>
    <col min="11776" max="11776" width="45.140625" customWidth="1"/>
    <col min="11777" max="11777" width="13.42578125" customWidth="1"/>
    <col min="11778" max="11780" width="14.28515625" customWidth="1"/>
    <col min="11781" max="11781" width="32" customWidth="1"/>
    <col min="11782" max="11782" width="6.140625" customWidth="1"/>
    <col min="11783" max="11783" width="17.140625" customWidth="1"/>
    <col min="12031" max="12031" width="6.5703125" customWidth="1"/>
    <col min="12032" max="12032" width="45.140625" customWidth="1"/>
    <col min="12033" max="12033" width="13.42578125" customWidth="1"/>
    <col min="12034" max="12036" width="14.28515625" customWidth="1"/>
    <col min="12037" max="12037" width="32" customWidth="1"/>
    <col min="12038" max="12038" width="6.140625" customWidth="1"/>
    <col min="12039" max="12039" width="17.140625" customWidth="1"/>
    <col min="12287" max="12287" width="6.5703125" customWidth="1"/>
    <col min="12288" max="12288" width="45.140625" customWidth="1"/>
    <col min="12289" max="12289" width="13.42578125" customWidth="1"/>
    <col min="12290" max="12292" width="14.28515625" customWidth="1"/>
    <col min="12293" max="12293" width="32" customWidth="1"/>
    <col min="12294" max="12294" width="6.140625" customWidth="1"/>
    <col min="12295" max="12295" width="17.140625" customWidth="1"/>
    <col min="12543" max="12543" width="6.5703125" customWidth="1"/>
    <col min="12544" max="12544" width="45.140625" customWidth="1"/>
    <col min="12545" max="12545" width="13.42578125" customWidth="1"/>
    <col min="12546" max="12548" width="14.28515625" customWidth="1"/>
    <col min="12549" max="12549" width="32" customWidth="1"/>
    <col min="12550" max="12550" width="6.140625" customWidth="1"/>
    <col min="12551" max="12551" width="17.140625" customWidth="1"/>
    <col min="12799" max="12799" width="6.5703125" customWidth="1"/>
    <col min="12800" max="12800" width="45.140625" customWidth="1"/>
    <col min="12801" max="12801" width="13.42578125" customWidth="1"/>
    <col min="12802" max="12804" width="14.28515625" customWidth="1"/>
    <col min="12805" max="12805" width="32" customWidth="1"/>
    <col min="12806" max="12806" width="6.140625" customWidth="1"/>
    <col min="12807" max="12807" width="17.140625" customWidth="1"/>
    <col min="13055" max="13055" width="6.5703125" customWidth="1"/>
    <col min="13056" max="13056" width="45.140625" customWidth="1"/>
    <col min="13057" max="13057" width="13.42578125" customWidth="1"/>
    <col min="13058" max="13060" width="14.28515625" customWidth="1"/>
    <col min="13061" max="13061" width="32" customWidth="1"/>
    <col min="13062" max="13062" width="6.140625" customWidth="1"/>
    <col min="13063" max="13063" width="17.140625" customWidth="1"/>
    <col min="13311" max="13311" width="6.5703125" customWidth="1"/>
    <col min="13312" max="13312" width="45.140625" customWidth="1"/>
    <col min="13313" max="13313" width="13.42578125" customWidth="1"/>
    <col min="13314" max="13316" width="14.28515625" customWidth="1"/>
    <col min="13317" max="13317" width="32" customWidth="1"/>
    <col min="13318" max="13318" width="6.140625" customWidth="1"/>
    <col min="13319" max="13319" width="17.140625" customWidth="1"/>
    <col min="13567" max="13567" width="6.5703125" customWidth="1"/>
    <col min="13568" max="13568" width="45.140625" customWidth="1"/>
    <col min="13569" max="13569" width="13.42578125" customWidth="1"/>
    <col min="13570" max="13572" width="14.28515625" customWidth="1"/>
    <col min="13573" max="13573" width="32" customWidth="1"/>
    <col min="13574" max="13574" width="6.140625" customWidth="1"/>
    <col min="13575" max="13575" width="17.140625" customWidth="1"/>
    <col min="13823" max="13823" width="6.5703125" customWidth="1"/>
    <col min="13824" max="13824" width="45.140625" customWidth="1"/>
    <col min="13825" max="13825" width="13.42578125" customWidth="1"/>
    <col min="13826" max="13828" width="14.28515625" customWidth="1"/>
    <col min="13829" max="13829" width="32" customWidth="1"/>
    <col min="13830" max="13830" width="6.140625" customWidth="1"/>
    <col min="13831" max="13831" width="17.140625" customWidth="1"/>
    <col min="14079" max="14079" width="6.5703125" customWidth="1"/>
    <col min="14080" max="14080" width="45.140625" customWidth="1"/>
    <col min="14081" max="14081" width="13.42578125" customWidth="1"/>
    <col min="14082" max="14084" width="14.28515625" customWidth="1"/>
    <col min="14085" max="14085" width="32" customWidth="1"/>
    <col min="14086" max="14086" width="6.140625" customWidth="1"/>
    <col min="14087" max="14087" width="17.140625" customWidth="1"/>
    <col min="14335" max="14335" width="6.5703125" customWidth="1"/>
    <col min="14336" max="14336" width="45.140625" customWidth="1"/>
    <col min="14337" max="14337" width="13.42578125" customWidth="1"/>
    <col min="14338" max="14340" width="14.28515625" customWidth="1"/>
    <col min="14341" max="14341" width="32" customWidth="1"/>
    <col min="14342" max="14342" width="6.140625" customWidth="1"/>
    <col min="14343" max="14343" width="17.140625" customWidth="1"/>
    <col min="14591" max="14591" width="6.5703125" customWidth="1"/>
    <col min="14592" max="14592" width="45.140625" customWidth="1"/>
    <col min="14593" max="14593" width="13.42578125" customWidth="1"/>
    <col min="14594" max="14596" width="14.28515625" customWidth="1"/>
    <col min="14597" max="14597" width="32" customWidth="1"/>
    <col min="14598" max="14598" width="6.140625" customWidth="1"/>
    <col min="14599" max="14599" width="17.140625" customWidth="1"/>
    <col min="14847" max="14847" width="6.5703125" customWidth="1"/>
    <col min="14848" max="14848" width="45.140625" customWidth="1"/>
    <col min="14849" max="14849" width="13.42578125" customWidth="1"/>
    <col min="14850" max="14852" width="14.28515625" customWidth="1"/>
    <col min="14853" max="14853" width="32" customWidth="1"/>
    <col min="14854" max="14854" width="6.140625" customWidth="1"/>
    <col min="14855" max="14855" width="17.140625" customWidth="1"/>
    <col min="15103" max="15103" width="6.5703125" customWidth="1"/>
    <col min="15104" max="15104" width="45.140625" customWidth="1"/>
    <col min="15105" max="15105" width="13.42578125" customWidth="1"/>
    <col min="15106" max="15108" width="14.28515625" customWidth="1"/>
    <col min="15109" max="15109" width="32" customWidth="1"/>
    <col min="15110" max="15110" width="6.140625" customWidth="1"/>
    <col min="15111" max="15111" width="17.140625" customWidth="1"/>
    <col min="15359" max="15359" width="6.5703125" customWidth="1"/>
    <col min="15360" max="15360" width="45.140625" customWidth="1"/>
    <col min="15361" max="15361" width="13.42578125" customWidth="1"/>
    <col min="15362" max="15364" width="14.28515625" customWidth="1"/>
    <col min="15365" max="15365" width="32" customWidth="1"/>
    <col min="15366" max="15366" width="6.140625" customWidth="1"/>
    <col min="15367" max="15367" width="17.140625" customWidth="1"/>
    <col min="15615" max="15615" width="6.5703125" customWidth="1"/>
    <col min="15616" max="15616" width="45.140625" customWidth="1"/>
    <col min="15617" max="15617" width="13.42578125" customWidth="1"/>
    <col min="15618" max="15620" width="14.28515625" customWidth="1"/>
    <col min="15621" max="15621" width="32" customWidth="1"/>
    <col min="15622" max="15622" width="6.140625" customWidth="1"/>
    <col min="15623" max="15623" width="17.140625" customWidth="1"/>
    <col min="15871" max="15871" width="6.5703125" customWidth="1"/>
    <col min="15872" max="15872" width="45.140625" customWidth="1"/>
    <col min="15873" max="15873" width="13.42578125" customWidth="1"/>
    <col min="15874" max="15876" width="14.28515625" customWidth="1"/>
    <col min="15877" max="15877" width="32" customWidth="1"/>
    <col min="15878" max="15878" width="6.140625" customWidth="1"/>
    <col min="15879" max="15879" width="17.140625" customWidth="1"/>
    <col min="16127" max="16127" width="6.5703125" customWidth="1"/>
    <col min="16128" max="16128" width="45.140625" customWidth="1"/>
    <col min="16129" max="16129" width="13.42578125" customWidth="1"/>
    <col min="16130" max="16132" width="14.28515625" customWidth="1"/>
    <col min="16133" max="16133" width="32" customWidth="1"/>
    <col min="16134" max="16134" width="6.140625" customWidth="1"/>
    <col min="16135" max="16135" width="17.140625" customWidth="1"/>
  </cols>
  <sheetData>
    <row r="2" spans="1:5" ht="23.25" x14ac:dyDescent="0.35">
      <c r="A2" s="413" t="s">
        <v>45</v>
      </c>
      <c r="B2" s="413"/>
      <c r="C2" s="413"/>
      <c r="D2" s="413"/>
      <c r="E2" s="413"/>
    </row>
    <row r="3" spans="1:5" ht="15" x14ac:dyDescent="0.25">
      <c r="A3" s="75" t="s">
        <v>46</v>
      </c>
      <c r="B3" s="75"/>
      <c r="C3" s="75"/>
      <c r="D3" s="75"/>
      <c r="E3" s="75"/>
    </row>
    <row r="4" spans="1:5" ht="15" x14ac:dyDescent="0.25">
      <c r="A4" s="414" t="s">
        <v>61</v>
      </c>
      <c r="B4" s="414"/>
      <c r="C4" s="414"/>
      <c r="D4" s="414"/>
      <c r="E4" s="414"/>
    </row>
    <row r="5" spans="1:5" ht="15" x14ac:dyDescent="0.25">
      <c r="A5" s="414" t="s">
        <v>47</v>
      </c>
      <c r="B5" s="414"/>
      <c r="C5" s="414"/>
      <c r="D5" s="414"/>
      <c r="E5" s="414"/>
    </row>
    <row r="6" spans="1:5" x14ac:dyDescent="0.2">
      <c r="A6" s="76"/>
      <c r="B6" s="76"/>
      <c r="C6" s="76"/>
      <c r="D6" s="76"/>
      <c r="E6" s="76"/>
    </row>
    <row r="7" spans="1:5" ht="25.5" x14ac:dyDescent="0.2">
      <c r="A7" s="77" t="s">
        <v>55</v>
      </c>
      <c r="B7" s="77" t="s">
        <v>48</v>
      </c>
      <c r="C7" s="77" t="s">
        <v>49</v>
      </c>
      <c r="D7" s="212" t="s">
        <v>50</v>
      </c>
      <c r="E7" s="77" t="s">
        <v>51</v>
      </c>
    </row>
    <row r="8" spans="1:5" ht="16.5" x14ac:dyDescent="0.35">
      <c r="A8" s="78">
        <v>1</v>
      </c>
      <c r="B8" s="79"/>
      <c r="C8" s="77"/>
      <c r="D8" s="80"/>
      <c r="E8" s="93"/>
    </row>
    <row r="9" spans="1:5" ht="16.5" x14ac:dyDescent="0.35">
      <c r="A9" s="78">
        <v>2</v>
      </c>
      <c r="B9" s="79"/>
      <c r="C9" s="77"/>
      <c r="D9" s="80"/>
      <c r="E9" s="93"/>
    </row>
    <row r="10" spans="1:5" ht="16.5" x14ac:dyDescent="0.35">
      <c r="A10" s="78">
        <v>3</v>
      </c>
      <c r="B10" s="79"/>
      <c r="C10" s="77"/>
      <c r="D10" s="80"/>
      <c r="E10" s="93"/>
    </row>
    <row r="11" spans="1:5" ht="16.5" x14ac:dyDescent="0.35">
      <c r="A11" s="78">
        <v>4</v>
      </c>
      <c r="B11" s="79"/>
      <c r="C11" s="77"/>
      <c r="D11" s="80"/>
      <c r="E11" s="93"/>
    </row>
    <row r="12" spans="1:5" ht="16.5" x14ac:dyDescent="0.35">
      <c r="A12" s="78">
        <v>5</v>
      </c>
      <c r="B12" s="79"/>
      <c r="C12" s="77"/>
      <c r="D12" s="80"/>
      <c r="E12" s="93"/>
    </row>
    <row r="13" spans="1:5" ht="16.5" x14ac:dyDescent="0.35">
      <c r="A13" s="78">
        <v>6</v>
      </c>
      <c r="B13" s="79"/>
      <c r="C13" s="77"/>
      <c r="D13" s="80"/>
      <c r="E13" s="93"/>
    </row>
    <row r="14" spans="1:5" ht="16.5" x14ac:dyDescent="0.35">
      <c r="A14" s="78">
        <v>7</v>
      </c>
      <c r="B14" s="79"/>
      <c r="C14" s="78"/>
      <c r="D14" s="80"/>
      <c r="E14" s="93"/>
    </row>
    <row r="15" spans="1:5" ht="16.5" x14ac:dyDescent="0.35">
      <c r="A15" s="78">
        <v>8</v>
      </c>
      <c r="B15" s="79"/>
      <c r="C15" s="78"/>
      <c r="D15" s="80"/>
      <c r="E15" s="87"/>
    </row>
    <row r="16" spans="1:5" ht="16.5" x14ac:dyDescent="0.35">
      <c r="A16" s="78">
        <v>9</v>
      </c>
      <c r="B16" s="79"/>
      <c r="C16" s="77"/>
      <c r="D16" s="80"/>
      <c r="E16" s="87"/>
    </row>
    <row r="17" spans="1:5" ht="16.5" x14ac:dyDescent="0.35">
      <c r="A17" s="78">
        <v>10</v>
      </c>
      <c r="B17" s="79"/>
      <c r="C17" s="77"/>
      <c r="D17" s="80"/>
      <c r="E17" s="87"/>
    </row>
    <row r="18" spans="1:5" ht="16.5" x14ac:dyDescent="0.35">
      <c r="A18" s="78">
        <v>11</v>
      </c>
      <c r="B18" s="79"/>
      <c r="C18" s="82"/>
      <c r="D18" s="80"/>
      <c r="E18" s="87"/>
    </row>
    <row r="19" spans="1:5" ht="16.5" x14ac:dyDescent="0.35">
      <c r="A19" s="78">
        <v>12</v>
      </c>
      <c r="B19" s="79"/>
      <c r="C19" s="82"/>
      <c r="D19" s="80"/>
      <c r="E19" s="87"/>
    </row>
    <row r="20" spans="1:5" ht="16.5" x14ac:dyDescent="0.35">
      <c r="A20" s="78">
        <v>13</v>
      </c>
      <c r="B20" s="79"/>
      <c r="C20" s="82"/>
      <c r="D20" s="80"/>
      <c r="E20" s="87"/>
    </row>
    <row r="21" spans="1:5" ht="16.5" x14ac:dyDescent="0.35">
      <c r="A21" s="78">
        <v>14</v>
      </c>
      <c r="B21" s="79"/>
      <c r="C21" s="77"/>
      <c r="D21" s="80"/>
      <c r="E21" s="87"/>
    </row>
    <row r="22" spans="1:5" ht="16.5" x14ac:dyDescent="0.35">
      <c r="A22" s="78">
        <v>15</v>
      </c>
      <c r="B22" s="79"/>
      <c r="C22" s="77"/>
      <c r="D22" s="80"/>
      <c r="E22" s="87"/>
    </row>
    <row r="23" spans="1:5" ht="16.5" x14ac:dyDescent="0.35">
      <c r="A23" s="78">
        <v>16</v>
      </c>
      <c r="B23" s="79"/>
      <c r="C23" s="77"/>
      <c r="D23" s="80"/>
      <c r="E23" s="87"/>
    </row>
    <row r="24" spans="1:5" ht="16.5" x14ac:dyDescent="0.35">
      <c r="A24" s="78">
        <v>17</v>
      </c>
      <c r="B24" s="79"/>
      <c r="C24" s="77"/>
      <c r="D24" s="80"/>
      <c r="E24" s="87"/>
    </row>
    <row r="25" spans="1:5" ht="16.5" x14ac:dyDescent="0.35">
      <c r="A25" s="78">
        <v>18</v>
      </c>
      <c r="B25" s="79"/>
      <c r="C25" s="77"/>
      <c r="D25" s="80"/>
      <c r="E25" s="87"/>
    </row>
    <row r="26" spans="1:5" ht="16.5" x14ac:dyDescent="0.35">
      <c r="A26" s="78">
        <v>19</v>
      </c>
      <c r="B26" s="79"/>
      <c r="C26" s="77"/>
      <c r="D26" s="80"/>
      <c r="E26" s="87"/>
    </row>
    <row r="27" spans="1:5" ht="16.5" x14ac:dyDescent="0.35">
      <c r="A27" s="78">
        <v>20</v>
      </c>
      <c r="B27" s="79"/>
      <c r="C27" s="77"/>
      <c r="D27" s="80"/>
      <c r="E27" s="87"/>
    </row>
    <row r="28" spans="1:5" ht="16.5" x14ac:dyDescent="0.35">
      <c r="A28" s="78">
        <v>21</v>
      </c>
      <c r="B28" s="94"/>
      <c r="C28" s="77"/>
      <c r="D28" s="80"/>
      <c r="E28" s="87"/>
    </row>
    <row r="29" spans="1:5" ht="16.5" x14ac:dyDescent="0.35">
      <c r="A29" s="78">
        <v>22</v>
      </c>
      <c r="B29" s="79"/>
      <c r="C29" s="77"/>
      <c r="D29" s="80"/>
      <c r="E29" s="87"/>
    </row>
    <row r="30" spans="1:5" ht="16.5" x14ac:dyDescent="0.35">
      <c r="A30" s="78">
        <v>23</v>
      </c>
      <c r="B30" s="83"/>
      <c r="C30" s="84"/>
      <c r="D30" s="81"/>
      <c r="E30" s="87"/>
    </row>
    <row r="31" spans="1:5" ht="16.5" x14ac:dyDescent="0.35">
      <c r="A31" s="78">
        <v>24</v>
      </c>
      <c r="B31" s="83"/>
      <c r="C31" s="84"/>
      <c r="D31" s="81"/>
      <c r="E31" s="87"/>
    </row>
    <row r="32" spans="1:5" ht="16.5" x14ac:dyDescent="0.35">
      <c r="A32" s="78">
        <v>25</v>
      </c>
      <c r="B32" s="83"/>
      <c r="C32" s="78"/>
      <c r="D32" s="80"/>
      <c r="E32" s="87"/>
    </row>
    <row r="33" spans="1:5" ht="16.5" x14ac:dyDescent="0.35">
      <c r="A33" s="78">
        <v>26</v>
      </c>
      <c r="B33" s="79"/>
      <c r="C33" s="78"/>
      <c r="D33" s="80"/>
      <c r="E33" s="87"/>
    </row>
    <row r="34" spans="1:5" ht="16.5" x14ac:dyDescent="0.35">
      <c r="A34" s="78">
        <v>27</v>
      </c>
      <c r="B34" s="79"/>
      <c r="C34" s="77"/>
      <c r="D34" s="81"/>
      <c r="E34" s="87"/>
    </row>
    <row r="35" spans="1:5" ht="16.5" x14ac:dyDescent="0.35">
      <c r="A35" s="78">
        <v>28</v>
      </c>
      <c r="B35" s="79"/>
      <c r="C35" s="77"/>
      <c r="D35" s="81"/>
      <c r="E35" s="87"/>
    </row>
    <row r="36" spans="1:5" ht="16.5" x14ac:dyDescent="0.35">
      <c r="A36" s="78">
        <v>29</v>
      </c>
      <c r="B36" s="79"/>
      <c r="C36" s="77"/>
      <c r="D36" s="80"/>
      <c r="E36" s="87"/>
    </row>
    <row r="37" spans="1:5" ht="16.5" x14ac:dyDescent="0.35">
      <c r="A37" s="78">
        <v>30</v>
      </c>
      <c r="B37" s="79"/>
      <c r="C37" s="77"/>
      <c r="D37" s="81"/>
      <c r="E37" s="87"/>
    </row>
    <row r="38" spans="1:5" ht="16.5" x14ac:dyDescent="0.35">
      <c r="A38" s="85"/>
      <c r="B38" s="79"/>
      <c r="C38" s="78"/>
      <c r="D38" s="86"/>
      <c r="E38" s="87"/>
    </row>
    <row r="39" spans="1:5" ht="16.5" x14ac:dyDescent="0.35">
      <c r="A39" s="88"/>
      <c r="B39" s="88" t="s">
        <v>36</v>
      </c>
      <c r="C39" s="89"/>
      <c r="D39" s="90">
        <f>SUM(D8:D38)</f>
        <v>0</v>
      </c>
      <c r="E39" s="76"/>
    </row>
    <row r="40" spans="1:5" ht="16.5" x14ac:dyDescent="0.35">
      <c r="A40" s="92"/>
      <c r="B40" s="92"/>
      <c r="C40" s="92"/>
      <c r="D40" s="91"/>
      <c r="E40" s="76"/>
    </row>
    <row r="41" spans="1:5" x14ac:dyDescent="0.2">
      <c r="A41" s="92"/>
      <c r="B41" s="92"/>
      <c r="C41" s="76"/>
      <c r="D41" s="76"/>
      <c r="E41" s="76"/>
    </row>
    <row r="42" spans="1:5" x14ac:dyDescent="0.2">
      <c r="A42" s="92"/>
      <c r="B42" s="92"/>
      <c r="C42" s="76"/>
      <c r="D42" s="76"/>
      <c r="E42" s="76"/>
    </row>
    <row r="43" spans="1:5" x14ac:dyDescent="0.2">
      <c r="A43" s="92"/>
      <c r="B43" s="76"/>
      <c r="C43" s="76"/>
      <c r="D43" s="76"/>
      <c r="E43" s="76"/>
    </row>
    <row r="44" spans="1:5" x14ac:dyDescent="0.2">
      <c r="A44" s="92"/>
      <c r="B44" s="76"/>
      <c r="C44" s="76"/>
      <c r="D44" s="76"/>
      <c r="E44" s="76"/>
    </row>
    <row r="45" spans="1:5" x14ac:dyDescent="0.2">
      <c r="A45" s="92"/>
      <c r="B45" s="76"/>
      <c r="C45" s="76"/>
      <c r="D45" s="76"/>
      <c r="E45" s="76"/>
    </row>
    <row r="46" spans="1:5" x14ac:dyDescent="0.2">
      <c r="A46" s="76"/>
      <c r="B46" s="76"/>
      <c r="C46" s="76"/>
      <c r="D46" s="76"/>
      <c r="E46" s="76"/>
    </row>
    <row r="47" spans="1:5" x14ac:dyDescent="0.2">
      <c r="A47" s="76"/>
      <c r="B47" s="119" t="s">
        <v>28</v>
      </c>
      <c r="C47" s="120"/>
      <c r="D47" s="415"/>
      <c r="E47" s="415"/>
    </row>
    <row r="48" spans="1:5" x14ac:dyDescent="0.2">
      <c r="A48" s="76"/>
      <c r="B48" s="119" t="s">
        <v>29</v>
      </c>
      <c r="C48" s="120"/>
      <c r="D48" s="415"/>
      <c r="E48" s="415"/>
    </row>
  </sheetData>
  <mergeCells count="5">
    <mergeCell ref="A2:E2"/>
    <mergeCell ref="A4:E4"/>
    <mergeCell ref="A5:E5"/>
    <mergeCell ref="D47:E47"/>
    <mergeCell ref="D48:E48"/>
  </mergeCells>
  <pageMargins left="0.19" right="0.15748031496062992" top="0.74803149606299213" bottom="0.74803149606299213" header="0.31496062992125984" footer="0.31496062992125984"/>
  <pageSetup paperSize="9" scale="9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ASIST </vt:lpstr>
      <vt:lpstr>ALIMENT</vt:lpstr>
      <vt:lpstr>REPORTE ALIM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ASIST-PERSONAL DE LOGISTICA</dc:title>
  <dc:creator>Logistica</dc:creator>
  <cp:lastModifiedBy>Logistica</cp:lastModifiedBy>
  <cp:lastPrinted>2020-07-30T17:26:59Z</cp:lastPrinted>
  <dcterms:created xsi:type="dcterms:W3CDTF">2020-06-29T01:03:21Z</dcterms:created>
  <dcterms:modified xsi:type="dcterms:W3CDTF">2021-05-08T18:29:50Z</dcterms:modified>
</cp:coreProperties>
</file>